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onzai/Desktop/test thu nhap chiu thue/"/>
    </mc:Choice>
  </mc:AlternateContent>
  <xr:revisionPtr revIDLastSave="0" documentId="13_ncr:1_{BBE516B6-21D1-5646-AD12-30E433061DB7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Bang Cham Cong" sheetId="1" r:id="rId1"/>
    <sheet name="Ma cham cong" sheetId="2" r:id="rId2"/>
  </sheets>
  <definedNames>
    <definedName name="_xlnm._FilterDatabase" localSheetId="0" hidden="1">'Bang Cham Cong'!$A$3:$AS$10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" i="1" l="1"/>
  <c r="AR10" i="1"/>
  <c r="AP10" i="1"/>
  <c r="AO10" i="1"/>
  <c r="AQ10" i="1" s="1"/>
  <c r="AS9" i="1"/>
  <c r="AR9" i="1"/>
  <c r="AP9" i="1"/>
  <c r="AO9" i="1"/>
  <c r="AQ9" i="1" s="1"/>
  <c r="AS8" i="1"/>
  <c r="AR8" i="1"/>
  <c r="AP8" i="1"/>
  <c r="AO8" i="1"/>
  <c r="AS7" i="1"/>
  <c r="AR7" i="1"/>
  <c r="AP7" i="1"/>
  <c r="AO7" i="1"/>
  <c r="AS6" i="1"/>
  <c r="AR6" i="1"/>
  <c r="AP6" i="1"/>
  <c r="AO6" i="1"/>
  <c r="AQ6" i="1" s="1"/>
  <c r="AS5" i="1"/>
  <c r="AR5" i="1"/>
  <c r="AP5" i="1"/>
  <c r="AO5" i="1"/>
  <c r="AQ5" i="1" s="1"/>
  <c r="AS4" i="1"/>
  <c r="AR4" i="1"/>
  <c r="AP4" i="1"/>
  <c r="AO4" i="1"/>
  <c r="AQ4" i="1" s="1"/>
  <c r="AQ8" i="1" l="1"/>
  <c r="AQ7" i="1"/>
</calcChain>
</file>

<file path=xl/sharedStrings.xml><?xml version="1.0" encoding="utf-8"?>
<sst xmlns="http://schemas.openxmlformats.org/spreadsheetml/2006/main" count="327" uniqueCount="108">
  <si>
    <t>FILE CHẤM CÔNG THÁNG 03 NĂM 2026 CÔNG TY CÔNG TY TNHH QUANG THỊNH PHÁT BẮC GIANG</t>
  </si>
  <si>
    <t>STT</t>
  </si>
  <si>
    <t>Mã NV</t>
  </si>
  <si>
    <t>Họ và Tên</t>
  </si>
  <si>
    <t>Mã số thuế</t>
  </si>
  <si>
    <t>Ngày sinh</t>
  </si>
  <si>
    <t>Giới tính</t>
  </si>
  <si>
    <t>Phòng ban thuế</t>
  </si>
  <si>
    <t>Chức vụ</t>
  </si>
  <si>
    <t>Lương cơ bản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</si>
  <si>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</si>
  <si>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</si>
  <si>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</si>
  <si>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</si>
  <si>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</si>
  <si>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</si>
  <si>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</si>
  <si>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</si>
  <si>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</si>
  <si>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</si>
  <si>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</si>
  <si>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</si>
  <si>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</si>
  <si>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</si>
  <si>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</si>
  <si>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</si>
  <si>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</si>
  <si>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</si>
  <si>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</si>
  <si>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</si>
  <si>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</si>
  <si>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</si>
  <si>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</si>
  <si>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</si>
  <si>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</si>
  <si>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</si>
  <si>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</si>
  <si>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</si>
  <si>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</si>
  <si>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</si>
  <si>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</si>
  <si>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Công Ngày</t>
  </si>
  <si>
    <t>Công Đêm</t>
  </si>
  <si>
    <t>Tổng Cộng</t>
  </si>
  <si>
    <t>Ngày Lễ</t>
  </si>
  <si>
    <t>Ngày Phép</t>
  </si>
  <si>
    <t>CN</t>
  </si>
  <si>
    <t>T2</t>
  </si>
  <si>
    <t>T3</t>
  </si>
  <si>
    <t>T4</t>
  </si>
  <si>
    <t>T5</t>
  </si>
  <si>
    <t>T6</t>
  </si>
  <si>
    <t>T7</t>
  </si>
  <si>
    <t>Ngô Đức Hòa</t>
  </si>
  <si>
    <t>8065303670</t>
  </si>
  <si>
    <t>Nam</t>
  </si>
  <si>
    <t>Quản Lý</t>
  </si>
  <si>
    <t>GĐ</t>
  </si>
  <si>
    <t>N</t>
  </si>
  <si>
    <t>Nguyễn Thị Hoài Linh</t>
  </si>
  <si>
    <t>8614221647</t>
  </si>
  <si>
    <t>Nữ</t>
  </si>
  <si>
    <t>GD</t>
  </si>
  <si>
    <t>Nguyễn Thị Lý</t>
  </si>
  <si>
    <t>8364573918</t>
  </si>
  <si>
    <t>KT</t>
  </si>
  <si>
    <t>Nguyễn Thị Ngân</t>
  </si>
  <si>
    <t>8106976251</t>
  </si>
  <si>
    <t>NV</t>
  </si>
  <si>
    <t>Vũ Phương Thanh</t>
  </si>
  <si>
    <t>8658904552</t>
  </si>
  <si>
    <t>KTT</t>
  </si>
  <si>
    <t>Nguyễn Đình Nam</t>
  </si>
  <si>
    <t>8333486817</t>
  </si>
  <si>
    <t>Kinh Doanh</t>
  </si>
  <si>
    <t>Nguyễn Đăng Nam</t>
  </si>
  <si>
    <t>8649973366</t>
  </si>
  <si>
    <t>Mã công</t>
  </si>
  <si>
    <t>Tên loại công</t>
  </si>
  <si>
    <t>Trọng số</t>
  </si>
  <si>
    <t>Đ</t>
  </si>
  <si>
    <t>Làm việc ca đêm bình thường</t>
  </si>
  <si>
    <t>PL</t>
  </si>
  <si>
    <t>Nghỉ lễ, Tết hưởng lương</t>
  </si>
  <si>
    <t>P</t>
  </si>
  <si>
    <t>Nghỉ phép hưởng lương</t>
  </si>
  <si>
    <t>Làm việc ca ngày bình thường</t>
  </si>
  <si>
    <t>Đ/2</t>
  </si>
  <si>
    <t>Làm việc nửa ca đêm</t>
  </si>
  <si>
    <t>N/2</t>
  </si>
  <si>
    <t>Làm việc nửa ca ngày</t>
  </si>
  <si>
    <t>DS</t>
  </si>
  <si>
    <t>Dưỡng sức</t>
  </si>
  <si>
    <t>ĐC</t>
  </si>
  <si>
    <t>Đổi ca</t>
  </si>
  <si>
    <t>Cho nghỉ không lương</t>
  </si>
  <si>
    <t>DL</t>
  </si>
  <si>
    <t>Nghỉ du lịch</t>
  </si>
  <si>
    <t>CP</t>
  </si>
  <si>
    <t>Nghỉ có phép không lương</t>
  </si>
  <si>
    <t>KP</t>
  </si>
  <si>
    <t>Nghỉ không phép không lương</t>
  </si>
  <si>
    <t>Ô</t>
  </si>
  <si>
    <t>Nghỉ ốm</t>
  </si>
  <si>
    <t>CÔ</t>
  </si>
  <si>
    <t>Nghỉ con ốm</t>
  </si>
  <si>
    <t>TS</t>
  </si>
  <si>
    <t>Nghỉ thai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</si>
</sst>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E6F2FF"/>
        <bgColor rgb="FFE6F2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"/>
  <sheetViews>
    <sheetView tabSelected="1" workbookViewId="0">
      <pane xSplit="5" ySplit="3" topLeftCell="AC4" activePane="bottomRight" state="frozen"/>
      <selection pane="topRight"/>
      <selection pane="bottomLeft"/>
      <selection pane="bottomRight" activeCell="AR8" sqref="AR8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0" customWidth="1"/>
    <col min="4" max="4" width="15" customWidth="1"/>
    <col min="5" max="5" width="14" customWidth="1"/>
    <col min="6" max="6" width="10" customWidth="1"/>
    <col min="7" max="7" width="12" customWidth="1"/>
    <col min="8" max="8" width="8" customWidth="1"/>
    <col min="9" max="9" width="10" customWidth="1"/>
    <col min="41" max="45" width="12" customWidth="1"/>
  </cols>
  <sheetData>
    <row r="1" spans="1:45" ht="30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2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2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2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2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2" t="s">
        <v>38</v>
      </c>
      <c r="AM2" s="1" t="s">
        <v>39</v>
      </c>
      <c r="AN2" s="1" t="s">
        <v>40</v>
      </c>
      <c r="AO2" s="10" t="s">
        <v>41</v>
      </c>
      <c r="AP2" s="10" t="s">
        <v>42</v>
      </c>
      <c r="AQ2" s="10" t="s">
        <v>43</v>
      </c>
      <c r="AR2" s="10" t="s">
        <v>44</v>
      </c>
      <c r="AS2" s="10" t="s">
        <v>45</v>
      </c>
    </row>
    <row r="3" spans="1:45" x14ac:dyDescent="0.2">
      <c r="A3" s="11"/>
      <c r="B3" s="11"/>
      <c r="C3" s="11"/>
      <c r="D3" s="11"/>
      <c r="E3" s="11"/>
      <c r="F3" s="11"/>
      <c r="G3" s="11"/>
      <c r="H3" s="11"/>
      <c r="I3" s="11"/>
      <c r="J3" s="2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2" t="s">
        <v>46</v>
      </c>
      <c r="R3" s="1" t="s">
        <v>47</v>
      </c>
      <c r="S3" s="1" t="s">
        <v>48</v>
      </c>
      <c r="T3" s="1" t="s">
        <v>49</v>
      </c>
      <c r="U3" s="1" t="s">
        <v>50</v>
      </c>
      <c r="V3" s="1" t="s">
        <v>51</v>
      </c>
      <c r="W3" s="1" t="s">
        <v>52</v>
      </c>
      <c r="X3" s="2" t="s">
        <v>46</v>
      </c>
      <c r="Y3" s="1" t="s">
        <v>47</v>
      </c>
      <c r="Z3" s="1" t="s">
        <v>48</v>
      </c>
      <c r="AA3" s="1" t="s">
        <v>49</v>
      </c>
      <c r="AB3" s="1" t="s">
        <v>50</v>
      </c>
      <c r="AC3" s="1" t="s">
        <v>51</v>
      </c>
      <c r="AD3" s="1" t="s">
        <v>52</v>
      </c>
      <c r="AE3" s="2" t="s">
        <v>46</v>
      </c>
      <c r="AF3" s="1" t="s">
        <v>47</v>
      </c>
      <c r="AG3" s="1" t="s">
        <v>48</v>
      </c>
      <c r="AH3" s="1" t="s">
        <v>49</v>
      </c>
      <c r="AI3" s="1" t="s">
        <v>50</v>
      </c>
      <c r="AJ3" s="1" t="s">
        <v>51</v>
      </c>
      <c r="AK3" s="1" t="s">
        <v>52</v>
      </c>
      <c r="AL3" s="2" t="s">
        <v>46</v>
      </c>
      <c r="AM3" s="1" t="s">
        <v>47</v>
      </c>
      <c r="AN3" s="1" t="s">
        <v>48</v>
      </c>
      <c r="AO3" s="11"/>
      <c r="AP3" s="11"/>
      <c r="AQ3" s="11"/>
      <c r="AR3" s="11"/>
      <c r="AS3" s="11"/>
    </row>
    <row r="4" spans="1:45" ht="30" customHeight="1" x14ac:dyDescent="0.2">
      <c r="A4" s="3">
        <v>1</v>
      </c>
      <c r="B4" s="3">
        <v>4</v>
      </c>
      <c r="C4" s="3" t="s">
        <v>53</v>
      </c>
      <c r="D4" s="3" t="s">
        <v>54</v>
      </c>
      <c r="E4" s="4">
        <v>27063</v>
      </c>
      <c r="F4" s="3" t="s">
        <v>55</v>
      </c>
      <c r="G4" s="3" t="s">
        <v>56</v>
      </c>
      <c r="H4" s="3" t="s">
        <v>57</v>
      </c>
      <c r="I4" s="3">
        <v>22000000</v>
      </c>
      <c r="J4" s="5"/>
      <c r="K4" s="6" t="s">
        <v>58</v>
      </c>
      <c r="L4" s="6" t="s">
        <v>58</v>
      </c>
      <c r="M4" s="6" t="s">
        <v>58</v>
      </c>
      <c r="N4" s="6" t="s">
        <v>58</v>
      </c>
      <c r="O4" s="6" t="s">
        <v>58</v>
      </c>
      <c r="P4" s="6" t="s">
        <v>58</v>
      </c>
      <c r="Q4" s="5"/>
      <c r="R4" s="6" t="s">
        <v>58</v>
      </c>
      <c r="S4" s="6" t="s">
        <v>58</v>
      </c>
      <c r="T4" s="6" t="s">
        <v>58</v>
      </c>
      <c r="U4" s="6" t="s">
        <v>58</v>
      </c>
      <c r="V4" s="6" t="s">
        <v>58</v>
      </c>
      <c r="W4" s="6" t="s">
        <v>58</v>
      </c>
      <c r="X4" s="5"/>
      <c r="Y4" s="6" t="s">
        <v>58</v>
      </c>
      <c r="Z4" s="6" t="s">
        <v>58</v>
      </c>
      <c r="AA4" s="6" t="s">
        <v>58</v>
      </c>
      <c r="AB4" s="6" t="s">
        <v>58</v>
      </c>
      <c r="AC4" s="6" t="s">
        <v>58</v>
      </c>
      <c r="AD4" s="6" t="s">
        <v>58</v>
      </c>
      <c r="AE4" s="5"/>
      <c r="AF4" s="6" t="s">
        <v>58</v>
      </c>
      <c r="AG4" s="6" t="s">
        <v>58</v>
      </c>
      <c r="AH4" s="6" t="s">
        <v>58</v>
      </c>
      <c r="AI4" s="6" t="s">
        <v>58</v>
      </c>
      <c r="AJ4" s="6" t="s">
        <v>58</v>
      </c>
      <c r="AK4" s="6" t="s">
        <v>58</v>
      </c>
      <c r="AL4" s="5"/>
      <c r="AM4" s="6" t="s">
        <v>58</v>
      </c>
      <c r="AN4" s="6" t="s">
        <v>58</v>
      </c>
      <c r="AO4" s="3">
        <f t="shared" ref="AO4:AO10" si="0">COUNTIF(J4:AN4,"N")+(COUNTIF(J4:AN4,"N/1")+COUNTIF(J4:AN4,"N/2"))*0.5</f>
        <v>26</v>
      </c>
      <c r="AP4" s="3">
        <f t="shared" ref="AP4:AP10" si="1">COUNTIF(J4:AN4,"Đ")+(COUNTIF(J4:AN4,"Đ/1")+COUNTIF(J4:AN4,"Đ/2"))*0.5</f>
        <v>0</v>
      </c>
      <c r="AQ4" s="3">
        <f t="shared" ref="AQ4:AQ10" si="2">AO4+AP4</f>
        <v>26</v>
      </c>
      <c r="AR4" s="3">
        <f t="shared" ref="AR4:AR10" si="3">COUNTIF(J4:AN4,"PL")</f>
        <v>0</v>
      </c>
      <c r="AS4" s="3">
        <f t="shared" ref="AS4:AS10" si="4">COUNTIF(J4:AN4,"P")</f>
        <v>0</v>
      </c>
    </row>
    <row r="5" spans="1:45" ht="30" customHeight="1" x14ac:dyDescent="0.2">
      <c r="A5" s="3">
        <v>2</v>
      </c>
      <c r="B5" s="3">
        <v>3</v>
      </c>
      <c r="C5" s="3" t="s">
        <v>59</v>
      </c>
      <c r="D5" s="3" t="s">
        <v>60</v>
      </c>
      <c r="E5" s="4">
        <v>32874</v>
      </c>
      <c r="F5" s="3" t="s">
        <v>61</v>
      </c>
      <c r="G5" s="3" t="s">
        <v>56</v>
      </c>
      <c r="H5" s="3" t="s">
        <v>62</v>
      </c>
      <c r="I5" s="3">
        <v>4395000</v>
      </c>
      <c r="J5" s="5"/>
      <c r="K5" s="6" t="s">
        <v>58</v>
      </c>
      <c r="L5" s="6" t="s">
        <v>58</v>
      </c>
      <c r="M5" s="6" t="s">
        <v>58</v>
      </c>
      <c r="N5" s="6" t="s">
        <v>58</v>
      </c>
      <c r="O5" s="6" t="s">
        <v>58</v>
      </c>
      <c r="P5" s="6" t="s">
        <v>58</v>
      </c>
      <c r="Q5" s="5"/>
      <c r="R5" s="6" t="s">
        <v>58</v>
      </c>
      <c r="S5" s="6" t="s">
        <v>58</v>
      </c>
      <c r="T5" s="6" t="s">
        <v>58</v>
      </c>
      <c r="U5" s="6" t="s">
        <v>58</v>
      </c>
      <c r="V5" s="6" t="s">
        <v>58</v>
      </c>
      <c r="W5" s="6" t="s">
        <v>58</v>
      </c>
      <c r="X5" s="5"/>
      <c r="Y5" s="6" t="s">
        <v>58</v>
      </c>
      <c r="Z5" s="6" t="s">
        <v>58</v>
      </c>
      <c r="AA5" s="6" t="s">
        <v>58</v>
      </c>
      <c r="AB5" s="6" t="s">
        <v>58</v>
      </c>
      <c r="AC5" s="6" t="s">
        <v>58</v>
      </c>
      <c r="AD5" s="6" t="s">
        <v>58</v>
      </c>
      <c r="AE5" s="5"/>
      <c r="AF5" s="6" t="s">
        <v>58</v>
      </c>
      <c r="AG5" s="6" t="s">
        <v>58</v>
      </c>
      <c r="AH5" s="6" t="s">
        <v>58</v>
      </c>
      <c r="AI5" s="6" t="s">
        <v>58</v>
      </c>
      <c r="AJ5" s="6" t="s">
        <v>58</v>
      </c>
      <c r="AK5" s="6" t="s">
        <v>58</v>
      </c>
      <c r="AL5" s="5"/>
      <c r="AM5" s="6" t="s">
        <v>58</v>
      </c>
      <c r="AN5" s="6" t="s">
        <v>58</v>
      </c>
      <c r="AO5" s="3">
        <f t="shared" si="0"/>
        <v>26</v>
      </c>
      <c r="AP5" s="3">
        <f t="shared" si="1"/>
        <v>0</v>
      </c>
      <c r="AQ5" s="3">
        <f t="shared" si="2"/>
        <v>26</v>
      </c>
      <c r="AR5" s="3">
        <f t="shared" si="3"/>
        <v>0</v>
      </c>
      <c r="AS5" s="3">
        <f t="shared" si="4"/>
        <v>0</v>
      </c>
    </row>
    <row r="6" spans="1:45" ht="30" customHeight="1" x14ac:dyDescent="0.2">
      <c r="A6" s="3">
        <v>3</v>
      </c>
      <c r="B6" s="3">
        <v>10</v>
      </c>
      <c r="C6" s="3" t="s">
        <v>63</v>
      </c>
      <c r="D6" s="3" t="s">
        <v>64</v>
      </c>
      <c r="E6" s="4">
        <v>32874</v>
      </c>
      <c r="F6" s="3" t="s">
        <v>61</v>
      </c>
      <c r="G6" s="3" t="s">
        <v>56</v>
      </c>
      <c r="H6" s="3" t="s">
        <v>65</v>
      </c>
      <c r="I6" s="3">
        <v>4650000</v>
      </c>
      <c r="J6" s="5"/>
      <c r="K6" s="6" t="s">
        <v>58</v>
      </c>
      <c r="L6" s="6" t="s">
        <v>58</v>
      </c>
      <c r="M6" s="6" t="s">
        <v>58</v>
      </c>
      <c r="N6" s="6" t="s">
        <v>58</v>
      </c>
      <c r="O6" s="6" t="s">
        <v>58</v>
      </c>
      <c r="P6" s="6" t="s">
        <v>58</v>
      </c>
      <c r="Q6" s="5"/>
      <c r="R6" s="6" t="s">
        <v>58</v>
      </c>
      <c r="S6" s="6" t="s">
        <v>58</v>
      </c>
      <c r="T6" s="6" t="s">
        <v>58</v>
      </c>
      <c r="U6" s="6" t="s">
        <v>58</v>
      </c>
      <c r="V6" s="6" t="s">
        <v>58</v>
      </c>
      <c r="W6" s="6" t="s">
        <v>58</v>
      </c>
      <c r="X6" s="5"/>
      <c r="Y6" s="6" t="s">
        <v>58</v>
      </c>
      <c r="Z6" s="6" t="s">
        <v>58</v>
      </c>
      <c r="AA6" s="6" t="s">
        <v>58</v>
      </c>
      <c r="AB6" s="6" t="s">
        <v>58</v>
      </c>
      <c r="AC6" s="6" t="s">
        <v>58</v>
      </c>
      <c r="AD6" s="6" t="s">
        <v>58</v>
      </c>
      <c r="AE6" s="5"/>
      <c r="AF6" s="6" t="s">
        <v>58</v>
      </c>
      <c r="AG6" s="6" t="s">
        <v>58</v>
      </c>
      <c r="AH6" s="6" t="s">
        <v>58</v>
      </c>
      <c r="AI6" s="6" t="s">
        <v>58</v>
      </c>
      <c r="AJ6" s="6" t="s">
        <v>58</v>
      </c>
      <c r="AK6" s="6" t="s">
        <v>58</v>
      </c>
      <c r="AL6" s="5"/>
      <c r="AM6" s="6" t="s">
        <v>58</v>
      </c>
      <c r="AN6" s="6" t="s">
        <v>58</v>
      </c>
      <c r="AO6" s="3">
        <f t="shared" si="0"/>
        <v>26</v>
      </c>
      <c r="AP6" s="3">
        <f t="shared" si="1"/>
        <v>0</v>
      </c>
      <c r="AQ6" s="3">
        <f t="shared" si="2"/>
        <v>26</v>
      </c>
      <c r="AR6" s="3">
        <f t="shared" si="3"/>
        <v>0</v>
      </c>
      <c r="AS6" s="3">
        <f t="shared" si="4"/>
        <v>0</v>
      </c>
    </row>
    <row r="7" spans="1:45" ht="30" customHeight="1" x14ac:dyDescent="0.2">
      <c r="A7" s="3">
        <v>4</v>
      </c>
      <c r="B7" s="3">
        <v>13</v>
      </c>
      <c r="C7" s="3" t="s">
        <v>66</v>
      </c>
      <c r="D7" s="3" t="s">
        <v>67</v>
      </c>
      <c r="E7" s="4">
        <v>32874</v>
      </c>
      <c r="F7" s="3" t="s">
        <v>61</v>
      </c>
      <c r="G7" s="3" t="s">
        <v>56</v>
      </c>
      <c r="H7" s="3" t="s">
        <v>68</v>
      </c>
      <c r="I7" s="3">
        <v>4395000</v>
      </c>
      <c r="J7" s="5"/>
      <c r="K7" s="6" t="s">
        <v>58</v>
      </c>
      <c r="L7" s="6" t="s">
        <v>89</v>
      </c>
      <c r="M7" s="6" t="s">
        <v>58</v>
      </c>
      <c r="N7" s="6" t="s">
        <v>58</v>
      </c>
      <c r="O7" s="6" t="s">
        <v>89</v>
      </c>
      <c r="P7" s="6" t="s">
        <v>58</v>
      </c>
      <c r="Q7" s="5"/>
      <c r="R7" s="6" t="s">
        <v>58</v>
      </c>
      <c r="S7" s="6" t="s">
        <v>89</v>
      </c>
      <c r="T7" s="6" t="s">
        <v>58</v>
      </c>
      <c r="U7" s="6" t="s">
        <v>58</v>
      </c>
      <c r="V7" s="6" t="s">
        <v>58</v>
      </c>
      <c r="W7" s="6" t="s">
        <v>58</v>
      </c>
      <c r="X7" s="5"/>
      <c r="Y7" s="6" t="s">
        <v>58</v>
      </c>
      <c r="Z7" s="6" t="s">
        <v>89</v>
      </c>
      <c r="AA7" s="6" t="s">
        <v>58</v>
      </c>
      <c r="AB7" s="6" t="s">
        <v>89</v>
      </c>
      <c r="AC7" s="6" t="s">
        <v>58</v>
      </c>
      <c r="AD7" s="6" t="s">
        <v>58</v>
      </c>
      <c r="AE7" s="5"/>
      <c r="AF7" s="6" t="s">
        <v>58</v>
      </c>
      <c r="AG7" s="6" t="s">
        <v>58</v>
      </c>
      <c r="AH7" s="6" t="s">
        <v>58</v>
      </c>
      <c r="AI7" s="6" t="s">
        <v>58</v>
      </c>
      <c r="AJ7" s="6" t="s">
        <v>58</v>
      </c>
      <c r="AK7" s="6" t="s">
        <v>58</v>
      </c>
      <c r="AL7" s="5"/>
      <c r="AM7" s="6" t="s">
        <v>58</v>
      </c>
      <c r="AN7" s="6" t="s">
        <v>58</v>
      </c>
      <c r="AO7" s="3">
        <f t="shared" si="0"/>
        <v>23.5</v>
      </c>
      <c r="AP7" s="3">
        <f t="shared" si="1"/>
        <v>0</v>
      </c>
      <c r="AQ7" s="3">
        <f t="shared" si="2"/>
        <v>23.5</v>
      </c>
      <c r="AR7" s="3">
        <f t="shared" si="3"/>
        <v>0</v>
      </c>
      <c r="AS7" s="3">
        <f t="shared" si="4"/>
        <v>0</v>
      </c>
    </row>
    <row r="8" spans="1:45" ht="30" customHeight="1" x14ac:dyDescent="0.2">
      <c r="A8" s="3">
        <v>5</v>
      </c>
      <c r="B8" s="3">
        <v>6</v>
      </c>
      <c r="C8" s="3" t="s">
        <v>69</v>
      </c>
      <c r="D8" s="3" t="s">
        <v>70</v>
      </c>
      <c r="E8" s="4">
        <v>33155</v>
      </c>
      <c r="F8" s="3" t="s">
        <v>61</v>
      </c>
      <c r="G8" s="3" t="s">
        <v>56</v>
      </c>
      <c r="H8" s="3" t="s">
        <v>71</v>
      </c>
      <c r="I8" s="3">
        <v>6170000</v>
      </c>
      <c r="J8" s="5"/>
      <c r="K8" s="6" t="s">
        <v>58</v>
      </c>
      <c r="L8" s="6" t="s">
        <v>89</v>
      </c>
      <c r="M8" s="6" t="s">
        <v>58</v>
      </c>
      <c r="N8" s="6" t="s">
        <v>58</v>
      </c>
      <c r="O8" s="6" t="s">
        <v>89</v>
      </c>
      <c r="P8" s="6" t="s">
        <v>58</v>
      </c>
      <c r="Q8" s="5"/>
      <c r="R8" s="6" t="s">
        <v>58</v>
      </c>
      <c r="S8" s="6" t="s">
        <v>89</v>
      </c>
      <c r="T8" s="6" t="s">
        <v>58</v>
      </c>
      <c r="U8" s="6" t="s">
        <v>58</v>
      </c>
      <c r="V8" s="6" t="s">
        <v>58</v>
      </c>
      <c r="W8" s="6" t="s">
        <v>58</v>
      </c>
      <c r="X8" s="5"/>
      <c r="Y8" s="6" t="s">
        <v>58</v>
      </c>
      <c r="Z8" s="6" t="s">
        <v>89</v>
      </c>
      <c r="AA8" s="6" t="s">
        <v>58</v>
      </c>
      <c r="AB8" s="6" t="s">
        <v>89</v>
      </c>
      <c r="AC8" s="6" t="s">
        <v>58</v>
      </c>
      <c r="AD8" s="6" t="s">
        <v>89</v>
      </c>
      <c r="AE8" s="5"/>
      <c r="AF8" s="6" t="s">
        <v>58</v>
      </c>
      <c r="AG8" s="6" t="s">
        <v>58</v>
      </c>
      <c r="AH8" s="6" t="s">
        <v>58</v>
      </c>
      <c r="AI8" s="6" t="s">
        <v>58</v>
      </c>
      <c r="AJ8" s="6" t="s">
        <v>58</v>
      </c>
      <c r="AK8" s="6" t="s">
        <v>58</v>
      </c>
      <c r="AL8" s="5"/>
      <c r="AM8" s="6" t="s">
        <v>58</v>
      </c>
      <c r="AN8" s="6" t="s">
        <v>58</v>
      </c>
      <c r="AO8" s="3">
        <f t="shared" si="0"/>
        <v>23</v>
      </c>
      <c r="AP8" s="3">
        <f t="shared" si="1"/>
        <v>0</v>
      </c>
      <c r="AQ8" s="3">
        <f t="shared" si="2"/>
        <v>23</v>
      </c>
      <c r="AR8" s="3">
        <f t="shared" si="3"/>
        <v>0</v>
      </c>
      <c r="AS8" s="3">
        <f t="shared" si="4"/>
        <v>0</v>
      </c>
    </row>
    <row r="9" spans="1:45" ht="30" customHeight="1" x14ac:dyDescent="0.2">
      <c r="A9" s="3">
        <v>6</v>
      </c>
      <c r="B9" s="3">
        <v>357</v>
      </c>
      <c r="C9" s="3" t="s">
        <v>72</v>
      </c>
      <c r="D9" s="3" t="s">
        <v>73</v>
      </c>
      <c r="E9" s="4">
        <v>28630</v>
      </c>
      <c r="F9" s="3" t="s">
        <v>55</v>
      </c>
      <c r="G9" s="3" t="s">
        <v>74</v>
      </c>
      <c r="H9" s="3" t="s">
        <v>68</v>
      </c>
      <c r="I9" s="3">
        <v>5150000</v>
      </c>
      <c r="J9" s="5"/>
      <c r="K9" s="6" t="s">
        <v>58</v>
      </c>
      <c r="L9" s="6" t="s">
        <v>58</v>
      </c>
      <c r="M9" s="6" t="s">
        <v>58</v>
      </c>
      <c r="N9" s="6" t="s">
        <v>58</v>
      </c>
      <c r="O9" s="6" t="s">
        <v>58</v>
      </c>
      <c r="P9" s="6" t="s">
        <v>58</v>
      </c>
      <c r="Q9" s="5"/>
      <c r="R9" s="6" t="s">
        <v>58</v>
      </c>
      <c r="S9" s="6" t="s">
        <v>58</v>
      </c>
      <c r="T9" s="6" t="s">
        <v>58</v>
      </c>
      <c r="U9" s="6" t="s">
        <v>58</v>
      </c>
      <c r="V9" s="6" t="s">
        <v>58</v>
      </c>
      <c r="W9" s="6" t="s">
        <v>58</v>
      </c>
      <c r="X9" s="5"/>
      <c r="Y9" s="6" t="s">
        <v>58</v>
      </c>
      <c r="Z9" s="6" t="s">
        <v>58</v>
      </c>
      <c r="AA9" s="6" t="s">
        <v>58</v>
      </c>
      <c r="AB9" s="6" t="s">
        <v>58</v>
      </c>
      <c r="AC9" s="6" t="s">
        <v>58</v>
      </c>
      <c r="AD9" s="6" t="s">
        <v>58</v>
      </c>
      <c r="AE9" s="5"/>
      <c r="AF9" s="6" t="s">
        <v>58</v>
      </c>
      <c r="AG9" s="6" t="s">
        <v>58</v>
      </c>
      <c r="AH9" s="6" t="s">
        <v>58</v>
      </c>
      <c r="AI9" s="6" t="s">
        <v>58</v>
      </c>
      <c r="AJ9" s="6" t="s">
        <v>58</v>
      </c>
      <c r="AK9" s="6" t="s">
        <v>58</v>
      </c>
      <c r="AL9" s="5"/>
      <c r="AM9" s="6" t="s">
        <v>58</v>
      </c>
      <c r="AN9" s="6" t="s">
        <v>58</v>
      </c>
      <c r="AO9" s="3">
        <f t="shared" si="0"/>
        <v>26</v>
      </c>
      <c r="AP9" s="3">
        <f t="shared" si="1"/>
        <v>0</v>
      </c>
      <c r="AQ9" s="3">
        <f t="shared" si="2"/>
        <v>26</v>
      </c>
      <c r="AR9" s="3">
        <f t="shared" si="3"/>
        <v>0</v>
      </c>
      <c r="AS9" s="3">
        <f t="shared" si="4"/>
        <v>0</v>
      </c>
    </row>
    <row r="10" spans="1:45" ht="30" customHeight="1" x14ac:dyDescent="0.2">
      <c r="A10" s="3">
        <v>7</v>
      </c>
      <c r="B10" s="3">
        <v>40</v>
      </c>
      <c r="C10" s="3" t="s">
        <v>75</v>
      </c>
      <c r="D10" s="3" t="s">
        <v>76</v>
      </c>
      <c r="E10" s="4">
        <v>31334</v>
      </c>
      <c r="F10" s="3" t="s">
        <v>55</v>
      </c>
      <c r="G10" s="3" t="s">
        <v>74</v>
      </c>
      <c r="H10" s="3" t="s">
        <v>68</v>
      </c>
      <c r="I10" s="3">
        <v>4895000</v>
      </c>
      <c r="J10" s="5"/>
      <c r="K10" s="6" t="s">
        <v>58</v>
      </c>
      <c r="L10" s="6" t="s">
        <v>58</v>
      </c>
      <c r="M10" s="6" t="s">
        <v>58</v>
      </c>
      <c r="N10" s="6" t="s">
        <v>58</v>
      </c>
      <c r="O10" s="6" t="s">
        <v>58</v>
      </c>
      <c r="P10" s="6" t="s">
        <v>58</v>
      </c>
      <c r="Q10" s="5"/>
      <c r="R10" s="6" t="s">
        <v>58</v>
      </c>
      <c r="S10" s="6" t="s">
        <v>58</v>
      </c>
      <c r="T10" s="6" t="s">
        <v>58</v>
      </c>
      <c r="U10" s="6" t="s">
        <v>58</v>
      </c>
      <c r="V10" s="6" t="s">
        <v>58</v>
      </c>
      <c r="W10" s="6" t="s">
        <v>58</v>
      </c>
      <c r="X10" s="5"/>
      <c r="Y10" s="6" t="s">
        <v>58</v>
      </c>
      <c r="Z10" s="6" t="s">
        <v>58</v>
      </c>
      <c r="AA10" s="6" t="s">
        <v>58</v>
      </c>
      <c r="AB10" s="6" t="s">
        <v>58</v>
      </c>
      <c r="AC10" s="6" t="s">
        <v>58</v>
      </c>
      <c r="AD10" s="6" t="s">
        <v>58</v>
      </c>
      <c r="AE10" s="5"/>
      <c r="AF10" s="6" t="s">
        <v>58</v>
      </c>
      <c r="AG10" s="6" t="s">
        <v>58</v>
      </c>
      <c r="AH10" s="6" t="s">
        <v>58</v>
      </c>
      <c r="AI10" s="6" t="s">
        <v>58</v>
      </c>
      <c r="AJ10" s="6" t="s">
        <v>58</v>
      </c>
      <c r="AK10" s="6" t="s">
        <v>58</v>
      </c>
      <c r="AL10" s="5"/>
      <c r="AM10" s="6" t="s">
        <v>58</v>
      </c>
      <c r="AN10" s="6" t="s">
        <v>58</v>
      </c>
      <c r="AO10" s="3">
        <f t="shared" si="0"/>
        <v>26</v>
      </c>
      <c r="AP10" s="3">
        <f t="shared" si="1"/>
        <v>0</v>
      </c>
      <c r="AQ10" s="3">
        <f t="shared" si="2"/>
        <v>26</v>
      </c>
      <c r="AR10" s="3">
        <f t="shared" si="3"/>
        <v>0</v>
      </c>
      <c r="AS10" s="3">
        <f t="shared" si="4"/>
        <v>0</v>
      </c>
    </row>
  </sheetData>
  <autoFilter ref="A3:AS10" xr:uid="{00000000-0009-0000-0000-000000000000}"/>
  <mergeCells count="15">
    <mergeCell ref="A1:AS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O2:AO3"/>
    <mergeCell ref="AP2:AP3"/>
    <mergeCell ref="AQ2:AQ3"/>
    <mergeCell ref="AR2:AR3"/>
    <mergeCell ref="AS2:AS3"/>
  </mergeCells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'Ma cham cong'!$A$2:$A$16</xm:f>
          </x14:formula1>
          <xm:sqref>J4:AN10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s="7" t="s">
        <v>77</v>
      </c>
      <c r="B1" s="7" t="s">
        <v>78</v>
      </c>
      <c r="C1" s="7" t="s">
        <v>79</v>
      </c>
    </row>
    <row r="2" spans="1:3" x14ac:dyDescent="0.2">
      <c r="A2" t="s">
        <v>80</v>
      </c>
      <c r="B2" t="s">
        <v>81</v>
      </c>
      <c r="C2">
        <v>1</v>
      </c>
    </row>
    <row r="3" spans="1:3" x14ac:dyDescent="0.2">
      <c r="A3" t="s">
        <v>82</v>
      </c>
      <c r="B3" t="s">
        <v>83</v>
      </c>
      <c r="C3">
        <v>1</v>
      </c>
    </row>
    <row r="4" spans="1:3" x14ac:dyDescent="0.2">
      <c r="A4" t="s">
        <v>84</v>
      </c>
      <c r="B4" t="s">
        <v>85</v>
      </c>
      <c r="C4">
        <v>1</v>
      </c>
    </row>
    <row r="5" spans="1:3" x14ac:dyDescent="0.2">
      <c r="A5" t="s">
        <v>58</v>
      </c>
      <c r="B5" t="s">
        <v>86</v>
      </c>
      <c r="C5">
        <v>1</v>
      </c>
    </row>
    <row r="6" spans="1:3" x14ac:dyDescent="0.2">
      <c r="A6" t="s">
        <v>87</v>
      </c>
      <c r="B6" t="s">
        <v>88</v>
      </c>
      <c r="C6">
        <v>0.5</v>
      </c>
    </row>
    <row r="7" spans="1:3" x14ac:dyDescent="0.2">
      <c r="A7" t="s">
        <v>89</v>
      </c>
      <c r="B7" t="s">
        <v>90</v>
      </c>
      <c r="C7">
        <v>0.5</v>
      </c>
    </row>
    <row r="8" spans="1:3" x14ac:dyDescent="0.2">
      <c r="A8" t="s">
        <v>91</v>
      </c>
      <c r="B8" t="s">
        <v>92</v>
      </c>
      <c r="C8">
        <v>0</v>
      </c>
    </row>
    <row r="9" spans="1:3" x14ac:dyDescent="0.2">
      <c r="A9" t="s">
        <v>93</v>
      </c>
      <c r="B9" t="s">
        <v>94</v>
      </c>
      <c r="C9">
        <v>0</v>
      </c>
    </row>
    <row r="10" spans="1:3" x14ac:dyDescent="0.2">
      <c r="A10" t="s">
        <v>46</v>
      </c>
      <c r="B10" t="s">
        <v>95</v>
      </c>
      <c r="C10">
        <v>0</v>
      </c>
    </row>
    <row r="11" spans="1:3" x14ac:dyDescent="0.2">
      <c r="A11" t="s">
        <v>96</v>
      </c>
      <c r="B11" t="s">
        <v>97</v>
      </c>
      <c r="C11">
        <v>0</v>
      </c>
    </row>
    <row r="12" spans="1:3" x14ac:dyDescent="0.2">
      <c r="A12" t="s">
        <v>98</v>
      </c>
      <c r="B12" t="s">
        <v>99</v>
      </c>
      <c r="C12">
        <v>0</v>
      </c>
    </row>
    <row r="13" spans="1:3" x14ac:dyDescent="0.2">
      <c r="A13" t="s">
        <v>100</v>
      </c>
      <c r="B13" t="s">
        <v>101</v>
      </c>
      <c r="C13">
        <v>0</v>
      </c>
    </row>
    <row r="14" spans="1:3" x14ac:dyDescent="0.2">
      <c r="A14" t="s">
        <v>102</v>
      </c>
      <c r="B14" t="s">
        <v>103</v>
      </c>
      <c r="C14">
        <v>0</v>
      </c>
    </row>
    <row r="15" spans="1:3" x14ac:dyDescent="0.2">
      <c r="A15" t="s">
        <v>104</v>
      </c>
      <c r="B15" t="s">
        <v>105</v>
      </c>
      <c r="C15">
        <v>0</v>
      </c>
    </row>
    <row r="16" spans="1:3" x14ac:dyDescent="0.2">
      <c r="A16" t="s">
        <v>106</v>
      </c>
      <c r="B16" t="s">
        <v>107</v>
      </c>
      <c r="C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Cham Cong</vt:lpstr>
      <vt:lpstr>Ma cham 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1Password Viet Nam</cp:lastModifiedBy>
  <dcterms:created xsi:type="dcterms:W3CDTF">2026-05-05T11:14:42Z</dcterms:created>
  <dcterms:modified xsi:type="dcterms:W3CDTF">2026-05-05T11:23:09Z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2026-05-05T11:23:09Z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e8a2bad9-222f-472c-845a-bb6fcaa75e45</vt:lpwstr>
  </property>
  <property fmtid="{D5CDD505-2E9C-101B-9397-08002B2CF9AE}" pid="7" name="MSIP_Label_defa4170-0d19-0005-0004-bc88714345d2_ActionId">
    <vt:lpwstr>df9cc65e-ba07-4571-929f-a7aa833c70dd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