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nzai/dev/odoo 19/odoo/my_custom_addons/dl_salary_kpi/static/src/templates/"/>
    </mc:Choice>
  </mc:AlternateContent>
  <xr:revisionPtr revIDLastSave="0" documentId="13_ncr:1_{60232271-2F2E-5D48-BD1E-3F9972B4C7A7}" xr6:coauthVersionLast="47" xr6:coauthVersionMax="47" xr10:uidLastSave="{00000000-0000-0000-0000-000000000000}"/>
  <bookViews>
    <workbookView xWindow="4440" yWindow="760" windowWidth="25800" windowHeight="17760" xr2:uid="{D3079CF8-B802-4CB7-A36E-774FB64B72FE}"/>
  </bookViews>
  <sheets>
    <sheet name="TEMPLATE_KPI_POINT" sheetId="1" r:id="rId1"/>
    <sheet name="TEMPLATE_KPI_AMOUNT" sheetId="2" r:id="rId2"/>
  </sheets>
  <externalReferences>
    <externalReference r:id="rId3"/>
  </externalReferences>
  <definedNames>
    <definedName name="_Fill" hidden="1">#REF!</definedName>
    <definedName name="_xlnm._FilterDatabase" localSheetId="1" hidden="1">TEMPLATE_KPI_AMOUNT!$C$4:$H$6</definedName>
    <definedName name="_Key1">#REF!</definedName>
    <definedName name="_Key2">#REF!</definedName>
    <definedName name="_Sort">#REF!</definedName>
    <definedName name="ll">#REF!</definedName>
    <definedName name="ngay1">'[1]Thong tin'!$C$10</definedName>
    <definedName name="ngay2">'[1]Thong tin'!$C$11</definedName>
    <definedName name="_xlnm.Print_Area" localSheetId="1">TEMPLATE_KPI_AMOUNT!$A$1:$H$11</definedName>
    <definedName name="_xlnm.Print_Titles" localSheetId="1">TEMPLATE_KPI_AMOUNT!$4:$4</definedName>
    <definedName name="_xlnm.Print_Titles" localSheetId="0">TEMPLATE_KPI_POINT!$4:$4</definedName>
    <definedName name="T2.2024">#REF!</definedName>
    <definedName name="wrn.chi._.tiÆt.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F6" i="2"/>
  <c r="E6" i="2" s="1"/>
</calcChain>
</file>

<file path=xl/sharedStrings.xml><?xml version="1.0" encoding="utf-8"?>
<sst xmlns="http://schemas.openxmlformats.org/spreadsheetml/2006/main" count="46" uniqueCount="33">
  <si>
    <t>STT</t>
  </si>
  <si>
    <t>Họ Và Tên</t>
  </si>
  <si>
    <t>Tỷ lệ sản phẩm đạt tiêu chuẩn/ Tỷ lệ hoàn thành công việc</t>
  </si>
  <si>
    <t>Đi làm đúng giờ, không vi phạm an toàn, không bỏ ca, không hút thuốc trong khu vực cấm</t>
  </si>
  <si>
    <t>Kỹ năng làm việc nhóm</t>
  </si>
  <si>
    <t>Tuân thủ 5S / vệ sinh khu vực làm việc</t>
  </si>
  <si>
    <t>Tiết kiệm năng lượng, vật tư, máy móc văn phòng</t>
  </si>
  <si>
    <t>Tổng điểm KPI</t>
  </si>
  <si>
    <t>Ghi chú</t>
  </si>
  <si>
    <t>PHÒNG TC-HC</t>
  </si>
  <si>
    <t>Quản Đốc</t>
  </si>
  <si>
    <t>Giám Đốc</t>
  </si>
  <si>
    <t>Lương tính KPI</t>
  </si>
  <si>
    <t xml:space="preserve">KPI </t>
  </si>
  <si>
    <t>Tỷ lệ % hưởng lương</t>
  </si>
  <si>
    <t>Hệ số KPI</t>
  </si>
  <si>
    <t>Điểm KPI</t>
  </si>
  <si>
    <t>{company_name}</t>
  </si>
  <si>
    <t>BẢNG ĐÁNH GIÁ, CHẨM ĐIỂM KPI THÁNG {month}.{year}</t>
  </si>
  <si>
    <t>Ngày {last_day_of_month} tháng {month} năm {year}</t>
  </si>
  <si>
    <t>{stt}</t>
  </si>
  <si>
    <t>{employee_name}</t>
  </si>
  <si>
    <t>{c1}</t>
  </si>
  <si>
    <t>{c2}</t>
  </si>
  <si>
    <t>{c3}</t>
  </si>
  <si>
    <t>{c4}</t>
  </si>
  <si>
    <t>{c5}</t>
  </si>
  <si>
    <t>{total_point}</t>
  </si>
  <si>
    <t>{salary}</t>
  </si>
  <si>
    <t>{department}</t>
  </si>
  <si>
    <t>{Quan_doc_name}</t>
  </si>
  <si>
    <t>Mã số thuế: {tax_number}</t>
  </si>
  <si>
    <t>BẢNG TÍNH KPI THÁNG  {month}.{year}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</si>
</sst>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-* #,##0.00\ _s_o_'_m_-;\-* #,##0.00\ _s_o_'_m_-;_-* &quot;-&quot;??\ _s_o_'_m_-;_-@_-"/>
    <numFmt numFmtId="166" formatCode="_(* #,##0.0_);_(* \(#,##0.0\);_(* &quot;-&quot;??_);_(@_)"/>
  </numFmts>
  <fonts count="12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b/>
      <sz val="20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sz val="20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sz val="10"/>
      <name val="Encysoft Times"/>
    </font>
    <font>
      <b/>
      <sz val="18"/>
      <name val="Times New Roman"/>
      <family val="1"/>
    </font>
    <font>
      <sz val="14"/>
      <name val="Times New Roman"/>
      <family val="1"/>
    </font>
    <font>
      <b/>
      <sz val="28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3" applyFont="1"/>
    <xf numFmtId="0" fontId="3" fillId="0" borderId="0" xfId="3" applyFont="1" applyAlignment="1">
      <alignment horizontal="left"/>
    </xf>
    <xf numFmtId="0" fontId="4" fillId="0" borderId="0" xfId="3" applyFont="1"/>
    <xf numFmtId="0" fontId="2" fillId="0" borderId="0" xfId="3" applyFont="1" applyAlignment="1">
      <alignment vertical="center"/>
    </xf>
    <xf numFmtId="0" fontId="5" fillId="0" borderId="0" xfId="3" applyFont="1"/>
    <xf numFmtId="0" fontId="6" fillId="0" borderId="2" xfId="3" applyFont="1" applyBorder="1" applyAlignment="1">
      <alignment horizontal="center" vertical="center" wrapText="1"/>
    </xf>
    <xf numFmtId="164" fontId="6" fillId="0" borderId="2" xfId="1" applyNumberFormat="1" applyFont="1" applyFill="1" applyBorder="1" applyAlignment="1">
      <alignment horizontal="center" vertical="center" wrapText="1"/>
    </xf>
    <xf numFmtId="0" fontId="6" fillId="0" borderId="0" xfId="3" applyFont="1" applyAlignment="1">
      <alignment horizontal="center"/>
    </xf>
    <xf numFmtId="37" fontId="6" fillId="0" borderId="2" xfId="1" applyNumberFormat="1" applyFont="1" applyFill="1" applyBorder="1" applyAlignment="1">
      <alignment horizontal="center" vertical="center"/>
    </xf>
    <xf numFmtId="164" fontId="6" fillId="0" borderId="2" xfId="1" applyNumberFormat="1" applyFont="1" applyFill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left" vertical="center"/>
    </xf>
    <xf numFmtId="0" fontId="7" fillId="0" borderId="2" xfId="3" applyFont="1" applyBorder="1" applyAlignment="1">
      <alignment horizontal="center"/>
    </xf>
    <xf numFmtId="0" fontId="7" fillId="0" borderId="2" xfId="3" applyFont="1" applyBorder="1" applyAlignment="1">
      <alignment horizontal="left"/>
    </xf>
    <xf numFmtId="164" fontId="7" fillId="0" borderId="2" xfId="1" applyNumberFormat="1" applyFont="1" applyFill="1" applyBorder="1" applyAlignment="1">
      <alignment horizontal="center"/>
    </xf>
    <xf numFmtId="0" fontId="7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164" fontId="3" fillId="0" borderId="0" xfId="1" applyNumberFormat="1" applyFont="1" applyFill="1"/>
    <xf numFmtId="164" fontId="4" fillId="0" borderId="0" xfId="1" applyNumberFormat="1" applyFont="1" applyFill="1"/>
    <xf numFmtId="166" fontId="4" fillId="0" borderId="0" xfId="1" applyNumberFormat="1" applyFont="1" applyFill="1"/>
    <xf numFmtId="0" fontId="9" fillId="0" borderId="0" xfId="3" applyFont="1" applyAlignment="1">
      <alignment horizontal="center" vertical="center"/>
    </xf>
    <xf numFmtId="164" fontId="9" fillId="0" borderId="0" xfId="5" applyNumberFormat="1" applyFont="1" applyFill="1" applyAlignment="1">
      <alignment vertical="center"/>
    </xf>
    <xf numFmtId="0" fontId="3" fillId="0" borderId="0" xfId="3" applyFont="1"/>
    <xf numFmtId="164" fontId="5" fillId="0" borderId="0" xfId="1" applyNumberFormat="1" applyFont="1" applyFill="1" applyAlignment="1">
      <alignment horizontal="center"/>
    </xf>
    <xf numFmtId="10" fontId="4" fillId="0" borderId="0" xfId="2" applyNumberFormat="1" applyFont="1" applyFill="1"/>
    <xf numFmtId="43" fontId="4" fillId="0" borderId="0" xfId="1" applyFont="1" applyFill="1"/>
    <xf numFmtId="164" fontId="9" fillId="0" borderId="0" xfId="1" applyNumberFormat="1" applyFont="1" applyFill="1" applyAlignment="1">
      <alignment horizontal="left"/>
    </xf>
    <xf numFmtId="0" fontId="3" fillId="0" borderId="0" xfId="3" applyFont="1" applyAlignment="1">
      <alignment vertical="center"/>
    </xf>
    <xf numFmtId="0" fontId="10" fillId="0" borderId="0" xfId="3" applyFont="1" applyAlignment="1">
      <alignment vertical="center"/>
    </xf>
    <xf numFmtId="10" fontId="10" fillId="0" borderId="0" xfId="2" applyNumberFormat="1" applyFont="1" applyFill="1" applyAlignment="1">
      <alignment vertical="center"/>
    </xf>
    <xf numFmtId="164" fontId="10" fillId="0" borderId="0" xfId="1" applyNumberFormat="1" applyFont="1" applyFill="1" applyAlignment="1">
      <alignment vertical="center"/>
    </xf>
    <xf numFmtId="166" fontId="10" fillId="0" borderId="0" xfId="1" applyNumberFormat="1" applyFont="1" applyFill="1" applyAlignment="1">
      <alignment vertical="center"/>
    </xf>
    <xf numFmtId="10" fontId="6" fillId="0" borderId="2" xfId="2" applyNumberFormat="1" applyFont="1" applyFill="1" applyBorder="1" applyAlignment="1">
      <alignment horizontal="center" vertical="center" wrapText="1"/>
    </xf>
    <xf numFmtId="43" fontId="6" fillId="0" borderId="2" xfId="1" applyFont="1" applyFill="1" applyBorder="1" applyAlignment="1">
      <alignment horizontal="center" vertical="center" wrapText="1"/>
    </xf>
    <xf numFmtId="166" fontId="6" fillId="0" borderId="2" xfId="1" applyNumberFormat="1" applyFont="1" applyFill="1" applyBorder="1" applyAlignment="1">
      <alignment horizontal="center" vertical="center" wrapText="1"/>
    </xf>
    <xf numFmtId="0" fontId="6" fillId="0" borderId="0" xfId="3" applyFont="1"/>
    <xf numFmtId="10" fontId="6" fillId="0" borderId="2" xfId="2" applyNumberFormat="1" applyFont="1" applyFill="1" applyBorder="1" applyAlignment="1">
      <alignment horizontal="center" vertical="center"/>
    </xf>
    <xf numFmtId="43" fontId="6" fillId="0" borderId="2" xfId="1" applyFont="1" applyFill="1" applyBorder="1" applyAlignment="1">
      <alignment horizontal="center" vertical="center"/>
    </xf>
    <xf numFmtId="166" fontId="6" fillId="0" borderId="2" xfId="1" applyNumberFormat="1" applyFont="1" applyFill="1" applyBorder="1" applyAlignment="1">
      <alignment horizontal="center" vertical="center"/>
    </xf>
    <xf numFmtId="10" fontId="7" fillId="0" borderId="2" xfId="2" applyNumberFormat="1" applyFont="1" applyFill="1" applyBorder="1" applyAlignment="1">
      <alignment horizontal="center"/>
    </xf>
    <xf numFmtId="43" fontId="7" fillId="0" borderId="2" xfId="1" applyFont="1" applyFill="1" applyBorder="1" applyAlignment="1">
      <alignment horizontal="center"/>
    </xf>
    <xf numFmtId="166" fontId="7" fillId="0" borderId="2" xfId="1" applyNumberFormat="1" applyFont="1" applyFill="1" applyBorder="1" applyAlignment="1">
      <alignment horizontal="center"/>
    </xf>
    <xf numFmtId="164" fontId="9" fillId="0" borderId="0" xfId="4" applyNumberFormat="1" applyFont="1" applyFill="1" applyAlignment="1"/>
    <xf numFmtId="164" fontId="11" fillId="0" borderId="0" xfId="4" applyNumberFormat="1" applyFont="1" applyFill="1" applyAlignment="1"/>
    <xf numFmtId="164" fontId="9" fillId="0" borderId="0" xfId="1" applyNumberFormat="1" applyFont="1" applyFill="1" applyAlignment="1">
      <alignment horizontal="center"/>
    </xf>
    <xf numFmtId="0" fontId="2" fillId="0" borderId="1" xfId="3" applyFont="1" applyBorder="1" applyAlignment="1">
      <alignment vertical="center"/>
    </xf>
    <xf numFmtId="0" fontId="6" fillId="0" borderId="3" xfId="3" applyFont="1" applyBorder="1" applyAlignment="1">
      <alignment vertical="center"/>
    </xf>
    <xf numFmtId="0" fontId="6" fillId="0" borderId="4" xfId="3" applyFont="1" applyBorder="1" applyAlignment="1">
      <alignment vertical="center"/>
    </xf>
    <xf numFmtId="164" fontId="9" fillId="0" borderId="5" xfId="4" applyNumberFormat="1" applyFont="1" applyFill="1" applyBorder="1" applyAlignment="1">
      <alignment vertical="center"/>
    </xf>
    <xf numFmtId="0" fontId="9" fillId="0" borderId="0" xfId="3" applyFont="1" applyAlignment="1">
      <alignment vertical="center"/>
    </xf>
    <xf numFmtId="0" fontId="9" fillId="0" borderId="0" xfId="3" applyFont="1"/>
    <xf numFmtId="3" fontId="7" fillId="0" borderId="2" xfId="1" applyNumberFormat="1" applyFont="1" applyFill="1" applyBorder="1" applyAlignment="1">
      <alignment horizontal="center"/>
    </xf>
    <xf numFmtId="39" fontId="7" fillId="0" borderId="2" xfId="1" applyNumberFormat="1" applyFont="1" applyFill="1" applyBorder="1" applyAlignment="1">
      <alignment horizontal="center"/>
    </xf>
    <xf numFmtId="2" fontId="7" fillId="0" borderId="2" xfId="3" applyNumberFormat="1" applyFont="1" applyBorder="1" applyAlignment="1">
      <alignment horizontal="center"/>
    </xf>
  </cellXfs>
  <cellStyles count="6">
    <cellStyle name="Comma" xfId="1" builtinId="3"/>
    <cellStyle name="Comma 3" xfId="4" xr:uid="{665759B8-21AF-43B6-98C4-7AD8FC2A555C}"/>
    <cellStyle name="Comma 9" xfId="5" xr:uid="{E28AF1D0-BDB1-413B-9210-48986F5376CA}"/>
    <cellStyle name="Normal" xfId="0" builtinId="0"/>
    <cellStyle name="Normal 4" xfId="3" xr:uid="{54D43E22-99CF-4F69-A20D-F6B1C05F8873}"/>
    <cellStyle name="Percent" xfId="2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Users/ADMIN/Desktop/T&#224;i%20li&#7879;u%20gi&#7843;ng%20d&#7841;y/mau-bia-so-sach-ke-toan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"/>
      <sheetName val="XXXXXXX0"/>
      <sheetName val="XXXXXXX1"/>
      <sheetName val="Calendar"/>
      <sheetName val="Thong tin"/>
      <sheetName val="Menu"/>
      <sheetName val="Thu-Chi"/>
      <sheetName val="So Sach"/>
      <sheetName val="So Cai"/>
      <sheetName val="So Cai (CTGS)"/>
      <sheetName val="NKC"/>
      <sheetName val="SO DKCTGS"/>
      <sheetName val="NVL"/>
      <sheetName val="SO NKSC"/>
      <sheetName val="NXT"/>
      <sheetName val="Quy Tien Mat"/>
      <sheetName val="Quy Tien Gui"/>
      <sheetName val="Z154"/>
      <sheetName val="Nhatkymay623"/>
      <sheetName val="CCDC"/>
      <sheetName val="BCTC"/>
      <sheetName val="HĐLĐ"/>
      <sheetName val="HĐKT"/>
      <sheetName val="Phiếu xuất kho"/>
      <sheetName val="Phiếu nhập kho"/>
      <sheetName val="Khung bia"/>
    </sheetNames>
    <sheetDataSet>
      <sheetData sheetId="0"/>
      <sheetData sheetId="1"/>
      <sheetData sheetId="2"/>
      <sheetData sheetId="3"/>
      <sheetData sheetId="4">
        <row r="10">
          <cell r="C10">
            <v>44927</v>
          </cell>
        </row>
        <row r="11">
          <cell r="C11">
            <v>45291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E4AB0-F0DC-4658-86A7-5779B3026417}">
  <sheetPr codeName="Sheet49">
    <tabColor rgb="FFFFC000"/>
  </sheetPr>
  <dimension ref="A1:I11"/>
  <sheetViews>
    <sheetView tabSelected="1" view="pageBreakPreview" zoomScale="85" zoomScaleNormal="85" zoomScaleSheetLayoutView="85" workbookViewId="0">
      <pane xSplit="2" ySplit="4" topLeftCell="C5" activePane="bottomRight" state="frozen"/>
      <selection pane="topRight" activeCell="J1" sqref="J1"/>
      <selection pane="bottomLeft" activeCell="A5" sqref="A5"/>
      <selection pane="bottomRight" activeCell="I6" sqref="I6"/>
    </sheetView>
  </sheetViews>
  <sheetFormatPr baseColWidth="10" defaultColWidth="9.1640625" defaultRowHeight="16"/>
  <cols>
    <col min="1" max="1" width="13.6640625" style="24" customWidth="1"/>
    <col min="2" max="2" width="36.5" style="2" customWidth="1"/>
    <col min="3" max="3" width="26.6640625" style="3" customWidth="1"/>
    <col min="4" max="4" width="27.5" style="3" customWidth="1"/>
    <col min="5" max="5" width="16.1640625" style="3" customWidth="1"/>
    <col min="6" max="6" width="21.6640625" style="3" customWidth="1"/>
    <col min="7" max="7" width="22.5" style="3" customWidth="1"/>
    <col min="8" max="8" width="21.83203125" style="3" customWidth="1"/>
    <col min="9" max="9" width="17" style="3" customWidth="1"/>
    <col min="10" max="16384" width="9.1640625" style="3"/>
  </cols>
  <sheetData>
    <row r="1" spans="1:9" ht="34.5" customHeight="1">
      <c r="A1" s="1" t="s">
        <v>17</v>
      </c>
    </row>
    <row r="2" spans="1:9" ht="34.5" customHeight="1">
      <c r="A2" s="4" t="s">
        <v>31</v>
      </c>
    </row>
    <row r="3" spans="1:9" s="5" customFormat="1" ht="40.5" customHeight="1">
      <c r="A3" s="47" t="s">
        <v>18</v>
      </c>
      <c r="B3" s="47"/>
      <c r="C3" s="47"/>
      <c r="D3" s="47"/>
      <c r="E3" s="47"/>
      <c r="F3" s="47"/>
      <c r="G3" s="47"/>
      <c r="H3" s="47"/>
      <c r="I3" s="47"/>
    </row>
    <row r="4" spans="1:9" s="8" customFormat="1" ht="147" customHeight="1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7" t="s">
        <v>7</v>
      </c>
      <c r="I4" s="6" t="s">
        <v>8</v>
      </c>
    </row>
    <row r="5" spans="1:9" s="12" customFormat="1" ht="48" customHeight="1">
      <c r="A5" s="48" t="s">
        <v>29</v>
      </c>
      <c r="B5" s="49"/>
      <c r="C5" s="9"/>
      <c r="D5" s="9"/>
      <c r="E5" s="9"/>
      <c r="F5" s="9"/>
      <c r="G5" s="9"/>
      <c r="H5" s="10"/>
      <c r="I5" s="11"/>
    </row>
    <row r="6" spans="1:9" s="17" customFormat="1" ht="53.25" customHeight="1">
      <c r="A6" s="14" t="s">
        <v>20</v>
      </c>
      <c r="B6" s="15" t="s">
        <v>21</v>
      </c>
      <c r="C6" s="54" t="s">
        <v>22</v>
      </c>
      <c r="D6" s="54" t="s">
        <v>23</v>
      </c>
      <c r="E6" s="54" t="s">
        <v>24</v>
      </c>
      <c r="F6" s="54" t="s">
        <v>25</v>
      </c>
      <c r="G6" s="54" t="s">
        <v>26</v>
      </c>
      <c r="H6" s="54" t="s">
        <v>27</v>
      </c>
      <c r="I6" s="55"/>
    </row>
    <row r="7" spans="1:9" ht="48" customHeight="1">
      <c r="A7" s="18"/>
      <c r="C7" s="19"/>
      <c r="D7" s="20"/>
      <c r="E7" s="50" t="s">
        <v>19</v>
      </c>
      <c r="F7" s="50"/>
      <c r="G7" s="50"/>
      <c r="H7" s="21"/>
    </row>
    <row r="8" spans="1:9" ht="23">
      <c r="A8" s="18"/>
      <c r="B8" s="22" t="s">
        <v>9</v>
      </c>
      <c r="C8" s="19"/>
      <c r="D8" s="23" t="s">
        <v>10</v>
      </c>
      <c r="F8" s="51" t="s">
        <v>11</v>
      </c>
      <c r="G8" s="51"/>
      <c r="H8" s="21"/>
    </row>
    <row r="9" spans="1:9" ht="30" customHeight="1">
      <c r="C9" s="19"/>
      <c r="D9" s="25"/>
      <c r="E9" s="26"/>
      <c r="F9" s="27"/>
      <c r="G9" s="20"/>
      <c r="H9" s="21"/>
    </row>
    <row r="10" spans="1:9" ht="30" customHeight="1">
      <c r="C10" s="19"/>
      <c r="D10" s="25"/>
      <c r="E10" s="26"/>
      <c r="F10" s="27"/>
      <c r="G10" s="20"/>
      <c r="H10" s="21"/>
    </row>
    <row r="11" spans="1:9" ht="23">
      <c r="D11" s="28" t="s">
        <v>30</v>
      </c>
    </row>
  </sheetData>
  <dataValidations count="1">
    <dataValidation allowBlank="1" showInputMessage="1" showErrorMessage="1" promptTitle="Thông báo" prompt="Không nhập các ký tự đặc biệt sau: ~ ` #  ^  |" sqref="B6" xr:uid="{C4157B79-3875-4B55-8BFB-2AC358E5A921}"/>
  </dataValidations>
  <pageMargins left="0.51181102362204722" right="0" top="0.55118110236220474" bottom="0" header="0" footer="0"/>
  <pageSetup paperSize="9" scale="4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2AA33-F541-41B7-B5CA-BF6580922E31}">
  <dimension ref="A1:K11"/>
  <sheetViews>
    <sheetView view="pageBreakPreview" zoomScale="85" zoomScaleNormal="100" zoomScaleSheetLayoutView="85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D6" sqref="D6"/>
    </sheetView>
  </sheetViews>
  <sheetFormatPr baseColWidth="10" defaultColWidth="9.1640625" defaultRowHeight="16"/>
  <cols>
    <col min="1" max="1" width="10.6640625" style="24" customWidth="1"/>
    <col min="2" max="2" width="42.83203125" style="2" customWidth="1"/>
    <col min="3" max="3" width="23.5" style="19" customWidth="1"/>
    <col min="4" max="4" width="20" style="20" customWidth="1"/>
    <col min="5" max="5" width="18" style="26" customWidth="1"/>
    <col min="6" max="6" width="16.6640625" style="27" customWidth="1"/>
    <col min="7" max="7" width="17.1640625" style="20" customWidth="1"/>
    <col min="8" max="8" width="16.6640625" style="21" customWidth="1"/>
    <col min="9" max="9" width="13.33203125" style="3" customWidth="1"/>
    <col min="10" max="10" width="12.33203125" style="3" customWidth="1"/>
    <col min="11" max="16384" width="9.1640625" style="3"/>
  </cols>
  <sheetData>
    <row r="1" spans="1:11" ht="29" customHeight="1">
      <c r="A1" s="1" t="s">
        <v>17</v>
      </c>
      <c r="C1" s="29"/>
      <c r="D1" s="30"/>
      <c r="E1" s="31"/>
      <c r="F1" s="30"/>
      <c r="G1" s="32"/>
      <c r="H1" s="33"/>
    </row>
    <row r="2" spans="1:11" ht="29" customHeight="1">
      <c r="A2" s="4" t="s">
        <v>31</v>
      </c>
      <c r="C2" s="29"/>
      <c r="D2" s="30"/>
      <c r="E2" s="31"/>
      <c r="F2" s="30"/>
      <c r="G2" s="32"/>
      <c r="H2" s="33"/>
    </row>
    <row r="3" spans="1:11" ht="29.25" customHeight="1">
      <c r="A3" s="29"/>
      <c r="B3" s="4" t="s">
        <v>32</v>
      </c>
      <c r="C3" s="4"/>
      <c r="D3" s="4"/>
      <c r="E3" s="4"/>
      <c r="F3" s="4"/>
      <c r="G3" s="4"/>
      <c r="H3" s="4"/>
    </row>
    <row r="4" spans="1:11" s="37" customFormat="1" ht="66.75" customHeight="1">
      <c r="A4" s="6" t="s">
        <v>0</v>
      </c>
      <c r="B4" s="6" t="s">
        <v>1</v>
      </c>
      <c r="C4" s="7" t="s">
        <v>12</v>
      </c>
      <c r="D4" s="7" t="s">
        <v>13</v>
      </c>
      <c r="E4" s="34" t="s">
        <v>14</v>
      </c>
      <c r="F4" s="35" t="s">
        <v>15</v>
      </c>
      <c r="G4" s="7" t="s">
        <v>16</v>
      </c>
      <c r="H4" s="36" t="s">
        <v>8</v>
      </c>
    </row>
    <row r="5" spans="1:11" s="12" customFormat="1" ht="55.5" customHeight="1">
      <c r="A5" s="11" t="s">
        <v>29</v>
      </c>
      <c r="B5" s="13"/>
      <c r="C5" s="10"/>
      <c r="D5" s="10"/>
      <c r="E5" s="38"/>
      <c r="F5" s="39"/>
      <c r="G5" s="10"/>
      <c r="H5" s="40"/>
    </row>
    <row r="6" spans="1:11" s="17" customFormat="1" ht="55.5" customHeight="1">
      <c r="A6" s="14" t="s">
        <v>20</v>
      </c>
      <c r="B6" s="15" t="s">
        <v>21</v>
      </c>
      <c r="C6" s="16" t="s">
        <v>28</v>
      </c>
      <c r="D6" s="53" t="str">
        <f>IFERROR(C6*E6,"-")</f>
        <v>-</v>
      </c>
      <c r="E6" s="41">
        <f t="shared" ref="E6" si="0">+F6-1</f>
        <v>0.23099999999999987</v>
      </c>
      <c r="F6" s="42">
        <f t="shared" ref="F6" si="1">1+(G6-50)/50</f>
        <v>1.2309999999999999</v>
      </c>
      <c r="G6" s="42">
        <v>61.55</v>
      </c>
      <c r="H6" s="43"/>
    </row>
    <row r="7" spans="1:11" ht="42" customHeight="1">
      <c r="A7" s="18"/>
      <c r="D7" s="50" t="s">
        <v>19</v>
      </c>
      <c r="E7" s="44"/>
      <c r="F7" s="44"/>
      <c r="G7" s="45"/>
    </row>
    <row r="8" spans="1:11" s="21" customFormat="1" ht="37" customHeight="1">
      <c r="A8" s="18"/>
      <c r="B8" s="22" t="s">
        <v>9</v>
      </c>
      <c r="C8" s="19"/>
      <c r="D8" s="23" t="s">
        <v>10</v>
      </c>
      <c r="F8" s="52" t="s">
        <v>11</v>
      </c>
      <c r="G8" s="52"/>
      <c r="I8" s="3"/>
      <c r="J8" s="3"/>
      <c r="K8" s="3"/>
    </row>
    <row r="9" spans="1:11" ht="34.5" customHeight="1">
      <c r="D9" s="25"/>
    </row>
    <row r="10" spans="1:11" ht="34.5" customHeight="1">
      <c r="D10" s="25"/>
    </row>
    <row r="11" spans="1:11" ht="23">
      <c r="D11" s="46" t="s">
        <v>30</v>
      </c>
    </row>
  </sheetData>
  <autoFilter ref="C4:H6" xr:uid="{00000000-0009-0000-0000-000001000000}"/>
  <conditionalFormatting sqref="B5:B6">
    <cfRule type="duplicateValues" dxfId="2" priority="4"/>
    <cfRule type="duplicateValues" dxfId="1" priority="5"/>
    <cfRule type="duplicateValues" dxfId="0" priority="6" stopIfTrue="1"/>
  </conditionalFormatting>
  <dataValidations count="1">
    <dataValidation allowBlank="1" showInputMessage="1" showErrorMessage="1" promptTitle="Thông báo" prompt="Không nhập các ký tự đặc biệt sau: ~ ` #  ^  |" sqref="B5:B6" xr:uid="{79A38C6B-03EC-4108-9642-3267D100A207}"/>
  </dataValidations>
  <pageMargins left="0.51181102362204722" right="0" top="0.55118110236220474" bottom="0" header="0" footer="0"/>
  <pageSetup paperSize="9" scale="5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TEMPLATE_KPI_POINT</vt:lpstr>
      <vt:lpstr>TEMPLATE_KPI_AMOUNT</vt:lpstr>
      <vt:lpstr>TEMPLATE_KPI_AMOUNT!Print_Area</vt:lpstr>
      <vt:lpstr>TEMPLATE_KPI_AMOUNT!Print_Titles</vt:lpstr>
      <vt:lpstr>TEMPLATE_KPI_POINT!Print_Titles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KT Đức Lâm</dc:creator>
  <cp:lastModifiedBy>1Password Viet Nam</cp:lastModifiedBy>
  <dcterms:created xsi:type="dcterms:W3CDTF">2026-05-03T07:22:07Z</dcterms:created>
  <dcterms:modified xsi:type="dcterms:W3CDTF">2026-05-05T02:46:55Z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2026-05-04T15:38:15Z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e8a2bad9-222f-472c-845a-bb6fcaa75e45</vt:lpwstr>
  </property>
  <property fmtid="{D5CDD505-2E9C-101B-9397-08002B2CF9AE}" pid="7" name="MSIP_Label_defa4170-0d19-0005-0004-bc88714345d2_ActionId">
    <vt:lpwstr>42deaefa-1bff-45da-9d9c-613cfbdc62d4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