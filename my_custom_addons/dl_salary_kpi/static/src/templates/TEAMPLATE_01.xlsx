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zai/dev/odoo 19/odoo/my_custom_addons/dl_salary_kpi/static/src/templates/"/>
    </mc:Choice>
  </mc:AlternateContent>
  <xr:revisionPtr revIDLastSave="0" documentId="13_ncr:1_{2C8B77B6-0577-A643-887B-F2F73E7F7E57}" xr6:coauthVersionLast="47" xr6:coauthVersionMax="47" xr10:uidLastSave="{00000000-0000-0000-0000-000000000000}"/>
  <bookViews>
    <workbookView xWindow="4440" yWindow="760" windowWidth="25800" windowHeight="17760" activeTab="1" xr2:uid="{00000000-000D-0000-FFFF-FFFF00000000}"/>
  </bookViews>
  <sheets>
    <sheet name="Kangatang" sheetId="43" state="veryHidden" r:id="rId1"/>
    <sheet name="T 1" sheetId="49" r:id="rId2"/>
    <sheet name="thực tế" sheetId="68" state="hidden" r:id="rId3"/>
    <sheet name="thực tế (2)" sheetId="69" state="hidden" r:id="rId4"/>
    <sheet name="KPI_1" sheetId="65" state="hidden" r:id="rId5"/>
    <sheet name="KPI_1 T10" sheetId="71" state="hidden" r:id="rId6"/>
    <sheet name="Thang KPI" sheetId="67" state="hidden" r:id="rId7"/>
  </sheets>
  <externalReferences>
    <externalReference r:id="rId8"/>
  </externalReferences>
  <definedNames>
    <definedName name="_Fill" hidden="1">#REF!</definedName>
    <definedName name="_xlnm._FilterDatabase" localSheetId="1" hidden="1">'T 1'!$A$6:$EM$10</definedName>
    <definedName name="_Key1">#REF!</definedName>
    <definedName name="_Key2">#REF!</definedName>
    <definedName name="_Sort">#REF!</definedName>
    <definedName name="ll">#REF!</definedName>
    <definedName name="ngay1">'[1]Thong tin'!$C$10</definedName>
    <definedName name="ngay2">'[1]Thong tin'!$C$11</definedName>
    <definedName name="T2.2024">#REF!</definedName>
    <definedName name="wrn.chi._.tiÆt.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49" l="1"/>
  <c r="D8" i="49" s="1"/>
  <c r="AN8" i="49"/>
  <c r="AP8" i="49" s="1"/>
  <c r="AO8" i="49"/>
  <c r="CF8" i="49" s="1"/>
  <c r="AQ8" i="49"/>
  <c r="CG8" i="49" s="1"/>
  <c r="AS8" i="49"/>
  <c r="AT8" i="49"/>
  <c r="AU8" i="49"/>
  <c r="AV8" i="49"/>
  <c r="AW8" i="49"/>
  <c r="AX8" i="49"/>
  <c r="AY8" i="49"/>
  <c r="AZ8" i="49"/>
  <c r="BA8" i="49"/>
  <c r="BB8" i="49"/>
  <c r="BC8" i="49"/>
  <c r="BD8" i="49"/>
  <c r="BE8" i="49"/>
  <c r="BF8" i="49"/>
  <c r="BG8" i="49"/>
  <c r="BH8" i="49"/>
  <c r="BI8" i="49"/>
  <c r="BJ8" i="49"/>
  <c r="BK8" i="49"/>
  <c r="BL8" i="49"/>
  <c r="BM8" i="49"/>
  <c r="BN8" i="49"/>
  <c r="BO8" i="49"/>
  <c r="BP8" i="49"/>
  <c r="BQ8" i="49"/>
  <c r="BR8" i="49"/>
  <c r="BS8" i="49"/>
  <c r="BT8" i="49"/>
  <c r="BU8" i="49"/>
  <c r="BV8" i="49"/>
  <c r="BW8" i="49"/>
  <c r="BY8" i="49"/>
  <c r="BZ8" i="49"/>
  <c r="CR8" i="49"/>
  <c r="CX8" i="49"/>
  <c r="DI8" i="49"/>
  <c r="DZ8" i="49" s="1"/>
  <c r="DX8" i="49"/>
  <c r="EI8" i="49"/>
  <c r="DW8" i="49" l="1"/>
  <c r="DL8" i="49"/>
  <c r="DY8" i="49"/>
  <c r="CC8" i="49"/>
  <c r="CM8" i="49" s="1"/>
  <c r="CA8" i="49"/>
  <c r="CN8" i="49" s="1"/>
  <c r="DA8" i="49" s="1"/>
  <c r="DK8" i="49"/>
  <c r="CI8" i="49"/>
  <c r="CV8" i="49" s="1"/>
  <c r="DJ8" i="49"/>
  <c r="DO8" i="49" s="1"/>
  <c r="F8" i="49"/>
  <c r="CD8" i="49"/>
  <c r="CL8" i="49" s="1"/>
  <c r="E8" i="49"/>
  <c r="DV8" i="49"/>
  <c r="EH8" i="49"/>
  <c r="DG8" i="49"/>
  <c r="CJ8" i="49"/>
  <c r="CB8" i="49"/>
  <c r="G8" i="49"/>
  <c r="EC8" i="49"/>
  <c r="CH8" i="49"/>
  <c r="CE8" i="49"/>
  <c r="EM8" i="49"/>
  <c r="EB8" i="49" l="1"/>
  <c r="BX8" i="49"/>
  <c r="EA8" i="49"/>
  <c r="ED8" i="49" s="1"/>
  <c r="DF8" i="49"/>
  <c r="CS8" i="49"/>
  <c r="CT8" i="49"/>
  <c r="DC8" i="49"/>
  <c r="CU8" i="49"/>
  <c r="CO8" i="49"/>
  <c r="CW8" i="49"/>
  <c r="CY8" i="49"/>
  <c r="CZ8" i="49"/>
  <c r="DB8" i="49" l="1"/>
  <c r="DE8" i="49" s="1"/>
  <c r="DH8" i="49" s="1"/>
  <c r="EG8" i="49" l="1"/>
  <c r="EJ8" i="49" l="1"/>
  <c r="EN8" i="49"/>
  <c r="EO8" i="49" s="1"/>
  <c r="EK8" i="49" l="1"/>
  <c r="EL8" i="49" l="1"/>
  <c r="DM8" i="49" s="1"/>
  <c r="DN8" i="49" l="1"/>
  <c r="DP8" i="49" l="1"/>
  <c r="DS8" i="49" l="1"/>
  <c r="DT10" i="49" l="1"/>
  <c r="DD10" i="49"/>
  <c r="D7" i="67" l="1"/>
  <c r="F345" i="71"/>
  <c r="D345" i="71"/>
  <c r="F344" i="71"/>
  <c r="D344" i="71"/>
  <c r="F343" i="71"/>
  <c r="D343" i="71"/>
  <c r="F342" i="71"/>
  <c r="D342" i="71"/>
  <c r="F341" i="71"/>
  <c r="D341" i="71"/>
  <c r="F340" i="71"/>
  <c r="D340" i="71"/>
  <c r="F339" i="71"/>
  <c r="D339" i="71"/>
  <c r="F338" i="71"/>
  <c r="D338" i="71"/>
  <c r="F337" i="71"/>
  <c r="D337" i="71"/>
  <c r="F336" i="71"/>
  <c r="D336" i="71"/>
  <c r="F335" i="71"/>
  <c r="D335" i="71"/>
  <c r="F334" i="71"/>
  <c r="D334" i="71"/>
  <c r="F333" i="71"/>
  <c r="D333" i="71"/>
  <c r="F332" i="71"/>
  <c r="D332" i="71"/>
  <c r="F331" i="71"/>
  <c r="D331" i="71"/>
  <c r="F330" i="71"/>
  <c r="D330" i="71"/>
  <c r="F329" i="71"/>
  <c r="D329" i="71"/>
  <c r="F328" i="71"/>
  <c r="D328" i="71"/>
  <c r="F327" i="71"/>
  <c r="D327" i="71"/>
  <c r="F326" i="71"/>
  <c r="D326" i="71"/>
  <c r="F325" i="71"/>
  <c r="D325" i="71"/>
  <c r="F324" i="71"/>
  <c r="D324" i="71"/>
  <c r="F323" i="71"/>
  <c r="D323" i="71"/>
  <c r="F322" i="71"/>
  <c r="D322" i="71"/>
  <c r="F321" i="71"/>
  <c r="D321" i="71"/>
  <c r="F320" i="71"/>
  <c r="D320" i="71"/>
  <c r="F319" i="71"/>
  <c r="D319" i="71"/>
  <c r="F318" i="71"/>
  <c r="D318" i="71"/>
  <c r="F317" i="71"/>
  <c r="D317" i="71"/>
  <c r="F316" i="71"/>
  <c r="D316" i="71"/>
  <c r="F315" i="71"/>
  <c r="D315" i="71"/>
  <c r="F314" i="71"/>
  <c r="D314" i="71"/>
  <c r="F313" i="71"/>
  <c r="D313" i="71"/>
  <c r="F312" i="71"/>
  <c r="D312" i="71"/>
  <c r="F311" i="71"/>
  <c r="D311" i="71"/>
  <c r="F310" i="71"/>
  <c r="D310" i="71"/>
  <c r="F309" i="71"/>
  <c r="D309" i="71"/>
  <c r="F308" i="71"/>
  <c r="D308" i="71"/>
  <c r="F307" i="71"/>
  <c r="D307" i="71"/>
  <c r="F306" i="71"/>
  <c r="D306" i="71"/>
  <c r="F305" i="71"/>
  <c r="D305" i="71"/>
  <c r="F304" i="71"/>
  <c r="D304" i="71"/>
  <c r="D303" i="71"/>
  <c r="F302" i="71"/>
  <c r="D302" i="71"/>
  <c r="F301" i="71"/>
  <c r="D301" i="71"/>
  <c r="F300" i="71"/>
  <c r="D300" i="71"/>
  <c r="F299" i="71"/>
  <c r="D299" i="71"/>
  <c r="F298" i="71"/>
  <c r="D298" i="71"/>
  <c r="F297" i="71"/>
  <c r="D297" i="71"/>
  <c r="F296" i="71"/>
  <c r="D296" i="71"/>
  <c r="F295" i="71"/>
  <c r="D295" i="71"/>
  <c r="F294" i="71"/>
  <c r="D294" i="71"/>
  <c r="F293" i="71"/>
  <c r="D293" i="71"/>
  <c r="F292" i="71"/>
  <c r="D292" i="71"/>
  <c r="F291" i="71"/>
  <c r="D291" i="71"/>
  <c r="F290" i="71"/>
  <c r="D290" i="71"/>
  <c r="F289" i="71"/>
  <c r="D289" i="71"/>
  <c r="F288" i="71"/>
  <c r="D288" i="71"/>
  <c r="F287" i="71"/>
  <c r="D287" i="71"/>
  <c r="F286" i="71"/>
  <c r="D286" i="71"/>
  <c r="F285" i="71"/>
  <c r="D285" i="71"/>
  <c r="F284" i="71"/>
  <c r="D284" i="71"/>
  <c r="F283" i="71"/>
  <c r="D283" i="71"/>
  <c r="F282" i="71"/>
  <c r="D282" i="71"/>
  <c r="F281" i="71"/>
  <c r="D281" i="71"/>
  <c r="F280" i="71"/>
  <c r="D280" i="71"/>
  <c r="F279" i="71"/>
  <c r="D279" i="71"/>
  <c r="F278" i="71"/>
  <c r="D278" i="71"/>
  <c r="F277" i="71"/>
  <c r="D277" i="71"/>
  <c r="F276" i="71"/>
  <c r="D276" i="71"/>
  <c r="F275" i="71"/>
  <c r="D275" i="71"/>
  <c r="F274" i="71"/>
  <c r="D274" i="71"/>
  <c r="F273" i="71"/>
  <c r="D273" i="71"/>
  <c r="F272" i="71"/>
  <c r="D272" i="71"/>
  <c r="F271" i="71"/>
  <c r="D271" i="71"/>
  <c r="F270" i="71"/>
  <c r="D270" i="71"/>
  <c r="F269" i="71"/>
  <c r="D269" i="71"/>
  <c r="F268" i="71"/>
  <c r="D268" i="71"/>
  <c r="F267" i="71"/>
  <c r="D267" i="71"/>
  <c r="F266" i="71"/>
  <c r="D266" i="71"/>
  <c r="F265" i="71"/>
  <c r="D265" i="71"/>
  <c r="F264" i="71"/>
  <c r="D264" i="71"/>
  <c r="F263" i="71"/>
  <c r="D263" i="71"/>
  <c r="F262" i="71"/>
  <c r="D262" i="71"/>
  <c r="F261" i="71"/>
  <c r="D261" i="71"/>
  <c r="F260" i="71"/>
  <c r="D260" i="71"/>
  <c r="F259" i="71"/>
  <c r="D259" i="71"/>
  <c r="F258" i="71"/>
  <c r="D258" i="71"/>
  <c r="F257" i="71"/>
  <c r="D257" i="71"/>
  <c r="F256" i="71"/>
  <c r="D256" i="71"/>
  <c r="F255" i="71"/>
  <c r="D255" i="71"/>
  <c r="F254" i="71"/>
  <c r="D254" i="71"/>
  <c r="F253" i="71"/>
  <c r="D253" i="71"/>
  <c r="F252" i="71"/>
  <c r="D252" i="71"/>
  <c r="F251" i="71"/>
  <c r="D251" i="71"/>
  <c r="F250" i="71"/>
  <c r="D250" i="71"/>
  <c r="F249" i="71"/>
  <c r="D249" i="71"/>
  <c r="F248" i="71"/>
  <c r="D248" i="71"/>
  <c r="F247" i="71"/>
  <c r="D247" i="71"/>
  <c r="F246" i="71"/>
  <c r="D246" i="71"/>
  <c r="F245" i="71"/>
  <c r="D245" i="71"/>
  <c r="F244" i="71"/>
  <c r="D244" i="71"/>
  <c r="F243" i="71"/>
  <c r="D243" i="71"/>
  <c r="F242" i="71"/>
  <c r="D242" i="71"/>
  <c r="F241" i="71"/>
  <c r="D241" i="71"/>
  <c r="F240" i="71"/>
  <c r="D240" i="71"/>
  <c r="F239" i="71"/>
  <c r="D239" i="71"/>
  <c r="F238" i="71"/>
  <c r="D238" i="71"/>
  <c r="F237" i="71"/>
  <c r="D237" i="71"/>
  <c r="F236" i="71"/>
  <c r="D236" i="71"/>
  <c r="F235" i="71"/>
  <c r="D235" i="71"/>
  <c r="F234" i="71"/>
  <c r="D234" i="71"/>
  <c r="F233" i="71"/>
  <c r="D233" i="71"/>
  <c r="F232" i="71"/>
  <c r="D232" i="71"/>
  <c r="F231" i="71"/>
  <c r="D231" i="71"/>
  <c r="F230" i="71"/>
  <c r="D230" i="71"/>
  <c r="F229" i="71"/>
  <c r="D229" i="71"/>
  <c r="F228" i="71"/>
  <c r="D228" i="71"/>
  <c r="F227" i="71"/>
  <c r="D227" i="71"/>
  <c r="N226" i="71"/>
  <c r="F226" i="71"/>
  <c r="D226" i="71"/>
  <c r="F225" i="71"/>
  <c r="D225" i="71"/>
  <c r="F224" i="71"/>
  <c r="D224" i="71"/>
  <c r="F223" i="71"/>
  <c r="D223" i="71"/>
  <c r="F222" i="71"/>
  <c r="D222" i="71"/>
  <c r="F221" i="71"/>
  <c r="D221" i="71"/>
  <c r="F220" i="71"/>
  <c r="D220" i="71"/>
  <c r="F219" i="71"/>
  <c r="D219" i="71"/>
  <c r="F218" i="71"/>
  <c r="D218" i="71"/>
  <c r="F217" i="71"/>
  <c r="D217" i="71"/>
  <c r="F216" i="71"/>
  <c r="D216" i="71"/>
  <c r="F215" i="71"/>
  <c r="D215" i="71"/>
  <c r="F214" i="71"/>
  <c r="D214" i="71"/>
  <c r="F213" i="71"/>
  <c r="D213" i="71"/>
  <c r="F212" i="71"/>
  <c r="D212" i="71"/>
  <c r="F211" i="71"/>
  <c r="D211" i="71"/>
  <c r="F210" i="71"/>
  <c r="D210" i="71"/>
  <c r="F209" i="71"/>
  <c r="D209" i="71"/>
  <c r="F208" i="71"/>
  <c r="D208" i="71"/>
  <c r="F207" i="71"/>
  <c r="D207" i="71"/>
  <c r="F206" i="71"/>
  <c r="D206" i="71"/>
  <c r="F205" i="71"/>
  <c r="D205" i="71"/>
  <c r="F204" i="71"/>
  <c r="D204" i="71"/>
  <c r="F203" i="71"/>
  <c r="D203" i="71"/>
  <c r="F202" i="71"/>
  <c r="D202" i="71"/>
  <c r="F201" i="71"/>
  <c r="D201" i="71"/>
  <c r="F200" i="71"/>
  <c r="D200" i="71"/>
  <c r="F199" i="71"/>
  <c r="D199" i="71"/>
  <c r="F198" i="71"/>
  <c r="D198" i="71"/>
  <c r="F197" i="71"/>
  <c r="D197" i="71"/>
  <c r="F196" i="71"/>
  <c r="D196" i="71"/>
  <c r="F195" i="71"/>
  <c r="D195" i="71"/>
  <c r="F194" i="71"/>
  <c r="D194" i="71"/>
  <c r="F193" i="71"/>
  <c r="D193" i="71"/>
  <c r="F192" i="71"/>
  <c r="D192" i="71"/>
  <c r="F191" i="71"/>
  <c r="D191" i="71"/>
  <c r="F190" i="71"/>
  <c r="D190" i="71"/>
  <c r="F189" i="71"/>
  <c r="D189" i="71"/>
  <c r="F188" i="71"/>
  <c r="D188" i="71"/>
  <c r="F187" i="71"/>
  <c r="D187" i="71"/>
  <c r="F186" i="71"/>
  <c r="D186" i="71"/>
  <c r="F185" i="71"/>
  <c r="D185" i="71"/>
  <c r="F184" i="71"/>
  <c r="D184" i="71"/>
  <c r="F183" i="71"/>
  <c r="D183" i="71"/>
  <c r="F182" i="71"/>
  <c r="D182" i="71"/>
  <c r="F181" i="71"/>
  <c r="D181" i="71"/>
  <c r="F180" i="71"/>
  <c r="D180" i="71"/>
  <c r="F179" i="71"/>
  <c r="D179" i="71"/>
  <c r="F178" i="71"/>
  <c r="D178" i="71"/>
  <c r="F177" i="71"/>
  <c r="D177" i="71"/>
  <c r="F176" i="71"/>
  <c r="D176" i="71"/>
  <c r="F175" i="71"/>
  <c r="D175" i="71"/>
  <c r="F174" i="71"/>
  <c r="D174" i="71"/>
  <c r="F173" i="71"/>
  <c r="D173" i="71"/>
  <c r="F172" i="71"/>
  <c r="D172" i="71"/>
  <c r="F171" i="71"/>
  <c r="D171" i="71"/>
  <c r="F170" i="71"/>
  <c r="D170" i="71"/>
  <c r="F169" i="71"/>
  <c r="D169" i="71"/>
  <c r="F168" i="71"/>
  <c r="D168" i="71"/>
  <c r="F167" i="71"/>
  <c r="D167" i="71"/>
  <c r="F166" i="71"/>
  <c r="D166" i="71"/>
  <c r="F165" i="71"/>
  <c r="D165" i="71"/>
  <c r="F164" i="71"/>
  <c r="D164" i="71"/>
  <c r="F163" i="71"/>
  <c r="D163" i="71"/>
  <c r="F162" i="71"/>
  <c r="D162" i="71"/>
  <c r="F161" i="71"/>
  <c r="D161" i="71"/>
  <c r="F160" i="71"/>
  <c r="D160" i="71"/>
  <c r="F159" i="71"/>
  <c r="D159" i="71"/>
  <c r="F158" i="71"/>
  <c r="D158" i="71"/>
  <c r="F157" i="71"/>
  <c r="D157" i="71"/>
  <c r="F156" i="71"/>
  <c r="D156" i="71"/>
  <c r="F155" i="71"/>
  <c r="D155" i="71"/>
  <c r="F154" i="71"/>
  <c r="D154" i="71"/>
  <c r="F153" i="71"/>
  <c r="D153" i="71"/>
  <c r="F152" i="71"/>
  <c r="D152" i="71"/>
  <c r="F151" i="71"/>
  <c r="D151" i="71"/>
  <c r="F150" i="71"/>
  <c r="D150" i="71"/>
  <c r="F149" i="71"/>
  <c r="D149" i="71"/>
  <c r="F148" i="71"/>
  <c r="D148" i="71"/>
  <c r="F147" i="71"/>
  <c r="D147" i="71"/>
  <c r="F146" i="71"/>
  <c r="D146" i="71"/>
  <c r="F145" i="71"/>
  <c r="D145" i="71"/>
  <c r="F144" i="71"/>
  <c r="D144" i="71"/>
  <c r="F143" i="71"/>
  <c r="D143" i="71"/>
  <c r="F142" i="71"/>
  <c r="D142" i="71"/>
  <c r="F141" i="71"/>
  <c r="D141" i="71"/>
  <c r="F140" i="71"/>
  <c r="D140" i="71"/>
  <c r="F139" i="71"/>
  <c r="D139" i="71"/>
  <c r="F138" i="71"/>
  <c r="D138" i="71"/>
  <c r="F137" i="71"/>
  <c r="D137" i="71"/>
  <c r="F136" i="71"/>
  <c r="D136" i="71"/>
  <c r="F135" i="71"/>
  <c r="D135" i="71"/>
  <c r="F134" i="71"/>
  <c r="D134" i="71"/>
  <c r="F133" i="71"/>
  <c r="D133" i="71"/>
  <c r="F132" i="71"/>
  <c r="D132" i="71"/>
  <c r="F131" i="71"/>
  <c r="D131" i="71"/>
  <c r="F130" i="71"/>
  <c r="D130" i="71"/>
  <c r="F129" i="71"/>
  <c r="D129" i="71"/>
  <c r="F128" i="71"/>
  <c r="D128" i="71"/>
  <c r="F127" i="71"/>
  <c r="D127" i="71"/>
  <c r="F126" i="71"/>
  <c r="D126" i="71"/>
  <c r="F125" i="71"/>
  <c r="D125" i="71"/>
  <c r="F124" i="71"/>
  <c r="D124" i="71"/>
  <c r="F123" i="71"/>
  <c r="D123" i="71"/>
  <c r="F122" i="71"/>
  <c r="D122" i="71"/>
  <c r="F121" i="71"/>
  <c r="D121" i="71"/>
  <c r="F120" i="71"/>
  <c r="D120" i="71"/>
  <c r="F119" i="71"/>
  <c r="D119" i="71"/>
  <c r="F118" i="71"/>
  <c r="D118" i="71"/>
  <c r="F117" i="71"/>
  <c r="D117" i="71"/>
  <c r="F116" i="71"/>
  <c r="D116" i="71"/>
  <c r="F115" i="71"/>
  <c r="D115" i="71"/>
  <c r="F114" i="71"/>
  <c r="D114" i="71"/>
  <c r="F113" i="71"/>
  <c r="D113" i="71"/>
  <c r="F112" i="71"/>
  <c r="D112" i="71"/>
  <c r="F111" i="71"/>
  <c r="D111" i="71"/>
  <c r="F110" i="71"/>
  <c r="D110" i="71"/>
  <c r="F109" i="71"/>
  <c r="D109" i="71"/>
  <c r="F108" i="71"/>
  <c r="D108" i="71"/>
  <c r="F107" i="71"/>
  <c r="D107" i="71"/>
  <c r="F106" i="71"/>
  <c r="D106" i="71"/>
  <c r="F105" i="71"/>
  <c r="D105" i="71"/>
  <c r="F104" i="71"/>
  <c r="D104" i="71"/>
  <c r="F103" i="71"/>
  <c r="D103" i="71"/>
  <c r="F102" i="71"/>
  <c r="D102" i="71"/>
  <c r="F101" i="71"/>
  <c r="D101" i="71"/>
  <c r="F100" i="71"/>
  <c r="D100" i="71"/>
  <c r="F99" i="71"/>
  <c r="D99" i="71"/>
  <c r="F98" i="71"/>
  <c r="D98" i="71"/>
  <c r="F97" i="71"/>
  <c r="D97" i="71"/>
  <c r="F96" i="71"/>
  <c r="D96" i="71"/>
  <c r="F95" i="71"/>
  <c r="D95" i="71"/>
  <c r="F94" i="71"/>
  <c r="D94" i="71"/>
  <c r="F93" i="71"/>
  <c r="D93" i="71"/>
  <c r="F92" i="71"/>
  <c r="D92" i="71"/>
  <c r="F91" i="71"/>
  <c r="D91" i="71"/>
  <c r="F90" i="71"/>
  <c r="D90" i="71"/>
  <c r="F89" i="71"/>
  <c r="D89" i="71"/>
  <c r="F88" i="71"/>
  <c r="D88" i="71"/>
  <c r="F87" i="71"/>
  <c r="D87" i="71"/>
  <c r="F86" i="71"/>
  <c r="D86" i="71"/>
  <c r="F85" i="71"/>
  <c r="D85" i="71"/>
  <c r="F84" i="71"/>
  <c r="D84" i="71"/>
  <c r="F83" i="71"/>
  <c r="D83" i="71"/>
  <c r="F82" i="71"/>
  <c r="D82" i="71"/>
  <c r="F81" i="71"/>
  <c r="D81" i="71"/>
  <c r="F80" i="71"/>
  <c r="D80" i="71"/>
  <c r="F79" i="71"/>
  <c r="D79" i="71"/>
  <c r="F78" i="71"/>
  <c r="D78" i="71"/>
  <c r="F77" i="71"/>
  <c r="D77" i="71"/>
  <c r="F76" i="71"/>
  <c r="D76" i="71"/>
  <c r="F75" i="71"/>
  <c r="D75" i="71"/>
  <c r="F74" i="71"/>
  <c r="D74" i="71"/>
  <c r="F73" i="71"/>
  <c r="D73" i="71"/>
  <c r="F72" i="71"/>
  <c r="D72" i="71"/>
  <c r="F71" i="71"/>
  <c r="D71" i="71"/>
  <c r="F70" i="71"/>
  <c r="D70" i="71"/>
  <c r="F69" i="71"/>
  <c r="D69" i="71"/>
  <c r="F68" i="71"/>
  <c r="D68" i="71"/>
  <c r="F67" i="71"/>
  <c r="D67" i="71"/>
  <c r="F66" i="71"/>
  <c r="D66" i="71"/>
  <c r="F65" i="71"/>
  <c r="D65" i="71"/>
  <c r="F64" i="71"/>
  <c r="D64" i="71"/>
  <c r="F63" i="71"/>
  <c r="D63" i="71"/>
  <c r="F61" i="71"/>
  <c r="D61" i="71"/>
  <c r="F60" i="71"/>
  <c r="D60" i="71"/>
  <c r="D59" i="71"/>
  <c r="D58" i="71"/>
  <c r="D57" i="71"/>
  <c r="D56" i="71"/>
  <c r="D55" i="71"/>
  <c r="D54" i="71"/>
  <c r="D53" i="71"/>
  <c r="F50" i="71"/>
  <c r="D50" i="71"/>
  <c r="F49" i="71"/>
  <c r="D49" i="71"/>
  <c r="D48" i="71"/>
  <c r="D47" i="71"/>
  <c r="F46" i="71"/>
  <c r="D46" i="71"/>
  <c r="F45" i="71"/>
  <c r="D45" i="71"/>
  <c r="F44" i="71"/>
  <c r="D44" i="71"/>
  <c r="F43" i="71"/>
  <c r="D43" i="71"/>
  <c r="F42" i="71"/>
  <c r="D42" i="71"/>
  <c r="F41" i="71"/>
  <c r="D41" i="71"/>
  <c r="F40" i="71"/>
  <c r="D40" i="71"/>
  <c r="F39" i="71"/>
  <c r="D39" i="71"/>
  <c r="F38" i="71"/>
  <c r="D38" i="71"/>
  <c r="F37" i="71"/>
  <c r="D37" i="71"/>
  <c r="F36" i="71"/>
  <c r="D36" i="71"/>
  <c r="F35" i="71"/>
  <c r="D35" i="71"/>
  <c r="F34" i="71"/>
  <c r="D34" i="71"/>
  <c r="F33" i="71"/>
  <c r="D33" i="71"/>
  <c r="F32" i="71"/>
  <c r="D32" i="71"/>
  <c r="F31" i="71"/>
  <c r="D31" i="71"/>
  <c r="M30" i="71"/>
  <c r="F30" i="71"/>
  <c r="D30" i="71"/>
  <c r="F29" i="71"/>
  <c r="D29" i="71"/>
  <c r="F28" i="71"/>
  <c r="D28" i="71"/>
  <c r="F27" i="71"/>
  <c r="D27" i="71"/>
  <c r="F26" i="71"/>
  <c r="D26" i="71"/>
  <c r="D25" i="71"/>
  <c r="F24" i="71"/>
  <c r="D24" i="71"/>
  <c r="F23" i="71"/>
  <c r="D23" i="71"/>
  <c r="F22" i="71"/>
  <c r="D22" i="71"/>
  <c r="C21" i="71"/>
  <c r="F20" i="71"/>
  <c r="D20" i="71"/>
  <c r="F19" i="71"/>
  <c r="D19" i="71"/>
  <c r="D18" i="71"/>
  <c r="F17" i="71"/>
  <c r="D17" i="71"/>
  <c r="F16" i="71"/>
  <c r="D16" i="71"/>
  <c r="N13" i="71"/>
  <c r="D10" i="71"/>
  <c r="D9" i="71"/>
  <c r="D8" i="71"/>
  <c r="D7" i="71"/>
  <c r="D6" i="71"/>
  <c r="D5" i="71"/>
  <c r="D4" i="71"/>
  <c r="C340" i="65"/>
  <c r="N230" i="65"/>
  <c r="J230" i="65"/>
  <c r="G230" i="65"/>
  <c r="H230" i="65" s="1"/>
  <c r="C202" i="65"/>
  <c r="C178" i="65"/>
  <c r="C157" i="65"/>
  <c r="C146" i="65"/>
  <c r="C144" i="65"/>
  <c r="C126" i="65"/>
  <c r="C76" i="65"/>
  <c r="D58" i="65"/>
  <c r="C39" i="65"/>
  <c r="D38" i="65"/>
  <c r="M32" i="65"/>
  <c r="D23" i="65"/>
  <c r="C23" i="65"/>
  <c r="D16" i="65"/>
  <c r="C16" i="65"/>
  <c r="N14" i="65"/>
  <c r="D12" i="65"/>
  <c r="C12" i="65"/>
  <c r="J11" i="65"/>
  <c r="H11" i="65"/>
  <c r="G11" i="65"/>
  <c r="J10" i="65"/>
  <c r="G10" i="65"/>
  <c r="H10" i="65" s="1"/>
  <c r="C10" i="65"/>
  <c r="N6" i="65"/>
  <c r="J6" i="65"/>
  <c r="G6" i="65"/>
  <c r="H6" i="65" s="1"/>
  <c r="F376" i="69"/>
  <c r="E372" i="69"/>
  <c r="F372" i="69" s="1"/>
  <c r="E371" i="69"/>
  <c r="F371" i="69" s="1"/>
  <c r="E370" i="69"/>
  <c r="F370" i="69" s="1"/>
  <c r="E363" i="69"/>
  <c r="F363" i="69" s="1"/>
  <c r="E358" i="69"/>
  <c r="F358" i="69" s="1"/>
  <c r="E351" i="69"/>
  <c r="F351" i="69" s="1"/>
  <c r="E346" i="69"/>
  <c r="F346" i="69" s="1"/>
  <c r="E345" i="69"/>
  <c r="F345" i="69" s="1"/>
  <c r="E341" i="69"/>
  <c r="F341" i="69" s="1"/>
  <c r="E339" i="69"/>
  <c r="F339" i="69" s="1"/>
  <c r="E337" i="69"/>
  <c r="F337" i="69" s="1"/>
  <c r="E336" i="69"/>
  <c r="F336" i="69" s="1"/>
  <c r="E330" i="69"/>
  <c r="F330" i="69" s="1"/>
  <c r="E328" i="69"/>
  <c r="F328" i="69" s="1"/>
  <c r="E326" i="69"/>
  <c r="F326" i="69" s="1"/>
  <c r="E325" i="69"/>
  <c r="F325" i="69" s="1"/>
  <c r="E324" i="69"/>
  <c r="F324" i="69" s="1"/>
  <c r="E323" i="69"/>
  <c r="F323" i="69" s="1"/>
  <c r="E321" i="69"/>
  <c r="F321" i="69" s="1"/>
  <c r="E319" i="69"/>
  <c r="F319" i="69" s="1"/>
  <c r="E318" i="69"/>
  <c r="F318" i="69" s="1"/>
  <c r="E317" i="69"/>
  <c r="F317" i="69" s="1"/>
  <c r="E316" i="69"/>
  <c r="F316" i="69" s="1"/>
  <c r="E315" i="69"/>
  <c r="F315" i="69" s="1"/>
  <c r="E313" i="69"/>
  <c r="F313" i="69" s="1"/>
  <c r="E311" i="69"/>
  <c r="F311" i="69" s="1"/>
  <c r="E306" i="69"/>
  <c r="F306" i="69" s="1"/>
  <c r="E304" i="69"/>
  <c r="F304" i="69" s="1"/>
  <c r="E300" i="69"/>
  <c r="F300" i="69" s="1"/>
  <c r="E294" i="69"/>
  <c r="F294" i="69" s="1"/>
  <c r="E293" i="69"/>
  <c r="F293" i="69" s="1"/>
  <c r="E286" i="69"/>
  <c r="F286" i="69" s="1"/>
  <c r="E284" i="69"/>
  <c r="F284" i="69" s="1"/>
  <c r="E278" i="69"/>
  <c r="F278" i="69" s="1"/>
  <c r="E275" i="69"/>
  <c r="F275" i="69" s="1"/>
  <c r="E273" i="69"/>
  <c r="F273" i="69" s="1"/>
  <c r="E269" i="69"/>
  <c r="F269" i="69" s="1"/>
  <c r="E266" i="69"/>
  <c r="F266" i="69" s="1"/>
  <c r="E265" i="69"/>
  <c r="F265" i="69" s="1"/>
  <c r="E263" i="69"/>
  <c r="F263" i="69" s="1"/>
  <c r="E261" i="69"/>
  <c r="F261" i="69" s="1"/>
  <c r="E259" i="69"/>
  <c r="F259" i="69" s="1"/>
  <c r="E258" i="69"/>
  <c r="F258" i="69" s="1"/>
  <c r="E255" i="69"/>
  <c r="F255" i="69" s="1"/>
  <c r="E251" i="69"/>
  <c r="F251" i="69" s="1"/>
  <c r="E248" i="69"/>
  <c r="F248" i="69" s="1"/>
  <c r="E247" i="69"/>
  <c r="F247" i="69" s="1"/>
  <c r="E244" i="69"/>
  <c r="F244" i="69" s="1"/>
  <c r="E242" i="69"/>
  <c r="F242" i="69" s="1"/>
  <c r="E240" i="69"/>
  <c r="F240" i="69" s="1"/>
  <c r="E238" i="69"/>
  <c r="F238" i="69" s="1"/>
  <c r="E237" i="69"/>
  <c r="F237" i="69" s="1"/>
  <c r="E232" i="69"/>
  <c r="F232" i="69" s="1"/>
  <c r="E222" i="69"/>
  <c r="F222" i="69" s="1"/>
  <c r="E221" i="69"/>
  <c r="F221" i="69" s="1"/>
  <c r="E220" i="69"/>
  <c r="F220" i="69" s="1"/>
  <c r="E218" i="69"/>
  <c r="F218" i="69" s="1"/>
  <c r="E217" i="69"/>
  <c r="F217" i="69" s="1"/>
  <c r="E213" i="69"/>
  <c r="F213" i="69" s="1"/>
  <c r="E212" i="69"/>
  <c r="F212" i="69" s="1"/>
  <c r="E211" i="69"/>
  <c r="F211" i="69" s="1"/>
  <c r="E210" i="69"/>
  <c r="F210" i="69" s="1"/>
  <c r="E208" i="69"/>
  <c r="F208" i="69" s="1"/>
  <c r="E206" i="69"/>
  <c r="F206" i="69" s="1"/>
  <c r="E202" i="69"/>
  <c r="F202" i="69" s="1"/>
  <c r="E200" i="69"/>
  <c r="F200" i="69" s="1"/>
  <c r="E199" i="69"/>
  <c r="F199" i="69" s="1"/>
  <c r="E196" i="69"/>
  <c r="F196" i="69" s="1"/>
  <c r="E194" i="69"/>
  <c r="F194" i="69" s="1"/>
  <c r="E188" i="69"/>
  <c r="F188" i="69" s="1"/>
  <c r="E185" i="69"/>
  <c r="F185" i="69" s="1"/>
  <c r="E182" i="69"/>
  <c r="F182" i="69" s="1"/>
  <c r="E166" i="69"/>
  <c r="F166" i="69" s="1"/>
  <c r="E149" i="69"/>
  <c r="F149" i="69" s="1"/>
  <c r="E147" i="69"/>
  <c r="F147" i="69" s="1"/>
  <c r="E134" i="69"/>
  <c r="F134" i="69" s="1"/>
  <c r="E115" i="69"/>
  <c r="F115" i="69" s="1"/>
  <c r="E110" i="69"/>
  <c r="F110" i="69" s="1"/>
  <c r="E108" i="69"/>
  <c r="F108" i="69" s="1"/>
  <c r="E100" i="69"/>
  <c r="F100" i="69" s="1"/>
  <c r="E99" i="69"/>
  <c r="F99" i="69" s="1"/>
  <c r="E98" i="69"/>
  <c r="F98" i="69" s="1"/>
  <c r="E97" i="69"/>
  <c r="F97" i="69" s="1"/>
  <c r="E94" i="69"/>
  <c r="F94" i="69" s="1"/>
  <c r="E90" i="69"/>
  <c r="F90" i="69" s="1"/>
  <c r="E89" i="69"/>
  <c r="F89" i="69" s="1"/>
  <c r="E87" i="69"/>
  <c r="F87" i="69" s="1"/>
  <c r="E76" i="69"/>
  <c r="F76" i="69" s="1"/>
  <c r="E75" i="69"/>
  <c r="F75" i="69" s="1"/>
  <c r="E74" i="69"/>
  <c r="F74" i="69" s="1"/>
  <c r="E69" i="69"/>
  <c r="F69" i="69" s="1"/>
  <c r="E65" i="69"/>
  <c r="F65" i="69" s="1"/>
  <c r="E64" i="69"/>
  <c r="F64" i="69" s="1"/>
  <c r="E63" i="69"/>
  <c r="F63" i="69" s="1"/>
  <c r="E62" i="69"/>
  <c r="F62" i="69" s="1"/>
  <c r="E61" i="69"/>
  <c r="F61" i="69" s="1"/>
  <c r="E60" i="69"/>
  <c r="F60" i="69" s="1"/>
  <c r="E59" i="69"/>
  <c r="F59" i="69" s="1"/>
  <c r="E58" i="69"/>
  <c r="F58" i="69" s="1"/>
  <c r="E57" i="69"/>
  <c r="F57" i="69" s="1"/>
  <c r="E56" i="69"/>
  <c r="F56" i="69" s="1"/>
  <c r="E55" i="69"/>
  <c r="F55" i="69" s="1"/>
  <c r="E53" i="69"/>
  <c r="F53" i="69" s="1"/>
  <c r="E48" i="69"/>
  <c r="F48" i="69" s="1"/>
  <c r="E43" i="69"/>
  <c r="F43" i="69" s="1"/>
  <c r="E42" i="69"/>
  <c r="F42" i="69" s="1"/>
  <c r="E40" i="69"/>
  <c r="F40" i="69" s="1"/>
  <c r="E32" i="69"/>
  <c r="F32" i="69" s="1"/>
  <c r="E31" i="69"/>
  <c r="F31" i="69" s="1"/>
  <c r="E29" i="69"/>
  <c r="F29" i="69" s="1"/>
  <c r="E28" i="69"/>
  <c r="F28" i="69" s="1"/>
  <c r="E25" i="69"/>
  <c r="F25" i="69" s="1"/>
  <c r="E23" i="69"/>
  <c r="F23" i="69" s="1"/>
  <c r="E22" i="69"/>
  <c r="F22" i="69" s="1"/>
  <c r="E21" i="69"/>
  <c r="F21" i="69" s="1"/>
  <c r="E20" i="69"/>
  <c r="F20" i="69" s="1"/>
  <c r="E18" i="69"/>
  <c r="F18" i="69" s="1"/>
  <c r="E17" i="69"/>
  <c r="F17" i="69" s="1"/>
  <c r="E16" i="69"/>
  <c r="F16" i="69" s="1"/>
  <c r="E14" i="69"/>
  <c r="F14" i="69" s="1"/>
  <c r="E13" i="69"/>
  <c r="F13" i="69" s="1"/>
  <c r="E12" i="69"/>
  <c r="F12" i="69" s="1"/>
  <c r="E10" i="69"/>
  <c r="F10" i="69" s="1"/>
  <c r="F376" i="68"/>
  <c r="E372" i="68"/>
  <c r="F372" i="68" s="1"/>
  <c r="E371" i="68"/>
  <c r="F371" i="68" s="1"/>
  <c r="E370" i="68"/>
  <c r="F370" i="68" s="1"/>
  <c r="E358" i="68"/>
  <c r="F358" i="68" s="1"/>
  <c r="E351" i="68"/>
  <c r="F351" i="68" s="1"/>
  <c r="E346" i="68"/>
  <c r="F346" i="68" s="1"/>
  <c r="E345" i="68"/>
  <c r="F345" i="68" s="1"/>
  <c r="E341" i="68"/>
  <c r="F341" i="68" s="1"/>
  <c r="E339" i="68"/>
  <c r="F339" i="68" s="1"/>
  <c r="E337" i="68"/>
  <c r="F337" i="68" s="1"/>
  <c r="E336" i="68"/>
  <c r="F336" i="68" s="1"/>
  <c r="E330" i="68"/>
  <c r="F330" i="68" s="1"/>
  <c r="E328" i="68"/>
  <c r="F328" i="68" s="1"/>
  <c r="E326" i="68"/>
  <c r="F326" i="68" s="1"/>
  <c r="E325" i="68"/>
  <c r="F325" i="68" s="1"/>
  <c r="E324" i="68"/>
  <c r="F324" i="68" s="1"/>
  <c r="E323" i="68"/>
  <c r="F323" i="68" s="1"/>
  <c r="E321" i="68"/>
  <c r="F321" i="68" s="1"/>
  <c r="E319" i="68"/>
  <c r="F319" i="68" s="1"/>
  <c r="E318" i="68"/>
  <c r="F318" i="68" s="1"/>
  <c r="E316" i="68"/>
  <c r="F316" i="68" s="1"/>
  <c r="E315" i="68"/>
  <c r="F315" i="68" s="1"/>
  <c r="E313" i="68"/>
  <c r="F313" i="68" s="1"/>
  <c r="E311" i="68"/>
  <c r="F311" i="68" s="1"/>
  <c r="E306" i="68"/>
  <c r="F306" i="68" s="1"/>
  <c r="E304" i="68"/>
  <c r="F304" i="68" s="1"/>
  <c r="E300" i="68"/>
  <c r="F300" i="68" s="1"/>
  <c r="E294" i="68"/>
  <c r="F294" i="68" s="1"/>
  <c r="E293" i="68"/>
  <c r="F293" i="68" s="1"/>
  <c r="E286" i="68"/>
  <c r="F286" i="68" s="1"/>
  <c r="E284" i="68"/>
  <c r="F284" i="68" s="1"/>
  <c r="E278" i="68"/>
  <c r="F278" i="68" s="1"/>
  <c r="E275" i="68"/>
  <c r="F275" i="68" s="1"/>
  <c r="E269" i="68"/>
  <c r="F269" i="68" s="1"/>
  <c r="E266" i="68"/>
  <c r="F266" i="68" s="1"/>
  <c r="E261" i="68"/>
  <c r="F261" i="68" s="1"/>
  <c r="E258" i="68"/>
  <c r="F258" i="68" s="1"/>
  <c r="E251" i="68"/>
  <c r="F251" i="68" s="1"/>
  <c r="E247" i="68"/>
  <c r="F247" i="68" s="1"/>
  <c r="E244" i="68"/>
  <c r="F244" i="68" s="1"/>
  <c r="E242" i="68"/>
  <c r="F242" i="68" s="1"/>
  <c r="E240" i="68"/>
  <c r="F240" i="68" s="1"/>
  <c r="E238" i="68"/>
  <c r="F238" i="68" s="1"/>
  <c r="E237" i="68"/>
  <c r="F237" i="68" s="1"/>
  <c r="E232" i="68"/>
  <c r="F232" i="68" s="1"/>
  <c r="E222" i="68"/>
  <c r="F222" i="68" s="1"/>
  <c r="E221" i="68"/>
  <c r="F221" i="68" s="1"/>
  <c r="E220" i="68"/>
  <c r="F220" i="68" s="1"/>
  <c r="E218" i="68"/>
  <c r="F218" i="68" s="1"/>
  <c r="E217" i="68"/>
  <c r="F217" i="68" s="1"/>
  <c r="E213" i="68"/>
  <c r="F213" i="68" s="1"/>
  <c r="E212" i="68"/>
  <c r="F212" i="68" s="1"/>
  <c r="E211" i="68"/>
  <c r="F211" i="68" s="1"/>
  <c r="E210" i="68"/>
  <c r="F210" i="68" s="1"/>
  <c r="E208" i="68"/>
  <c r="F208" i="68" s="1"/>
  <c r="E206" i="68"/>
  <c r="F206" i="68" s="1"/>
  <c r="E202" i="68"/>
  <c r="F202" i="68" s="1"/>
  <c r="E200" i="68"/>
  <c r="F200" i="68" s="1"/>
  <c r="E199" i="68"/>
  <c r="F199" i="68" s="1"/>
  <c r="E196" i="68"/>
  <c r="F196" i="68" s="1"/>
  <c r="E194" i="68"/>
  <c r="F194" i="68" s="1"/>
  <c r="E188" i="68"/>
  <c r="F188" i="68" s="1"/>
  <c r="E185" i="68"/>
  <c r="F185" i="68" s="1"/>
  <c r="E149" i="68"/>
  <c r="F149" i="68" s="1"/>
  <c r="E147" i="68"/>
  <c r="F147" i="68" s="1"/>
  <c r="E110" i="68"/>
  <c r="F110" i="68" s="1"/>
  <c r="E108" i="68"/>
  <c r="F108" i="68" s="1"/>
  <c r="E100" i="68"/>
  <c r="F100" i="68" s="1"/>
  <c r="E99" i="68"/>
  <c r="F99" i="68" s="1"/>
  <c r="E98" i="68"/>
  <c r="F98" i="68" s="1"/>
  <c r="E97" i="68"/>
  <c r="F97" i="68" s="1"/>
  <c r="E94" i="68"/>
  <c r="F94" i="68" s="1"/>
  <c r="E89" i="68"/>
  <c r="F89" i="68" s="1"/>
  <c r="E87" i="68"/>
  <c r="F87" i="68" s="1"/>
  <c r="E76" i="68"/>
  <c r="F76" i="68" s="1"/>
  <c r="E75" i="68"/>
  <c r="F75" i="68" s="1"/>
  <c r="E74" i="68"/>
  <c r="F74" i="68" s="1"/>
  <c r="E69" i="68"/>
  <c r="F69" i="68" s="1"/>
  <c r="E65" i="68"/>
  <c r="F65" i="68" s="1"/>
  <c r="E64" i="68"/>
  <c r="F64" i="68" s="1"/>
  <c r="E63" i="68"/>
  <c r="F63" i="68" s="1"/>
  <c r="E62" i="68"/>
  <c r="F62" i="68" s="1"/>
  <c r="E61" i="68"/>
  <c r="F61" i="68" s="1"/>
  <c r="E60" i="68"/>
  <c r="F60" i="68" s="1"/>
  <c r="E59" i="68"/>
  <c r="F59" i="68" s="1"/>
  <c r="E58" i="68"/>
  <c r="F58" i="68" s="1"/>
  <c r="E57" i="68"/>
  <c r="F57" i="68" s="1"/>
  <c r="E56" i="68"/>
  <c r="F56" i="68" s="1"/>
  <c r="E55" i="68"/>
  <c r="F55" i="68" s="1"/>
  <c r="E53" i="68"/>
  <c r="F53" i="68" s="1"/>
  <c r="E48" i="68"/>
  <c r="F48" i="68" s="1"/>
  <c r="E43" i="68"/>
  <c r="F43" i="68" s="1"/>
  <c r="E42" i="68"/>
  <c r="F42" i="68" s="1"/>
  <c r="E40" i="68"/>
  <c r="F40" i="68" s="1"/>
  <c r="E32" i="68"/>
  <c r="F32" i="68" s="1"/>
  <c r="E31" i="68"/>
  <c r="F31" i="68" s="1"/>
  <c r="E29" i="68"/>
  <c r="F29" i="68" s="1"/>
  <c r="E28" i="68"/>
  <c r="F28" i="68" s="1"/>
  <c r="E25" i="68"/>
  <c r="F25" i="68" s="1"/>
  <c r="E23" i="68"/>
  <c r="F23" i="68" s="1"/>
  <c r="E22" i="68"/>
  <c r="F22" i="68" s="1"/>
  <c r="E21" i="68"/>
  <c r="F21" i="68" s="1"/>
  <c r="E20" i="68"/>
  <c r="F20" i="68" s="1"/>
  <c r="E18" i="68"/>
  <c r="F18" i="68" s="1"/>
  <c r="E17" i="68"/>
  <c r="F17" i="68" s="1"/>
  <c r="E16" i="68"/>
  <c r="F16" i="68" s="1"/>
  <c r="E14" i="68"/>
  <c r="F14" i="68" s="1"/>
  <c r="E13" i="68"/>
  <c r="F13" i="68" s="1"/>
  <c r="E12" i="68"/>
  <c r="F12" i="68" s="1"/>
  <c r="E10" i="68"/>
  <c r="F10" i="68" s="1"/>
  <c r="C343" i="65"/>
  <c r="C342" i="65"/>
  <c r="C341" i="65"/>
  <c r="D338" i="65"/>
  <c r="C331" i="65"/>
  <c r="C328" i="65"/>
  <c r="C327" i="65"/>
  <c r="C325" i="65"/>
  <c r="C322" i="65"/>
  <c r="C313" i="65"/>
  <c r="C312" i="65"/>
  <c r="C311" i="65"/>
  <c r="C305" i="65"/>
  <c r="C301" i="65"/>
  <c r="C291" i="65"/>
  <c r="D287" i="65"/>
  <c r="C285" i="65"/>
  <c r="C283" i="65"/>
  <c r="C279" i="65"/>
  <c r="C275" i="65"/>
  <c r="C269" i="65"/>
  <c r="C251" i="65"/>
  <c r="D234" i="65"/>
  <c r="C232" i="65"/>
  <c r="D222" i="65"/>
  <c r="C218" i="65"/>
  <c r="C213" i="65"/>
  <c r="C210" i="65"/>
  <c r="C208" i="65"/>
  <c r="D205" i="65"/>
  <c r="C204" i="65"/>
  <c r="C203" i="65"/>
  <c r="D202" i="65"/>
  <c r="C200" i="65"/>
  <c r="C198" i="65"/>
  <c r="C197" i="65"/>
  <c r="C194" i="65"/>
  <c r="C192" i="65"/>
  <c r="C175" i="65"/>
  <c r="D173" i="65"/>
  <c r="C172" i="65"/>
  <c r="C170" i="65"/>
  <c r="C169" i="65"/>
  <c r="D156" i="65"/>
  <c r="D153" i="65"/>
  <c r="C148" i="65"/>
  <c r="C143" i="65"/>
  <c r="C141" i="65"/>
  <c r="D140" i="65"/>
  <c r="C137" i="65"/>
  <c r="C136" i="65"/>
  <c r="C135" i="65"/>
  <c r="C134" i="65"/>
  <c r="C130" i="65"/>
  <c r="C128" i="65"/>
  <c r="C125" i="65"/>
  <c r="C124" i="65"/>
  <c r="C123" i="65"/>
  <c r="C121" i="65"/>
  <c r="C118" i="65"/>
  <c r="C115" i="65"/>
  <c r="C114" i="65"/>
  <c r="C113" i="65"/>
  <c r="C112" i="65"/>
  <c r="C111" i="65"/>
  <c r="C110" i="65"/>
  <c r="C109" i="65"/>
  <c r="C107" i="65"/>
  <c r="C106" i="65"/>
  <c r="C104" i="65"/>
  <c r="C103" i="65"/>
  <c r="C100" i="65"/>
  <c r="C98" i="65"/>
  <c r="C95" i="65"/>
  <c r="C93" i="65"/>
  <c r="C92" i="65"/>
  <c r="C90" i="65"/>
  <c r="C81" i="65"/>
  <c r="C75" i="65"/>
  <c r="C69" i="65"/>
  <c r="C64" i="65"/>
  <c r="C61" i="65"/>
  <c r="C59" i="65"/>
  <c r="C54" i="65"/>
  <c r="D50" i="65"/>
  <c r="C49" i="65"/>
  <c r="C46" i="65"/>
  <c r="C43" i="65"/>
  <c r="C40" i="65"/>
  <c r="C38" i="65"/>
  <c r="C37" i="65"/>
  <c r="C36" i="65"/>
  <c r="C35" i="65"/>
  <c r="C33" i="65"/>
  <c r="C32" i="65"/>
  <c r="C31" i="65"/>
  <c r="C30" i="65"/>
  <c r="C29" i="65"/>
  <c r="C28" i="65"/>
  <c r="C26" i="65"/>
  <c r="C22" i="65"/>
  <c r="C21" i="65"/>
  <c r="C19" i="65"/>
  <c r="D17" i="65"/>
  <c r="D15" i="65"/>
  <c r="C9" i="65"/>
  <c r="C8" i="65"/>
  <c r="C7" i="65"/>
  <c r="C6" i="65"/>
  <c r="C5" i="65"/>
  <c r="I5" i="49"/>
  <c r="I6" i="49" s="1"/>
  <c r="AS6" i="49" s="1"/>
  <c r="AU4" i="49"/>
  <c r="EE10" i="49" l="1"/>
  <c r="CR10" i="49"/>
  <c r="AC10" i="49"/>
  <c r="Q10" i="49"/>
  <c r="AY10" i="49"/>
  <c r="BW10" i="49"/>
  <c r="BI10" i="49"/>
  <c r="O10" i="49"/>
  <c r="AA10" i="49"/>
  <c r="AM10" i="49"/>
  <c r="R10" i="49"/>
  <c r="AD10" i="49"/>
  <c r="BF10" i="49"/>
  <c r="BR10" i="49"/>
  <c r="DQ10" i="49"/>
  <c r="P10" i="49"/>
  <c r="AB10" i="49"/>
  <c r="D214" i="65"/>
  <c r="C94" i="65"/>
  <c r="C117" i="65"/>
  <c r="D35" i="65"/>
  <c r="D52" i="65"/>
  <c r="D8" i="65"/>
  <c r="D29" i="65"/>
  <c r="D141" i="65"/>
  <c r="C162" i="65"/>
  <c r="C314" i="65"/>
  <c r="C272" i="65"/>
  <c r="D272" i="65"/>
  <c r="C284" i="65"/>
  <c r="C315" i="65"/>
  <c r="D275" i="65"/>
  <c r="C300" i="65"/>
  <c r="D145" i="65"/>
  <c r="C70" i="65"/>
  <c r="C25" i="65"/>
  <c r="C34" i="65"/>
  <c r="D34" i="65"/>
  <c r="D94" i="65"/>
  <c r="D113" i="65"/>
  <c r="D304" i="65"/>
  <c r="C344" i="65"/>
  <c r="D198" i="65"/>
  <c r="C211" i="65"/>
  <c r="C319" i="65"/>
  <c r="C122" i="65"/>
  <c r="D343" i="65"/>
  <c r="C119" i="65"/>
  <c r="D284" i="65"/>
  <c r="C289" i="65"/>
  <c r="C116" i="65"/>
  <c r="C287" i="65"/>
  <c r="C91" i="65"/>
  <c r="C263" i="65"/>
  <c r="C101" i="65"/>
  <c r="C201" i="65"/>
  <c r="C48" i="65"/>
  <c r="D14" i="65"/>
  <c r="C53" i="65"/>
  <c r="C87" i="65"/>
  <c r="C176" i="65"/>
  <c r="C20" i="65"/>
  <c r="C142" i="65"/>
  <c r="C41" i="65"/>
  <c r="D41" i="65"/>
  <c r="C11" i="65"/>
  <c r="D11" i="65"/>
  <c r="C97" i="65"/>
  <c r="D188" i="65"/>
  <c r="C42" i="65"/>
  <c r="D42" i="65"/>
  <c r="C79" i="65"/>
  <c r="C82" i="65"/>
  <c r="D82" i="65"/>
  <c r="C138" i="65"/>
  <c r="C27" i="65"/>
  <c r="C96" i="65"/>
  <c r="C74" i="65"/>
  <c r="C88" i="65"/>
  <c r="D88" i="65"/>
  <c r="C120" i="65"/>
  <c r="C132" i="65"/>
  <c r="C85" i="65"/>
  <c r="C131" i="65"/>
  <c r="D131" i="65"/>
  <c r="C281" i="65"/>
  <c r="D281" i="65"/>
  <c r="C324" i="65"/>
  <c r="C47" i="65"/>
  <c r="C219" i="65"/>
  <c r="C280" i="65"/>
  <c r="C293" i="65"/>
  <c r="D293" i="65"/>
  <c r="C182" i="65"/>
  <c r="C181" i="65"/>
  <c r="C184" i="65"/>
  <c r="C185" i="65"/>
  <c r="D59" i="65"/>
  <c r="C129" i="65"/>
  <c r="C153" i="65"/>
  <c r="D175" i="65"/>
  <c r="C196" i="65"/>
  <c r="C205" i="65"/>
  <c r="C278" i="65"/>
  <c r="C299" i="65"/>
  <c r="C323" i="65"/>
  <c r="C339" i="65"/>
  <c r="C156" i="65"/>
  <c r="C233" i="65"/>
  <c r="C234" i="65"/>
  <c r="C274" i="65"/>
  <c r="D274" i="65"/>
  <c r="C306" i="65"/>
  <c r="C333" i="65"/>
  <c r="C337" i="65"/>
  <c r="D93" i="65"/>
  <c r="D103" i="65"/>
  <c r="C174" i="65"/>
  <c r="C195" i="65"/>
  <c r="C338" i="65"/>
  <c r="D195" i="65"/>
  <c r="C236" i="65"/>
  <c r="C257" i="65"/>
  <c r="C286" i="65"/>
  <c r="D286" i="65"/>
  <c r="C332" i="65"/>
  <c r="C334" i="65"/>
  <c r="D334" i="65"/>
  <c r="D150" i="65"/>
  <c r="C179" i="65"/>
  <c r="C190" i="65"/>
  <c r="C266" i="65"/>
  <c r="C290" i="65"/>
  <c r="C296" i="65"/>
  <c r="C302" i="65"/>
  <c r="D302" i="65"/>
  <c r="C308" i="65"/>
  <c r="C346" i="65"/>
  <c r="D28" i="65"/>
  <c r="C145" i="65"/>
  <c r="C189" i="65"/>
  <c r="C235" i="65"/>
  <c r="D308" i="65"/>
  <c r="C187" i="65"/>
  <c r="C188" i="65"/>
  <c r="D213" i="65"/>
  <c r="C273" i="65"/>
  <c r="C292" i="65"/>
  <c r="C317" i="65"/>
  <c r="D114" i="65"/>
  <c r="C166" i="65"/>
  <c r="C191" i="65"/>
  <c r="C316" i="65"/>
  <c r="D316" i="65"/>
  <c r="C329" i="65"/>
  <c r="D313" i="65"/>
  <c r="D319" i="65"/>
  <c r="BU10" i="49"/>
  <c r="S10" i="49"/>
  <c r="AE10" i="49"/>
  <c r="J5" i="49"/>
  <c r="I10" i="49"/>
  <c r="U10" i="49"/>
  <c r="AG10" i="49"/>
  <c r="J10" i="49"/>
  <c r="V10" i="49"/>
  <c r="AH10" i="49"/>
  <c r="BL10" i="49"/>
  <c r="H10" i="49"/>
  <c r="T10" i="49"/>
  <c r="AF10" i="49"/>
  <c r="AR10" i="49"/>
  <c r="AS5" i="49"/>
  <c r="AT5" i="49" s="1"/>
  <c r="AU5" i="49" s="1"/>
  <c r="AV5" i="49" s="1"/>
  <c r="AW5" i="49" s="1"/>
  <c r="AX5" i="49" s="1"/>
  <c r="AY5" i="49" s="1"/>
  <c r="AZ5" i="49" s="1"/>
  <c r="BA5" i="49" s="1"/>
  <c r="BB5" i="49" s="1"/>
  <c r="BC5" i="49" s="1"/>
  <c r="BD5" i="49" s="1"/>
  <c r="BE5" i="49" s="1"/>
  <c r="BF5" i="49" s="1"/>
  <c r="BG5" i="49" s="1"/>
  <c r="BH5" i="49" s="1"/>
  <c r="BI5" i="49" s="1"/>
  <c r="BJ5" i="49" s="1"/>
  <c r="BK5" i="49" s="1"/>
  <c r="BL5" i="49" s="1"/>
  <c r="BM5" i="49" s="1"/>
  <c r="BN5" i="49" s="1"/>
  <c r="BO5" i="49" s="1"/>
  <c r="BP5" i="49" s="1"/>
  <c r="BQ5" i="49" s="1"/>
  <c r="BR5" i="49" s="1"/>
  <c r="BS5" i="49" s="1"/>
  <c r="BT5" i="49" s="1"/>
  <c r="K10" i="49"/>
  <c r="W10" i="49"/>
  <c r="AI10" i="49"/>
  <c r="L10" i="49"/>
  <c r="AZ10" i="49"/>
  <c r="AU10" i="49"/>
  <c r="M10" i="49"/>
  <c r="Y10" i="49"/>
  <c r="AK10" i="49"/>
  <c r="X10" i="49"/>
  <c r="AJ10" i="49"/>
  <c r="N10" i="49"/>
  <c r="Z10" i="49"/>
  <c r="AL10" i="49"/>
  <c r="CQ10" i="49"/>
  <c r="AX10" i="49"/>
  <c r="C295" i="65"/>
  <c r="C18" i="65"/>
  <c r="C149" i="65"/>
  <c r="C14" i="71"/>
  <c r="C15" i="65"/>
  <c r="D157" i="65"/>
  <c r="D39" i="65"/>
  <c r="C57" i="65"/>
  <c r="C63" i="65"/>
  <c r="C71" i="65"/>
  <c r="C84" i="65"/>
  <c r="C4" i="65"/>
  <c r="C24" i="65"/>
  <c r="D45" i="65"/>
  <c r="D54" i="65"/>
  <c r="C86" i="65"/>
  <c r="C133" i="65"/>
  <c r="C244" i="65"/>
  <c r="C44" i="65"/>
  <c r="C58" i="65"/>
  <c r="C127" i="65"/>
  <c r="D295" i="65"/>
  <c r="D18" i="65"/>
  <c r="C50" i="65"/>
  <c r="C52" i="65"/>
  <c r="C72" i="65"/>
  <c r="C83" i="65"/>
  <c r="C105" i="65"/>
  <c r="C108" i="65"/>
  <c r="D144" i="65"/>
  <c r="D146" i="65"/>
  <c r="C65" i="65"/>
  <c r="C78" i="65"/>
  <c r="D100" i="65"/>
  <c r="C160" i="65"/>
  <c r="C212" i="65"/>
  <c r="D230" i="65"/>
  <c r="D10" i="65"/>
  <c r="C17" i="65"/>
  <c r="C80" i="65"/>
  <c r="C62" i="65"/>
  <c r="D72" i="65"/>
  <c r="C73" i="65"/>
  <c r="C89" i="65"/>
  <c r="C163" i="65"/>
  <c r="C77" i="65"/>
  <c r="D137" i="65"/>
  <c r="C12" i="71"/>
  <c r="C13" i="65"/>
  <c r="C51" i="65"/>
  <c r="C60" i="65"/>
  <c r="C99" i="65"/>
  <c r="C102" i="65"/>
  <c r="C13" i="71"/>
  <c r="C14" i="65"/>
  <c r="C45" i="65"/>
  <c r="C68" i="65"/>
  <c r="D340" i="65"/>
  <c r="D76" i="65"/>
  <c r="C237" i="65"/>
  <c r="C288" i="65"/>
  <c r="C152" i="65"/>
  <c r="D159" i="65"/>
  <c r="D169" i="65"/>
  <c r="C193" i="65"/>
  <c r="C199" i="65"/>
  <c r="D178" i="65"/>
  <c r="D126" i="65"/>
  <c r="C164" i="65"/>
  <c r="C180" i="65"/>
  <c r="C225" i="65"/>
  <c r="C155" i="65"/>
  <c r="C161" i="65"/>
  <c r="C220" i="65"/>
  <c r="C238" i="65"/>
  <c r="C140" i="65"/>
  <c r="C147" i="65"/>
  <c r="C151" i="65"/>
  <c r="D164" i="65"/>
  <c r="C168" i="65"/>
  <c r="C186" i="65"/>
  <c r="C215" i="65"/>
  <c r="C270" i="65"/>
  <c r="C67" i="65"/>
  <c r="D148" i="65"/>
  <c r="C173" i="65"/>
  <c r="D228" i="65"/>
  <c r="C276" i="65"/>
  <c r="D147" i="65"/>
  <c r="C158" i="65"/>
  <c r="C165" i="65"/>
  <c r="C171" i="65"/>
  <c r="C243" i="65"/>
  <c r="D250" i="65"/>
  <c r="C258" i="65"/>
  <c r="C261" i="65"/>
  <c r="C271" i="65"/>
  <c r="D187" i="65"/>
  <c r="D197" i="65"/>
  <c r="C206" i="65"/>
  <c r="D253" i="65"/>
  <c r="C154" i="65"/>
  <c r="C167" i="65"/>
  <c r="D191" i="65"/>
  <c r="D219" i="65"/>
  <c r="D239" i="65"/>
  <c r="D266" i="65"/>
  <c r="D292" i="65"/>
  <c r="C139" i="65"/>
  <c r="C150" i="65"/>
  <c r="C177" i="65"/>
  <c r="C159" i="65"/>
  <c r="D177" i="65"/>
  <c r="C183" i="65"/>
  <c r="D299" i="65"/>
  <c r="C216" i="65"/>
  <c r="C221" i="65"/>
  <c r="C229" i="65"/>
  <c r="C248" i="65"/>
  <c r="C256" i="65"/>
  <c r="C259" i="65"/>
  <c r="C264" i="65"/>
  <c r="C242" i="65"/>
  <c r="C247" i="65"/>
  <c r="C277" i="65"/>
  <c r="C320" i="65"/>
  <c r="C214" i="65"/>
  <c r="C217" i="65"/>
  <c r="C222" i="65"/>
  <c r="C226" i="65"/>
  <c r="C241" i="65"/>
  <c r="D256" i="65"/>
  <c r="D259" i="65"/>
  <c r="D229" i="65"/>
  <c r="C254" i="65"/>
  <c r="C262" i="65"/>
  <c r="C265" i="65"/>
  <c r="C267" i="65"/>
  <c r="D280" i="65"/>
  <c r="C282" i="65"/>
  <c r="C223" i="65"/>
  <c r="D226" i="65"/>
  <c r="C227" i="65"/>
  <c r="D235" i="65"/>
  <c r="D241" i="65"/>
  <c r="C249" i="65"/>
  <c r="C335" i="65"/>
  <c r="D211" i="65"/>
  <c r="D217" i="65"/>
  <c r="C246" i="65"/>
  <c r="D254" i="65"/>
  <c r="D257" i="65"/>
  <c r="D262" i="65"/>
  <c r="D265" i="65"/>
  <c r="D267" i="65"/>
  <c r="C268" i="65"/>
  <c r="C294" i="65"/>
  <c r="C307" i="65"/>
  <c r="C207" i="65"/>
  <c r="C240" i="65"/>
  <c r="C260" i="65"/>
  <c r="C245" i="65"/>
  <c r="C252" i="65"/>
  <c r="C255" i="65"/>
  <c r="C298" i="65"/>
  <c r="C228" i="65"/>
  <c r="C231" i="65"/>
  <c r="C239" i="65"/>
  <c r="D263" i="65"/>
  <c r="D339" i="65"/>
  <c r="C209" i="65"/>
  <c r="C224" i="65"/>
  <c r="C250" i="65"/>
  <c r="C253" i="65"/>
  <c r="D332" i="65"/>
  <c r="C336" i="65"/>
  <c r="D312" i="65"/>
  <c r="C297" i="65"/>
  <c r="C310" i="65"/>
  <c r="C318" i="65"/>
  <c r="C303" i="65"/>
  <c r="D333" i="65"/>
  <c r="C309" i="65"/>
  <c r="C330" i="65"/>
  <c r="D324" i="65"/>
  <c r="C326" i="65"/>
  <c r="D325" i="65"/>
  <c r="C321" i="65"/>
  <c r="C345" i="65"/>
  <c r="C304" i="65"/>
  <c r="BD10" i="49" l="1"/>
  <c r="BV10" i="49"/>
  <c r="AW10" i="49"/>
  <c r="BK10" i="49"/>
  <c r="BJ10" i="49"/>
  <c r="BQ10" i="49"/>
  <c r="BE10" i="49"/>
  <c r="BC10" i="49"/>
  <c r="BB10" i="49"/>
  <c r="AV10" i="49"/>
  <c r="BS10" i="49"/>
  <c r="BP10" i="49"/>
  <c r="BG10" i="49"/>
  <c r="BT10" i="49"/>
  <c r="BO10" i="49"/>
  <c r="BN10" i="49"/>
  <c r="BM10" i="49"/>
  <c r="BH10" i="49"/>
  <c r="D162" i="65"/>
  <c r="D22" i="65"/>
  <c r="D106" i="65"/>
  <c r="D251" i="65"/>
  <c r="D87" i="65"/>
  <c r="D209" i="65"/>
  <c r="D84" i="65"/>
  <c r="D74" i="65"/>
  <c r="D260" i="65"/>
  <c r="D181" i="65"/>
  <c r="D81" i="65"/>
  <c r="D208" i="65"/>
  <c r="D69" i="65"/>
  <c r="D90" i="65"/>
  <c r="D134" i="65"/>
  <c r="D70" i="65"/>
  <c r="D204" i="65"/>
  <c r="D64" i="65"/>
  <c r="D306" i="65"/>
  <c r="D47" i="65"/>
  <c r="D184" i="65"/>
  <c r="D311" i="65"/>
  <c r="D322" i="65"/>
  <c r="D331" i="65"/>
  <c r="D269" i="65"/>
  <c r="D328" i="65"/>
  <c r="D128" i="65"/>
  <c r="D25" i="65"/>
  <c r="D344" i="65"/>
  <c r="D305" i="65"/>
  <c r="D170" i="65"/>
  <c r="D224" i="65"/>
  <c r="D342" i="65"/>
  <c r="D26" i="65"/>
  <c r="D96" i="65"/>
  <c r="D201" i="65"/>
  <c r="D278" i="65"/>
  <c r="D337" i="65"/>
  <c r="D182" i="65"/>
  <c r="D53" i="65"/>
  <c r="D122" i="65"/>
  <c r="D179" i="65"/>
  <c r="D236" i="65"/>
  <c r="D185" i="65"/>
  <c r="D48" i="65"/>
  <c r="D189" i="65"/>
  <c r="D6" i="65"/>
  <c r="D233" i="65"/>
  <c r="D125" i="65"/>
  <c r="D116" i="65"/>
  <c r="D174" i="65"/>
  <c r="D119" i="65"/>
  <c r="D296" i="65"/>
  <c r="D341" i="65"/>
  <c r="D290" i="65"/>
  <c r="D109" i="65"/>
  <c r="D192" i="65"/>
  <c r="D120" i="65"/>
  <c r="CX10" i="49"/>
  <c r="CK10" i="49"/>
  <c r="D289" i="65"/>
  <c r="D167" i="65"/>
  <c r="D143" i="65"/>
  <c r="D171" i="65"/>
  <c r="D104" i="65"/>
  <c r="D261" i="65"/>
  <c r="D161" i="65"/>
  <c r="D138" i="65"/>
  <c r="D102" i="65"/>
  <c r="F12" i="71"/>
  <c r="D12" i="71"/>
  <c r="D44" i="65"/>
  <c r="D83" i="65"/>
  <c r="D14" i="71"/>
  <c r="BT4" i="49"/>
  <c r="BU5" i="49"/>
  <c r="D329" i="65"/>
  <c r="D317" i="65"/>
  <c r="D321" i="65"/>
  <c r="D309" i="65"/>
  <c r="D245" i="65"/>
  <c r="D242" i="65"/>
  <c r="D67" i="65"/>
  <c r="D158" i="65"/>
  <c r="D121" i="65"/>
  <c r="D193" i="65"/>
  <c r="D112" i="65"/>
  <c r="D43" i="65"/>
  <c r="D80" i="65"/>
  <c r="D133" i="65"/>
  <c r="D13" i="65"/>
  <c r="D279" i="65"/>
  <c r="D318" i="65"/>
  <c r="D310" i="65"/>
  <c r="D227" i="65"/>
  <c r="D183" i="65"/>
  <c r="D111" i="65"/>
  <c r="D243" i="65"/>
  <c r="D276" i="65"/>
  <c r="D225" i="65"/>
  <c r="D101" i="65"/>
  <c r="D288" i="65"/>
  <c r="D68" i="65"/>
  <c r="D19" i="65"/>
  <c r="D77" i="65"/>
  <c r="D78" i="65"/>
  <c r="D24" i="65"/>
  <c r="D21" i="65"/>
  <c r="D5" i="65"/>
  <c r="D49" i="65"/>
  <c r="AS10" i="49"/>
  <c r="D291" i="65"/>
  <c r="D330" i="65"/>
  <c r="D297" i="65"/>
  <c r="D210" i="65"/>
  <c r="D190" i="65"/>
  <c r="D264" i="65"/>
  <c r="D165" i="65"/>
  <c r="D79" i="65"/>
  <c r="D135" i="65"/>
  <c r="D271" i="65"/>
  <c r="D215" i="65"/>
  <c r="D46" i="65"/>
  <c r="D51" i="65"/>
  <c r="D65" i="65"/>
  <c r="D7" i="65"/>
  <c r="D105" i="65"/>
  <c r="D244" i="65"/>
  <c r="D86" i="65"/>
  <c r="DI10" i="49"/>
  <c r="AQ10" i="49"/>
  <c r="D303" i="65"/>
  <c r="D283" i="65"/>
  <c r="D231" i="65"/>
  <c r="D294" i="65"/>
  <c r="D200" i="65"/>
  <c r="D136" i="65"/>
  <c r="D91" i="65"/>
  <c r="D98" i="65"/>
  <c r="D258" i="65"/>
  <c r="D270" i="65"/>
  <c r="D168" i="65"/>
  <c r="D142" i="65"/>
  <c r="D118" i="65"/>
  <c r="D30" i="65"/>
  <c r="AT10" i="49"/>
  <c r="DY10" i="49"/>
  <c r="DY4" i="49" s="1"/>
  <c r="D252" i="65"/>
  <c r="D298" i="65"/>
  <c r="D206" i="65"/>
  <c r="D95" i="65"/>
  <c r="D186" i="65"/>
  <c r="D107" i="65"/>
  <c r="F13" i="71"/>
  <c r="D13" i="71"/>
  <c r="D99" i="65"/>
  <c r="D108" i="65"/>
  <c r="D314" i="65"/>
  <c r="D273" i="65"/>
  <c r="D223" i="65"/>
  <c r="D277" i="65"/>
  <c r="D117" i="65"/>
  <c r="D129" i="65"/>
  <c r="D220" i="65"/>
  <c r="D199" i="65"/>
  <c r="D71" i="65"/>
  <c r="D32" i="65"/>
  <c r="D346" i="65"/>
  <c r="D300" i="65"/>
  <c r="D315" i="65"/>
  <c r="D207" i="65"/>
  <c r="D166" i="65"/>
  <c r="D255" i="65"/>
  <c r="D130" i="65"/>
  <c r="D238" i="65"/>
  <c r="D163" i="65"/>
  <c r="D73" i="65"/>
  <c r="D62" i="65"/>
  <c r="D57" i="65"/>
  <c r="D127" i="65"/>
  <c r="D63" i="65"/>
  <c r="CF10" i="49"/>
  <c r="BY10" i="49"/>
  <c r="D323" i="65"/>
  <c r="D232" i="65"/>
  <c r="D326" i="65"/>
  <c r="D196" i="65"/>
  <c r="D221" i="65"/>
  <c r="D115" i="65"/>
  <c r="D75" i="65"/>
  <c r="D237" i="65"/>
  <c r="D124" i="65"/>
  <c r="D92" i="65"/>
  <c r="D37" i="65"/>
  <c r="D89" i="65"/>
  <c r="D27" i="65"/>
  <c r="D285" i="65"/>
  <c r="D301" i="65"/>
  <c r="D218" i="65"/>
  <c r="D268" i="65"/>
  <c r="D246" i="65"/>
  <c r="D139" i="65"/>
  <c r="D97" i="65"/>
  <c r="D154" i="65"/>
  <c r="D110" i="65"/>
  <c r="D155" i="65"/>
  <c r="D36" i="65"/>
  <c r="D20" i="65"/>
  <c r="D4" i="65"/>
  <c r="D61" i="65"/>
  <c r="D40" i="65"/>
  <c r="D149" i="65"/>
  <c r="D60" i="65"/>
  <c r="BA10" i="49"/>
  <c r="AO10" i="49"/>
  <c r="AN10" i="49"/>
  <c r="D345" i="65"/>
  <c r="D336" i="65"/>
  <c r="D203" i="65"/>
  <c r="D240" i="65"/>
  <c r="D307" i="65"/>
  <c r="D249" i="65"/>
  <c r="D194" i="65"/>
  <c r="D282" i="65"/>
  <c r="D247" i="65"/>
  <c r="D248" i="65"/>
  <c r="D85" i="65"/>
  <c r="D152" i="65"/>
  <c r="D180" i="65"/>
  <c r="D132" i="65"/>
  <c r="D9" i="65"/>
  <c r="D160" i="65"/>
  <c r="K5" i="49"/>
  <c r="J6" i="49"/>
  <c r="AT6" i="49" s="1"/>
  <c r="D327" i="65"/>
  <c r="D176" i="65"/>
  <c r="D335" i="65"/>
  <c r="D172" i="65"/>
  <c r="D216" i="65"/>
  <c r="D320" i="65"/>
  <c r="D123" i="65"/>
  <c r="D151" i="65"/>
  <c r="D31" i="65"/>
  <c r="D212" i="65"/>
  <c r="D33" i="65"/>
  <c r="CE10" i="49"/>
  <c r="CG10" i="49"/>
  <c r="DW10" i="49" l="1"/>
  <c r="DW4" i="49" s="1"/>
  <c r="DZ10" i="49"/>
  <c r="DZ4" i="49" s="1"/>
  <c r="AP10" i="49"/>
  <c r="DV10" i="49"/>
  <c r="DX10" i="49"/>
  <c r="DX4" i="49" s="1"/>
  <c r="CB10" i="49"/>
  <c r="K6" i="49"/>
  <c r="AU6" i="49" s="1"/>
  <c r="L5" i="49"/>
  <c r="CD10" i="49"/>
  <c r="CA10" i="49"/>
  <c r="BZ10" i="49"/>
  <c r="BU4" i="49"/>
  <c r="BV5" i="49"/>
  <c r="CI10" i="49"/>
  <c r="DJ10" i="49"/>
  <c r="DJ4" i="49" s="1"/>
  <c r="CH10" i="49"/>
  <c r="CV10" i="49"/>
  <c r="DK10" i="49"/>
  <c r="DK4" i="49" s="1"/>
  <c r="DL10" i="49"/>
  <c r="DL4" i="49" s="1"/>
  <c r="CP10" i="49"/>
  <c r="CC10" i="49"/>
  <c r="E47" i="68" l="1"/>
  <c r="F47" i="68" s="1"/>
  <c r="E47" i="69"/>
  <c r="F47" i="69" s="1"/>
  <c r="E257" i="68"/>
  <c r="F257" i="68" s="1"/>
  <c r="E257" i="69"/>
  <c r="F257" i="69" s="1"/>
  <c r="ED10" i="49"/>
  <c r="ED4" i="49" s="1"/>
  <c r="EB10" i="49"/>
  <c r="CN10" i="49"/>
  <c r="DV4" i="49"/>
  <c r="CM10" i="49"/>
  <c r="CZ10" i="49"/>
  <c r="BX10" i="49"/>
  <c r="CL10" i="49"/>
  <c r="CO10" i="49"/>
  <c r="EC10" i="49"/>
  <c r="DB10" i="49"/>
  <c r="DG10" i="49"/>
  <c r="CS10" i="49"/>
  <c r="DA10" i="49"/>
  <c r="CT10" i="49"/>
  <c r="E263" i="68"/>
  <c r="F263" i="68" s="1"/>
  <c r="BW5" i="49"/>
  <c r="BW4" i="49" s="1"/>
  <c r="BV4" i="49"/>
  <c r="E317" i="68"/>
  <c r="F317" i="68" s="1"/>
  <c r="E115" i="68"/>
  <c r="F115" i="68" s="1"/>
  <c r="DC10" i="49"/>
  <c r="CU10" i="49"/>
  <c r="E134" i="68"/>
  <c r="F134" i="68" s="1"/>
  <c r="E182" i="68"/>
  <c r="F182" i="68" s="1"/>
  <c r="EM10" i="49"/>
  <c r="E123" i="71"/>
  <c r="E192" i="71"/>
  <c r="M5" i="49"/>
  <c r="L6" i="49"/>
  <c r="AV6" i="49" s="1"/>
  <c r="EA10" i="49"/>
  <c r="DO10" i="49"/>
  <c r="E174" i="71"/>
  <c r="E6" i="71"/>
  <c r="E177" i="71"/>
  <c r="CJ10" i="49"/>
  <c r="CY10" i="49"/>
  <c r="CW10" i="49"/>
  <c r="E137" i="68" l="1"/>
  <c r="F137" i="68" s="1"/>
  <c r="E137" i="69"/>
  <c r="F137" i="69" s="1"/>
  <c r="E73" i="68"/>
  <c r="F73" i="68" s="1"/>
  <c r="E73" i="69"/>
  <c r="F73" i="69" s="1"/>
  <c r="E50" i="68"/>
  <c r="F50" i="68" s="1"/>
  <c r="E50" i="69"/>
  <c r="F50" i="69" s="1"/>
  <c r="E156" i="68"/>
  <c r="F156" i="68" s="1"/>
  <c r="E156" i="69"/>
  <c r="F156" i="69" s="1"/>
  <c r="E141" i="68"/>
  <c r="F141" i="68" s="1"/>
  <c r="E141" i="69"/>
  <c r="F141" i="69" s="1"/>
  <c r="E308" i="68"/>
  <c r="F308" i="68" s="1"/>
  <c r="E308" i="69"/>
  <c r="F308" i="69" s="1"/>
  <c r="E8" i="68"/>
  <c r="F8" i="68" s="1"/>
  <c r="E8" i="69"/>
  <c r="F8" i="69" s="1"/>
  <c r="E214" i="68"/>
  <c r="F214" i="68" s="1"/>
  <c r="E214" i="69"/>
  <c r="F214" i="69" s="1"/>
  <c r="E236" i="68"/>
  <c r="F236" i="68" s="1"/>
  <c r="E236" i="69"/>
  <c r="F236" i="69" s="1"/>
  <c r="E159" i="68"/>
  <c r="F159" i="68" s="1"/>
  <c r="E159" i="69"/>
  <c r="F159" i="69" s="1"/>
  <c r="E362" i="68"/>
  <c r="F362" i="68" s="1"/>
  <c r="E362" i="69"/>
  <c r="F362" i="69" s="1"/>
  <c r="E349" i="68"/>
  <c r="F349" i="68" s="1"/>
  <c r="E349" i="69"/>
  <c r="F349" i="69" s="1"/>
  <c r="E102" i="68"/>
  <c r="F102" i="68" s="1"/>
  <c r="E102" i="69"/>
  <c r="F102" i="69" s="1"/>
  <c r="E361" i="68"/>
  <c r="F361" i="68" s="1"/>
  <c r="E361" i="69"/>
  <c r="F361" i="69" s="1"/>
  <c r="E45" i="68"/>
  <c r="F45" i="68" s="1"/>
  <c r="E45" i="69"/>
  <c r="F45" i="69" s="1"/>
  <c r="E37" i="68"/>
  <c r="F37" i="68" s="1"/>
  <c r="E37" i="69"/>
  <c r="F37" i="69" s="1"/>
  <c r="E309" i="68"/>
  <c r="F309" i="68" s="1"/>
  <c r="E309" i="69"/>
  <c r="F309" i="69" s="1"/>
  <c r="E201" i="68"/>
  <c r="F201" i="68" s="1"/>
  <c r="E201" i="69"/>
  <c r="F201" i="69" s="1"/>
  <c r="E320" i="68"/>
  <c r="F320" i="68" s="1"/>
  <c r="E320" i="69"/>
  <c r="F320" i="69" s="1"/>
  <c r="E11" i="68"/>
  <c r="F11" i="68" s="1"/>
  <c r="E11" i="69"/>
  <c r="F11" i="69" s="1"/>
  <c r="E250" i="68"/>
  <c r="F250" i="68" s="1"/>
  <c r="E250" i="69"/>
  <c r="F250" i="69" s="1"/>
  <c r="E83" i="68"/>
  <c r="F83" i="68" s="1"/>
  <c r="E83" i="69"/>
  <c r="F83" i="69" s="1"/>
  <c r="E117" i="68"/>
  <c r="F117" i="68" s="1"/>
  <c r="E117" i="69"/>
  <c r="F117" i="69" s="1"/>
  <c r="E176" i="68"/>
  <c r="F176" i="68" s="1"/>
  <c r="E176" i="69"/>
  <c r="F176" i="69" s="1"/>
  <c r="E233" i="68"/>
  <c r="F233" i="68" s="1"/>
  <c r="E233" i="69"/>
  <c r="F233" i="69" s="1"/>
  <c r="E6" i="68"/>
  <c r="F6" i="68" s="1"/>
  <c r="E6" i="69"/>
  <c r="F6" i="69" s="1"/>
  <c r="E301" i="68"/>
  <c r="F301" i="68" s="1"/>
  <c r="E301" i="69"/>
  <c r="F301" i="69" s="1"/>
  <c r="E39" i="68"/>
  <c r="F39" i="68" s="1"/>
  <c r="E39" i="69"/>
  <c r="F39" i="69" s="1"/>
  <c r="E270" i="68"/>
  <c r="F270" i="68" s="1"/>
  <c r="E270" i="69"/>
  <c r="F270" i="69" s="1"/>
  <c r="E334" i="68"/>
  <c r="F334" i="68" s="1"/>
  <c r="E334" i="69"/>
  <c r="F334" i="69" s="1"/>
  <c r="E354" i="68"/>
  <c r="F354" i="68" s="1"/>
  <c r="E354" i="69"/>
  <c r="F354" i="69" s="1"/>
  <c r="E254" i="68"/>
  <c r="F254" i="68" s="1"/>
  <c r="E254" i="69"/>
  <c r="F254" i="69" s="1"/>
  <c r="E136" i="68"/>
  <c r="F136" i="68" s="1"/>
  <c r="E136" i="69"/>
  <c r="F136" i="69" s="1"/>
  <c r="E79" i="69"/>
  <c r="F79" i="69" s="1"/>
  <c r="E228" i="68"/>
  <c r="F228" i="68" s="1"/>
  <c r="E228" i="69"/>
  <c r="F228" i="69" s="1"/>
  <c r="E79" i="68"/>
  <c r="F79" i="68" s="1"/>
  <c r="E88" i="68"/>
  <c r="F88" i="68" s="1"/>
  <c r="E88" i="69"/>
  <c r="F88" i="69" s="1"/>
  <c r="E224" i="68"/>
  <c r="F224" i="68" s="1"/>
  <c r="E224" i="69"/>
  <c r="F224" i="69" s="1"/>
  <c r="E67" i="69"/>
  <c r="F67" i="69" s="1"/>
  <c r="E67" i="68"/>
  <c r="F67" i="68" s="1"/>
  <c r="E80" i="68"/>
  <c r="F80" i="68" s="1"/>
  <c r="E80" i="69"/>
  <c r="F80" i="69" s="1"/>
  <c r="E4" i="68"/>
  <c r="F4" i="68" s="1"/>
  <c r="E4" i="69"/>
  <c r="F4" i="69" s="1"/>
  <c r="E5" i="68"/>
  <c r="F5" i="68" s="1"/>
  <c r="E5" i="69"/>
  <c r="F5" i="69" s="1"/>
  <c r="E85" i="68"/>
  <c r="F85" i="68" s="1"/>
  <c r="E85" i="69"/>
  <c r="F85" i="69" s="1"/>
  <c r="E347" i="68"/>
  <c r="F347" i="68" s="1"/>
  <c r="E347" i="69"/>
  <c r="F347" i="69" s="1"/>
  <c r="E163" i="69"/>
  <c r="F163" i="69" s="1"/>
  <c r="E163" i="68"/>
  <c r="F163" i="68" s="1"/>
  <c r="E84" i="68"/>
  <c r="F84" i="68" s="1"/>
  <c r="E84" i="69"/>
  <c r="F84" i="69" s="1"/>
  <c r="E203" i="68"/>
  <c r="F203" i="68" s="1"/>
  <c r="E203" i="69"/>
  <c r="F203" i="69" s="1"/>
  <c r="E189" i="68"/>
  <c r="F189" i="68" s="1"/>
  <c r="E189" i="69"/>
  <c r="F189" i="69" s="1"/>
  <c r="E106" i="68"/>
  <c r="F106" i="68" s="1"/>
  <c r="E106" i="69"/>
  <c r="F106" i="69" s="1"/>
  <c r="E279" i="68"/>
  <c r="F279" i="68" s="1"/>
  <c r="E279" i="69"/>
  <c r="F279" i="69" s="1"/>
  <c r="E198" i="68"/>
  <c r="F198" i="68" s="1"/>
  <c r="E198" i="69"/>
  <c r="F198" i="69" s="1"/>
  <c r="E41" i="68"/>
  <c r="F41" i="68" s="1"/>
  <c r="E41" i="69"/>
  <c r="F41" i="69" s="1"/>
  <c r="E368" i="68"/>
  <c r="F368" i="68" s="1"/>
  <c r="E368" i="69"/>
  <c r="F368" i="69" s="1"/>
  <c r="E126" i="68"/>
  <c r="F126" i="68" s="1"/>
  <c r="E126" i="69"/>
  <c r="F126" i="69" s="1"/>
  <c r="E356" i="68"/>
  <c r="F356" i="68" s="1"/>
  <c r="E356" i="69"/>
  <c r="F356" i="69" s="1"/>
  <c r="E282" i="68"/>
  <c r="F282" i="68" s="1"/>
  <c r="E282" i="69"/>
  <c r="F282" i="69" s="1"/>
  <c r="E121" i="68"/>
  <c r="F121" i="68" s="1"/>
  <c r="E121" i="69"/>
  <c r="F121" i="69" s="1"/>
  <c r="E127" i="69"/>
  <c r="F127" i="69" s="1"/>
  <c r="E127" i="68"/>
  <c r="F127" i="68" s="1"/>
  <c r="E312" i="68"/>
  <c r="F312" i="68" s="1"/>
  <c r="E312" i="69"/>
  <c r="F312" i="69" s="1"/>
  <c r="E146" i="68"/>
  <c r="F146" i="68" s="1"/>
  <c r="E146" i="69"/>
  <c r="F146" i="69" s="1"/>
  <c r="E123" i="68"/>
  <c r="F123" i="68" s="1"/>
  <c r="E123" i="69"/>
  <c r="F123" i="69" s="1"/>
  <c r="E307" i="69"/>
  <c r="F307" i="69" s="1"/>
  <c r="E307" i="68"/>
  <c r="F307" i="68" s="1"/>
  <c r="E299" i="68"/>
  <c r="F299" i="68" s="1"/>
  <c r="E299" i="69"/>
  <c r="F299" i="69" s="1"/>
  <c r="E101" i="68"/>
  <c r="F101" i="68" s="1"/>
  <c r="E101" i="69"/>
  <c r="F101" i="69" s="1"/>
  <c r="DE10" i="49"/>
  <c r="DF10" i="49" s="1"/>
  <c r="E203" i="71"/>
  <c r="J203" i="71" s="1"/>
  <c r="E251" i="71"/>
  <c r="J251" i="71" s="1"/>
  <c r="E279" i="71"/>
  <c r="E205" i="71"/>
  <c r="J205" i="71" s="1"/>
  <c r="E311" i="71"/>
  <c r="E150" i="71"/>
  <c r="E363" i="68"/>
  <c r="F363" i="68" s="1"/>
  <c r="E166" i="68"/>
  <c r="F166" i="68" s="1"/>
  <c r="E238" i="71"/>
  <c r="E28" i="71"/>
  <c r="G123" i="71"/>
  <c r="H123" i="71" s="1"/>
  <c r="J123" i="71"/>
  <c r="E38" i="71"/>
  <c r="E46" i="71"/>
  <c r="E232" i="71"/>
  <c r="E137" i="71"/>
  <c r="E197" i="71"/>
  <c r="E331" i="71"/>
  <c r="E259" i="68"/>
  <c r="F259" i="68" s="1"/>
  <c r="E241" i="71"/>
  <c r="E172" i="71"/>
  <c r="J192" i="71"/>
  <c r="G192" i="71"/>
  <c r="H192" i="71" s="1"/>
  <c r="E219" i="71"/>
  <c r="E185" i="71"/>
  <c r="E267" i="71"/>
  <c r="E116" i="71"/>
  <c r="E235" i="71"/>
  <c r="E43" i="71"/>
  <c r="E314" i="71"/>
  <c r="E338" i="71"/>
  <c r="E90" i="68"/>
  <c r="F90" i="68" s="1"/>
  <c r="E146" i="71"/>
  <c r="E263" i="71"/>
  <c r="E315" i="71"/>
  <c r="E180" i="71"/>
  <c r="E332" i="71"/>
  <c r="E282" i="71"/>
  <c r="E285" i="71"/>
  <c r="E204" i="71"/>
  <c r="E108" i="71"/>
  <c r="E328" i="71"/>
  <c r="E118" i="71"/>
  <c r="E36" i="71"/>
  <c r="F6" i="71"/>
  <c r="E136" i="71"/>
  <c r="E169" i="71"/>
  <c r="E239" i="71"/>
  <c r="E223" i="71"/>
  <c r="E161" i="71"/>
  <c r="E135" i="71"/>
  <c r="E345" i="71"/>
  <c r="G345" i="71" s="1"/>
  <c r="E273" i="71"/>
  <c r="E265" i="71"/>
  <c r="E59" i="71"/>
  <c r="E341" i="71"/>
  <c r="E50" i="71"/>
  <c r="E29" i="71"/>
  <c r="E211" i="71"/>
  <c r="E24" i="71"/>
  <c r="E291" i="71"/>
  <c r="E265" i="68"/>
  <c r="F265" i="68" s="1"/>
  <c r="E92" i="71"/>
  <c r="J177" i="71"/>
  <c r="G177" i="71"/>
  <c r="H177" i="71" s="1"/>
  <c r="E41" i="71"/>
  <c r="E163" i="71"/>
  <c r="E131" i="71"/>
  <c r="E45" i="71"/>
  <c r="E343" i="71"/>
  <c r="G343" i="71" s="1"/>
  <c r="E309" i="71"/>
  <c r="E342" i="71"/>
  <c r="E242" i="71"/>
  <c r="E245" i="71"/>
  <c r="E264" i="71"/>
  <c r="E128" i="71"/>
  <c r="E121" i="71"/>
  <c r="E248" i="68"/>
  <c r="F248" i="68" s="1"/>
  <c r="E323" i="71"/>
  <c r="E91" i="71"/>
  <c r="E95" i="71"/>
  <c r="E306" i="71"/>
  <c r="E200" i="71"/>
  <c r="E325" i="71"/>
  <c r="E149" i="71"/>
  <c r="E255" i="68"/>
  <c r="F255" i="68" s="1"/>
  <c r="E119" i="71"/>
  <c r="E153" i="71"/>
  <c r="E84" i="71"/>
  <c r="E57" i="71"/>
  <c r="E287" i="71"/>
  <c r="E233" i="71"/>
  <c r="E26" i="71"/>
  <c r="E299" i="71"/>
  <c r="E209" i="71"/>
  <c r="E105" i="71"/>
  <c r="E37" i="71"/>
  <c r="E7" i="71"/>
  <c r="E97" i="71"/>
  <c r="E27" i="71"/>
  <c r="E171" i="71"/>
  <c r="E324" i="71"/>
  <c r="E300" i="71"/>
  <c r="E100" i="71"/>
  <c r="E56" i="71"/>
  <c r="E184" i="71"/>
  <c r="E289" i="71"/>
  <c r="E130" i="71"/>
  <c r="E262" i="71"/>
  <c r="E257" i="71"/>
  <c r="E23" i="71"/>
  <c r="G279" i="71"/>
  <c r="H279" i="71" s="1"/>
  <c r="J279" i="71"/>
  <c r="E61" i="71"/>
  <c r="E252" i="71"/>
  <c r="E154" i="71"/>
  <c r="E40" i="71"/>
  <c r="E115" i="71"/>
  <c r="E74" i="71"/>
  <c r="E182" i="71"/>
  <c r="E187" i="71"/>
  <c r="E9" i="71"/>
  <c r="E19" i="71"/>
  <c r="E114" i="71"/>
  <c r="E165" i="71"/>
  <c r="E106" i="71"/>
  <c r="E68" i="71"/>
  <c r="E344" i="71"/>
  <c r="G344" i="71" s="1"/>
  <c r="E266" i="71"/>
  <c r="E103" i="71"/>
  <c r="E79" i="71"/>
  <c r="E85" i="71"/>
  <c r="E64" i="71"/>
  <c r="E216" i="71"/>
  <c r="E273" i="68"/>
  <c r="F273" i="68" s="1"/>
  <c r="E101" i="71"/>
  <c r="E307" i="71"/>
  <c r="E225" i="71"/>
  <c r="E30" i="71"/>
  <c r="E304" i="71"/>
  <c r="E212" i="71"/>
  <c r="E334" i="71"/>
  <c r="E318" i="71"/>
  <c r="E215" i="71"/>
  <c r="E247" i="71"/>
  <c r="E312" i="71"/>
  <c r="G174" i="71"/>
  <c r="H174" i="71" s="1"/>
  <c r="J174" i="71"/>
  <c r="M6" i="49"/>
  <c r="AW6" i="49" s="1"/>
  <c r="N5" i="49"/>
  <c r="E178" i="71"/>
  <c r="E144" i="71"/>
  <c r="E152" i="71"/>
  <c r="E281" i="71"/>
  <c r="E67" i="71"/>
  <c r="E20" i="71"/>
  <c r="E213" i="71"/>
  <c r="E10" i="71"/>
  <c r="E244" i="71"/>
  <c r="E201" i="71"/>
  <c r="E269" i="71"/>
  <c r="E173" i="71"/>
  <c r="E214" i="71"/>
  <c r="E228" i="71"/>
  <c r="E188" i="71"/>
  <c r="E259" i="71"/>
  <c r="E143" i="71"/>
  <c r="E93" i="71"/>
  <c r="E75" i="71"/>
  <c r="E14" i="71"/>
  <c r="E217" i="71"/>
  <c r="E248" i="71"/>
  <c r="E319" i="71"/>
  <c r="E124" i="71"/>
  <c r="E276" i="71"/>
  <c r="E296" i="71"/>
  <c r="G205" i="71" l="1"/>
  <c r="H205" i="71" s="1"/>
  <c r="G203" i="71"/>
  <c r="H203" i="71" s="1"/>
  <c r="E44" i="71"/>
  <c r="E142" i="71"/>
  <c r="E164" i="71"/>
  <c r="E327" i="71"/>
  <c r="E277" i="71"/>
  <c r="E76" i="71"/>
  <c r="E226" i="71"/>
  <c r="E198" i="71"/>
  <c r="E271" i="71"/>
  <c r="E82" i="71"/>
  <c r="E337" i="71"/>
  <c r="G337" i="71" s="1"/>
  <c r="H337" i="71" s="1"/>
  <c r="E193" i="71"/>
  <c r="E49" i="71"/>
  <c r="E313" i="71"/>
  <c r="E157" i="71"/>
  <c r="E125" i="71"/>
  <c r="E129" i="71"/>
  <c r="E278" i="71"/>
  <c r="E293" i="71"/>
  <c r="E54" i="71"/>
  <c r="E272" i="71"/>
  <c r="E195" i="71"/>
  <c r="E159" i="71"/>
  <c r="E17" i="71"/>
  <c r="E333" i="71"/>
  <c r="G333" i="71" s="1"/>
  <c r="H333" i="71" s="1"/>
  <c r="E199" i="71"/>
  <c r="E42" i="71"/>
  <c r="E283" i="71"/>
  <c r="E31" i="71"/>
  <c r="G31" i="71" s="1"/>
  <c r="H31" i="71" s="1"/>
  <c r="E178" i="68"/>
  <c r="F178" i="68" s="1"/>
  <c r="E178" i="69"/>
  <c r="F178" i="69" s="1"/>
  <c r="E122" i="68"/>
  <c r="F122" i="68" s="1"/>
  <c r="E122" i="69"/>
  <c r="F122" i="69" s="1"/>
  <c r="E68" i="68"/>
  <c r="F68" i="68" s="1"/>
  <c r="E68" i="69"/>
  <c r="F68" i="69" s="1"/>
  <c r="E107" i="68"/>
  <c r="F107" i="68" s="1"/>
  <c r="E107" i="69"/>
  <c r="F107" i="69" s="1"/>
  <c r="E138" i="68"/>
  <c r="F138" i="68" s="1"/>
  <c r="E138" i="69"/>
  <c r="F138" i="69" s="1"/>
  <c r="E35" i="68"/>
  <c r="F35" i="68" s="1"/>
  <c r="E35" i="69"/>
  <c r="F35" i="69" s="1"/>
  <c r="E70" i="68"/>
  <c r="F70" i="68" s="1"/>
  <c r="E70" i="69"/>
  <c r="F70" i="69" s="1"/>
  <c r="E355" i="69"/>
  <c r="F355" i="69" s="1"/>
  <c r="E355" i="68"/>
  <c r="F355" i="68" s="1"/>
  <c r="E274" i="68"/>
  <c r="F274" i="68" s="1"/>
  <c r="E274" i="69"/>
  <c r="F274" i="69" s="1"/>
  <c r="E335" i="68"/>
  <c r="F335" i="68" s="1"/>
  <c r="E335" i="69"/>
  <c r="F335" i="69" s="1"/>
  <c r="E268" i="68"/>
  <c r="F268" i="68" s="1"/>
  <c r="E268" i="69"/>
  <c r="F268" i="69" s="1"/>
  <c r="E151" i="69"/>
  <c r="F151" i="69" s="1"/>
  <c r="E151" i="68"/>
  <c r="F151" i="68" s="1"/>
  <c r="E344" i="68"/>
  <c r="F344" i="68" s="1"/>
  <c r="E344" i="69"/>
  <c r="F344" i="69" s="1"/>
  <c r="E162" i="68"/>
  <c r="F162" i="68" s="1"/>
  <c r="E162" i="69"/>
  <c r="F162" i="69" s="1"/>
  <c r="E143" i="68"/>
  <c r="F143" i="68" s="1"/>
  <c r="E143" i="69"/>
  <c r="F143" i="69" s="1"/>
  <c r="E241" i="68"/>
  <c r="F241" i="68" s="1"/>
  <c r="E241" i="69"/>
  <c r="F241" i="69" s="1"/>
  <c r="E359" i="68"/>
  <c r="F359" i="68" s="1"/>
  <c r="E359" i="69"/>
  <c r="F359" i="69" s="1"/>
  <c r="E327" i="68"/>
  <c r="F327" i="68" s="1"/>
  <c r="E327" i="69"/>
  <c r="F327" i="69" s="1"/>
  <c r="E112" i="68"/>
  <c r="F112" i="68" s="1"/>
  <c r="E112" i="69"/>
  <c r="F112" i="69" s="1"/>
  <c r="E215" i="68"/>
  <c r="F215" i="68" s="1"/>
  <c r="E215" i="69"/>
  <c r="F215" i="69" s="1"/>
  <c r="E225" i="68"/>
  <c r="F225" i="68" s="1"/>
  <c r="E225" i="69"/>
  <c r="F225" i="69" s="1"/>
  <c r="E38" i="68"/>
  <c r="F38" i="68" s="1"/>
  <c r="E38" i="69"/>
  <c r="F38" i="69" s="1"/>
  <c r="E239" i="68"/>
  <c r="F239" i="68" s="1"/>
  <c r="E239" i="69"/>
  <c r="F239" i="69" s="1"/>
  <c r="E350" i="68"/>
  <c r="F350" i="68" s="1"/>
  <c r="E350" i="69"/>
  <c r="F350" i="69" s="1"/>
  <c r="E167" i="68"/>
  <c r="F167" i="68" s="1"/>
  <c r="E167" i="69"/>
  <c r="F167" i="69" s="1"/>
  <c r="E157" i="68"/>
  <c r="F157" i="68" s="1"/>
  <c r="E157" i="69"/>
  <c r="F157" i="69" s="1"/>
  <c r="E360" i="68"/>
  <c r="F360" i="68" s="1"/>
  <c r="E360" i="69"/>
  <c r="F360" i="69" s="1"/>
  <c r="E153" i="68"/>
  <c r="F153" i="68" s="1"/>
  <c r="E153" i="69"/>
  <c r="F153" i="69" s="1"/>
  <c r="E15" i="68"/>
  <c r="F15" i="68" s="1"/>
  <c r="E15" i="69"/>
  <c r="F15" i="69" s="1"/>
  <c r="E231" i="68"/>
  <c r="F231" i="68" s="1"/>
  <c r="E231" i="69"/>
  <c r="F231" i="69" s="1"/>
  <c r="E135" i="68"/>
  <c r="F135" i="68" s="1"/>
  <c r="E135" i="69"/>
  <c r="F135" i="69" s="1"/>
  <c r="E154" i="68"/>
  <c r="F154" i="68" s="1"/>
  <c r="E154" i="69"/>
  <c r="F154" i="69" s="1"/>
  <c r="E120" i="68"/>
  <c r="F120" i="68" s="1"/>
  <c r="E120" i="69"/>
  <c r="F120" i="69" s="1"/>
  <c r="E170" i="68"/>
  <c r="F170" i="68" s="1"/>
  <c r="E170" i="69"/>
  <c r="F170" i="69" s="1"/>
  <c r="E303" i="68"/>
  <c r="F303" i="68" s="1"/>
  <c r="E303" i="69"/>
  <c r="F303" i="69" s="1"/>
  <c r="E184" i="68"/>
  <c r="F184" i="68" s="1"/>
  <c r="E184" i="69"/>
  <c r="F184" i="69" s="1"/>
  <c r="E369" i="68"/>
  <c r="F369" i="68" s="1"/>
  <c r="E369" i="69"/>
  <c r="F369" i="69" s="1"/>
  <c r="E340" i="68"/>
  <c r="F340" i="68" s="1"/>
  <c r="E340" i="69"/>
  <c r="F340" i="69" s="1"/>
  <c r="E77" i="68"/>
  <c r="F77" i="68" s="1"/>
  <c r="E77" i="69"/>
  <c r="F77" i="69" s="1"/>
  <c r="E71" i="68"/>
  <c r="F71" i="68" s="1"/>
  <c r="E71" i="69"/>
  <c r="F71" i="69" s="1"/>
  <c r="E95" i="68"/>
  <c r="F95" i="68" s="1"/>
  <c r="E95" i="69"/>
  <c r="F95" i="69" s="1"/>
  <c r="E204" i="68"/>
  <c r="F204" i="68" s="1"/>
  <c r="E204" i="69"/>
  <c r="F204" i="69" s="1"/>
  <c r="E305" i="68"/>
  <c r="F305" i="68" s="1"/>
  <c r="E305" i="69"/>
  <c r="F305" i="69" s="1"/>
  <c r="E181" i="68"/>
  <c r="F181" i="68" s="1"/>
  <c r="E181" i="69"/>
  <c r="F181" i="69" s="1"/>
  <c r="E144" i="68"/>
  <c r="F144" i="68" s="1"/>
  <c r="E144" i="69"/>
  <c r="F144" i="69" s="1"/>
  <c r="E113" i="68"/>
  <c r="F113" i="68" s="1"/>
  <c r="E113" i="69"/>
  <c r="F113" i="69" s="1"/>
  <c r="E72" i="68"/>
  <c r="F72" i="68" s="1"/>
  <c r="E72" i="69"/>
  <c r="F72" i="69" s="1"/>
  <c r="E297" i="68"/>
  <c r="F297" i="68" s="1"/>
  <c r="E297" i="69"/>
  <c r="F297" i="69" s="1"/>
  <c r="E66" i="68"/>
  <c r="F66" i="68" s="1"/>
  <c r="E66" i="69"/>
  <c r="F66" i="69" s="1"/>
  <c r="E229" i="68"/>
  <c r="F229" i="68" s="1"/>
  <c r="E229" i="69"/>
  <c r="F229" i="69" s="1"/>
  <c r="E314" i="68"/>
  <c r="F314" i="68" s="1"/>
  <c r="E314" i="69"/>
  <c r="F314" i="69" s="1"/>
  <c r="E365" i="68"/>
  <c r="F365" i="68" s="1"/>
  <c r="E365" i="69"/>
  <c r="F365" i="69" s="1"/>
  <c r="E180" i="68"/>
  <c r="F180" i="68" s="1"/>
  <c r="E180" i="69"/>
  <c r="F180" i="69" s="1"/>
  <c r="E152" i="68"/>
  <c r="F152" i="68" s="1"/>
  <c r="E152" i="69"/>
  <c r="F152" i="69" s="1"/>
  <c r="E205" i="68"/>
  <c r="F205" i="68" s="1"/>
  <c r="E205" i="69"/>
  <c r="F205" i="69" s="1"/>
  <c r="E129" i="68"/>
  <c r="F129" i="68" s="1"/>
  <c r="E129" i="69"/>
  <c r="F129" i="69" s="1"/>
  <c r="E295" i="69"/>
  <c r="F295" i="69" s="1"/>
  <c r="E295" i="68"/>
  <c r="F295" i="68" s="1"/>
  <c r="E155" i="68"/>
  <c r="F155" i="68" s="1"/>
  <c r="E155" i="69"/>
  <c r="F155" i="69" s="1"/>
  <c r="E195" i="68"/>
  <c r="F195" i="68" s="1"/>
  <c r="E195" i="69"/>
  <c r="F195" i="69" s="1"/>
  <c r="E30" i="68"/>
  <c r="F30" i="68" s="1"/>
  <c r="E30" i="69"/>
  <c r="F30" i="69" s="1"/>
  <c r="E292" i="68"/>
  <c r="F292" i="68" s="1"/>
  <c r="E292" i="69"/>
  <c r="F292" i="69" s="1"/>
  <c r="E34" i="68"/>
  <c r="F34" i="68" s="1"/>
  <c r="E34" i="69"/>
  <c r="F34" i="69" s="1"/>
  <c r="E161" i="68"/>
  <c r="F161" i="68" s="1"/>
  <c r="E161" i="69"/>
  <c r="F161" i="69" s="1"/>
  <c r="E131" i="68"/>
  <c r="F131" i="68" s="1"/>
  <c r="E131" i="69"/>
  <c r="F131" i="69" s="1"/>
  <c r="E272" i="68"/>
  <c r="F272" i="68" s="1"/>
  <c r="E272" i="69"/>
  <c r="F272" i="69" s="1"/>
  <c r="E364" i="68"/>
  <c r="F364" i="68" s="1"/>
  <c r="E364" i="69"/>
  <c r="F364" i="69" s="1"/>
  <c r="E114" i="68"/>
  <c r="F114" i="68" s="1"/>
  <c r="E114" i="69"/>
  <c r="F114" i="69" s="1"/>
  <c r="E219" i="68"/>
  <c r="F219" i="68" s="1"/>
  <c r="E219" i="69"/>
  <c r="F219" i="69" s="1"/>
  <c r="E27" i="68"/>
  <c r="F27" i="68" s="1"/>
  <c r="E27" i="69"/>
  <c r="F27" i="69" s="1"/>
  <c r="E174" i="68"/>
  <c r="F174" i="68" s="1"/>
  <c r="E174" i="69"/>
  <c r="F174" i="69" s="1"/>
  <c r="E246" i="68"/>
  <c r="F246" i="68" s="1"/>
  <c r="E246" i="69"/>
  <c r="F246" i="69" s="1"/>
  <c r="E322" i="68"/>
  <c r="F322" i="68" s="1"/>
  <c r="E322" i="69"/>
  <c r="F322" i="69" s="1"/>
  <c r="E287" i="68"/>
  <c r="F287" i="68" s="1"/>
  <c r="E287" i="69"/>
  <c r="F287" i="69" s="1"/>
  <c r="E243" i="68"/>
  <c r="F243" i="68" s="1"/>
  <c r="E243" i="69"/>
  <c r="F243" i="69" s="1"/>
  <c r="E148" i="68"/>
  <c r="F148" i="68" s="1"/>
  <c r="E148" i="69"/>
  <c r="F148" i="69" s="1"/>
  <c r="E103" i="69"/>
  <c r="F103" i="69" s="1"/>
  <c r="E103" i="68"/>
  <c r="F103" i="68" s="1"/>
  <c r="E207" i="68"/>
  <c r="F207" i="68" s="1"/>
  <c r="E207" i="69"/>
  <c r="F207" i="69" s="1"/>
  <c r="E183" i="68"/>
  <c r="F183" i="68" s="1"/>
  <c r="E183" i="69"/>
  <c r="F183" i="69" s="1"/>
  <c r="E36" i="68"/>
  <c r="F36" i="68" s="1"/>
  <c r="E36" i="69"/>
  <c r="F36" i="69" s="1"/>
  <c r="E285" i="68"/>
  <c r="F285" i="68" s="1"/>
  <c r="E285" i="69"/>
  <c r="F285" i="69" s="1"/>
  <c r="E276" i="68"/>
  <c r="F276" i="68" s="1"/>
  <c r="E276" i="69"/>
  <c r="F276" i="69" s="1"/>
  <c r="E333" i="68"/>
  <c r="F333" i="68" s="1"/>
  <c r="E333" i="69"/>
  <c r="F333" i="69" s="1"/>
  <c r="E281" i="68"/>
  <c r="F281" i="68" s="1"/>
  <c r="E281" i="69"/>
  <c r="F281" i="69" s="1"/>
  <c r="E145" i="68"/>
  <c r="F145" i="68" s="1"/>
  <c r="E145" i="69"/>
  <c r="F145" i="69" s="1"/>
  <c r="E262" i="68"/>
  <c r="F262" i="68" s="1"/>
  <c r="E262" i="69"/>
  <c r="F262" i="69" s="1"/>
  <c r="E289" i="68"/>
  <c r="F289" i="68" s="1"/>
  <c r="E289" i="69"/>
  <c r="F289" i="69" s="1"/>
  <c r="E253" i="68"/>
  <c r="F253" i="68" s="1"/>
  <c r="E253" i="69"/>
  <c r="F253" i="69" s="1"/>
  <c r="E226" i="68"/>
  <c r="F226" i="68" s="1"/>
  <c r="E226" i="69"/>
  <c r="F226" i="69" s="1"/>
  <c r="E291" i="68"/>
  <c r="F291" i="68" s="1"/>
  <c r="E291" i="69"/>
  <c r="F291" i="69" s="1"/>
  <c r="E230" i="68"/>
  <c r="F230" i="68" s="1"/>
  <c r="E230" i="69"/>
  <c r="F230" i="69" s="1"/>
  <c r="E235" i="69"/>
  <c r="F235" i="69" s="1"/>
  <c r="E235" i="68"/>
  <c r="F235" i="68" s="1"/>
  <c r="E342" i="68"/>
  <c r="F342" i="68" s="1"/>
  <c r="E342" i="69"/>
  <c r="F342" i="69" s="1"/>
  <c r="E296" i="68"/>
  <c r="F296" i="68" s="1"/>
  <c r="E296" i="69"/>
  <c r="F296" i="69" s="1"/>
  <c r="E165" i="68"/>
  <c r="F165" i="68" s="1"/>
  <c r="E165" i="69"/>
  <c r="F165" i="69" s="1"/>
  <c r="E109" i="68"/>
  <c r="F109" i="68" s="1"/>
  <c r="E109" i="69"/>
  <c r="F109" i="69" s="1"/>
  <c r="E331" i="69"/>
  <c r="F331" i="69" s="1"/>
  <c r="E331" i="68"/>
  <c r="F331" i="68" s="1"/>
  <c r="E128" i="68"/>
  <c r="F128" i="68" s="1"/>
  <c r="E128" i="69"/>
  <c r="F128" i="69" s="1"/>
  <c r="E298" i="68"/>
  <c r="F298" i="68" s="1"/>
  <c r="E298" i="69"/>
  <c r="F298" i="69" s="1"/>
  <c r="E172" i="68"/>
  <c r="F172" i="68" s="1"/>
  <c r="E172" i="69"/>
  <c r="F172" i="69" s="1"/>
  <c r="E116" i="68"/>
  <c r="F116" i="68" s="1"/>
  <c r="E116" i="69"/>
  <c r="F116" i="69" s="1"/>
  <c r="E171" i="68"/>
  <c r="F171" i="68" s="1"/>
  <c r="E171" i="69"/>
  <c r="F171" i="69" s="1"/>
  <c r="E140" i="68"/>
  <c r="F140" i="68" s="1"/>
  <c r="E140" i="69"/>
  <c r="F140" i="69" s="1"/>
  <c r="E81" i="68"/>
  <c r="F81" i="68" s="1"/>
  <c r="E81" i="69"/>
  <c r="F81" i="69" s="1"/>
  <c r="E338" i="68"/>
  <c r="F338" i="68" s="1"/>
  <c r="E338" i="69"/>
  <c r="F338" i="69" s="1"/>
  <c r="E105" i="68"/>
  <c r="F105" i="68" s="1"/>
  <c r="E105" i="69"/>
  <c r="F105" i="69" s="1"/>
  <c r="E190" i="68"/>
  <c r="F190" i="68" s="1"/>
  <c r="E190" i="69"/>
  <c r="F190" i="69" s="1"/>
  <c r="E92" i="68"/>
  <c r="F92" i="68" s="1"/>
  <c r="E92" i="69"/>
  <c r="F92" i="69" s="1"/>
  <c r="E179" i="68"/>
  <c r="F179" i="68" s="1"/>
  <c r="E179" i="69"/>
  <c r="F179" i="69" s="1"/>
  <c r="E366" i="68"/>
  <c r="F366" i="68" s="1"/>
  <c r="E366" i="69"/>
  <c r="F366" i="69" s="1"/>
  <c r="E78" i="68"/>
  <c r="F78" i="68" s="1"/>
  <c r="E78" i="69"/>
  <c r="F78" i="69" s="1"/>
  <c r="E192" i="68"/>
  <c r="F192" i="68" s="1"/>
  <c r="E192" i="69"/>
  <c r="F192" i="69" s="1"/>
  <c r="E150" i="68"/>
  <c r="F150" i="68" s="1"/>
  <c r="E150" i="69"/>
  <c r="F150" i="69" s="1"/>
  <c r="E227" i="68"/>
  <c r="F227" i="68" s="1"/>
  <c r="E227" i="69"/>
  <c r="F227" i="69" s="1"/>
  <c r="E173" i="68"/>
  <c r="F173" i="68" s="1"/>
  <c r="E173" i="69"/>
  <c r="F173" i="69" s="1"/>
  <c r="E132" i="68"/>
  <c r="F132" i="68" s="1"/>
  <c r="E132" i="69"/>
  <c r="F132" i="69" s="1"/>
  <c r="E82" i="68"/>
  <c r="F82" i="68" s="1"/>
  <c r="E82" i="69"/>
  <c r="F82" i="69" s="1"/>
  <c r="E168" i="68"/>
  <c r="F168" i="68" s="1"/>
  <c r="E168" i="69"/>
  <c r="F168" i="69" s="1"/>
  <c r="E260" i="68"/>
  <c r="F260" i="68" s="1"/>
  <c r="E260" i="69"/>
  <c r="F260" i="69" s="1"/>
  <c r="E7" i="69"/>
  <c r="F7" i="69" s="1"/>
  <c r="E267" i="68"/>
  <c r="F267" i="68" s="1"/>
  <c r="E267" i="69"/>
  <c r="F267" i="69" s="1"/>
  <c r="E7" i="68"/>
  <c r="F7" i="68" s="1"/>
  <c r="E302" i="68"/>
  <c r="F302" i="68" s="1"/>
  <c r="E302" i="69"/>
  <c r="F302" i="69" s="1"/>
  <c r="E130" i="68"/>
  <c r="F130" i="68" s="1"/>
  <c r="E130" i="69"/>
  <c r="F130" i="69" s="1"/>
  <c r="E54" i="68"/>
  <c r="F54" i="68" s="1"/>
  <c r="E54" i="69"/>
  <c r="F54" i="69" s="1"/>
  <c r="E264" i="68"/>
  <c r="F264" i="68" s="1"/>
  <c r="E264" i="69"/>
  <c r="F264" i="69" s="1"/>
  <c r="E133" i="68"/>
  <c r="F133" i="68" s="1"/>
  <c r="E133" i="69"/>
  <c r="F133" i="69" s="1"/>
  <c r="E186" i="68"/>
  <c r="F186" i="68" s="1"/>
  <c r="E186" i="69"/>
  <c r="F186" i="69" s="1"/>
  <c r="E26" i="68"/>
  <c r="F26" i="68" s="1"/>
  <c r="E26" i="69"/>
  <c r="F26" i="69" s="1"/>
  <c r="E19" i="69"/>
  <c r="F19" i="69" s="1"/>
  <c r="E19" i="68"/>
  <c r="F19" i="68" s="1"/>
  <c r="E332" i="68"/>
  <c r="F332" i="68" s="1"/>
  <c r="E332" i="69"/>
  <c r="F332" i="69" s="1"/>
  <c r="E33" i="68"/>
  <c r="F33" i="68" s="1"/>
  <c r="E33" i="69"/>
  <c r="F33" i="69" s="1"/>
  <c r="E343" i="69"/>
  <c r="F343" i="69" s="1"/>
  <c r="E343" i="68"/>
  <c r="F343" i="68" s="1"/>
  <c r="E209" i="68"/>
  <c r="F209" i="68" s="1"/>
  <c r="E209" i="69"/>
  <c r="F209" i="69" s="1"/>
  <c r="E310" i="68"/>
  <c r="F310" i="68" s="1"/>
  <c r="E310" i="69"/>
  <c r="F310" i="69" s="1"/>
  <c r="E249" i="68"/>
  <c r="F249" i="68" s="1"/>
  <c r="E249" i="69"/>
  <c r="F249" i="69" s="1"/>
  <c r="E216" i="68"/>
  <c r="F216" i="68" s="1"/>
  <c r="E216" i="69"/>
  <c r="F216" i="69" s="1"/>
  <c r="E91" i="69"/>
  <c r="F91" i="69" s="1"/>
  <c r="E91" i="68"/>
  <c r="F91" i="68" s="1"/>
  <c r="E125" i="68"/>
  <c r="F125" i="68" s="1"/>
  <c r="E125" i="69"/>
  <c r="F125" i="69" s="1"/>
  <c r="E139" i="69"/>
  <c r="F139" i="69" s="1"/>
  <c r="E52" i="68"/>
  <c r="F52" i="68" s="1"/>
  <c r="E52" i="69"/>
  <c r="F52" i="69" s="1"/>
  <c r="E139" i="68"/>
  <c r="F139" i="68" s="1"/>
  <c r="E348" i="68"/>
  <c r="F348" i="68" s="1"/>
  <c r="E348" i="69"/>
  <c r="F348" i="69" s="1"/>
  <c r="E160" i="68"/>
  <c r="F160" i="68" s="1"/>
  <c r="E160" i="69"/>
  <c r="F160" i="69" s="1"/>
  <c r="E24" i="68"/>
  <c r="F24" i="68" s="1"/>
  <c r="E24" i="69"/>
  <c r="F24" i="69" s="1"/>
  <c r="E158" i="68"/>
  <c r="F158" i="68" s="1"/>
  <c r="E158" i="69"/>
  <c r="F158" i="69" s="1"/>
  <c r="E352" i="68"/>
  <c r="F352" i="68" s="1"/>
  <c r="E352" i="69"/>
  <c r="F352" i="69" s="1"/>
  <c r="E96" i="68"/>
  <c r="F96" i="68" s="1"/>
  <c r="E96" i="69"/>
  <c r="F96" i="69" s="1"/>
  <c r="E169" i="68"/>
  <c r="F169" i="68" s="1"/>
  <c r="E169" i="69"/>
  <c r="F169" i="69" s="1"/>
  <c r="E187" i="69"/>
  <c r="F187" i="69" s="1"/>
  <c r="E187" i="68"/>
  <c r="F187" i="68" s="1"/>
  <c r="E290" i="68"/>
  <c r="F290" i="68" s="1"/>
  <c r="E290" i="69"/>
  <c r="F290" i="69" s="1"/>
  <c r="E197" i="68"/>
  <c r="F197" i="68" s="1"/>
  <c r="E197" i="69"/>
  <c r="F197" i="69" s="1"/>
  <c r="E283" i="69"/>
  <c r="F283" i="69" s="1"/>
  <c r="E283" i="68"/>
  <c r="F283" i="68" s="1"/>
  <c r="E175" i="69"/>
  <c r="F175" i="69" s="1"/>
  <c r="E175" i="68"/>
  <c r="F175" i="68" s="1"/>
  <c r="E118" i="68"/>
  <c r="F118" i="68" s="1"/>
  <c r="E118" i="69"/>
  <c r="F118" i="69" s="1"/>
  <c r="E51" i="68"/>
  <c r="F51" i="68" s="1"/>
  <c r="E51" i="69"/>
  <c r="F51" i="69" s="1"/>
  <c r="E191" i="68"/>
  <c r="F191" i="68" s="1"/>
  <c r="E191" i="69"/>
  <c r="F191" i="69" s="1"/>
  <c r="E367" i="69"/>
  <c r="F367" i="69" s="1"/>
  <c r="E367" i="68"/>
  <c r="F367" i="68" s="1"/>
  <c r="E104" i="68"/>
  <c r="F104" i="68" s="1"/>
  <c r="E104" i="69"/>
  <c r="F104" i="69" s="1"/>
  <c r="E124" i="68"/>
  <c r="F124" i="68" s="1"/>
  <c r="E124" i="69"/>
  <c r="F124" i="69" s="1"/>
  <c r="E111" i="68"/>
  <c r="F111" i="68" s="1"/>
  <c r="E111" i="69"/>
  <c r="F111" i="69" s="1"/>
  <c r="E46" i="68"/>
  <c r="F46" i="68" s="1"/>
  <c r="E46" i="69"/>
  <c r="F46" i="69" s="1"/>
  <c r="E357" i="68"/>
  <c r="F357" i="68" s="1"/>
  <c r="E357" i="69"/>
  <c r="F357" i="69" s="1"/>
  <c r="E164" i="68"/>
  <c r="F164" i="68" s="1"/>
  <c r="E164" i="69"/>
  <c r="F164" i="69" s="1"/>
  <c r="E234" i="68"/>
  <c r="F234" i="68" s="1"/>
  <c r="E234" i="69"/>
  <c r="F234" i="69" s="1"/>
  <c r="E280" i="68"/>
  <c r="F280" i="68" s="1"/>
  <c r="E280" i="69"/>
  <c r="F280" i="69" s="1"/>
  <c r="E245" i="68"/>
  <c r="F245" i="68" s="1"/>
  <c r="E245" i="69"/>
  <c r="F245" i="69" s="1"/>
  <c r="E252" i="68"/>
  <c r="F252" i="68" s="1"/>
  <c r="E252" i="69"/>
  <c r="F252" i="69" s="1"/>
  <c r="E329" i="68"/>
  <c r="F329" i="68" s="1"/>
  <c r="E329" i="69"/>
  <c r="F329" i="69" s="1"/>
  <c r="E70" i="71"/>
  <c r="G70" i="71" s="1"/>
  <c r="H70" i="71" s="1"/>
  <c r="E126" i="71"/>
  <c r="G126" i="71" s="1"/>
  <c r="H126" i="71" s="1"/>
  <c r="E90" i="71"/>
  <c r="J90" i="71" s="1"/>
  <c r="E186" i="71"/>
  <c r="J186" i="71" s="1"/>
  <c r="E94" i="71"/>
  <c r="J94" i="71" s="1"/>
  <c r="E39" i="71"/>
  <c r="J39" i="71" s="1"/>
  <c r="E55" i="71"/>
  <c r="E255" i="71"/>
  <c r="G255" i="71" s="1"/>
  <c r="H255" i="71" s="1"/>
  <c r="E303" i="71"/>
  <c r="E65" i="71"/>
  <c r="J65" i="71" s="1"/>
  <c r="E104" i="71"/>
  <c r="G104" i="71" s="1"/>
  <c r="H104" i="71" s="1"/>
  <c r="E96" i="71"/>
  <c r="J96" i="71" s="1"/>
  <c r="E310" i="71"/>
  <c r="J310" i="71" s="1"/>
  <c r="E80" i="71"/>
  <c r="G80" i="71" s="1"/>
  <c r="H80" i="71" s="1"/>
  <c r="E321" i="71"/>
  <c r="G321" i="71" s="1"/>
  <c r="H321" i="71" s="1"/>
  <c r="E112" i="71"/>
  <c r="G112" i="71" s="1"/>
  <c r="H112" i="71" s="1"/>
  <c r="E275" i="71"/>
  <c r="J275" i="71" s="1"/>
  <c r="E268" i="71"/>
  <c r="G268" i="71" s="1"/>
  <c r="H268" i="71" s="1"/>
  <c r="E260" i="71"/>
  <c r="G260" i="71" s="1"/>
  <c r="H260" i="71" s="1"/>
  <c r="E298" i="71"/>
  <c r="J298" i="71" s="1"/>
  <c r="G251" i="71"/>
  <c r="H251" i="71" s="1"/>
  <c r="E336" i="71"/>
  <c r="G336" i="71" s="1"/>
  <c r="H336" i="71" s="1"/>
  <c r="E286" i="71"/>
  <c r="J286" i="71" s="1"/>
  <c r="E120" i="71"/>
  <c r="G120" i="71" s="1"/>
  <c r="H120" i="71" s="1"/>
  <c r="E222" i="71"/>
  <c r="J222" i="71" s="1"/>
  <c r="E210" i="71"/>
  <c r="G210" i="71" s="1"/>
  <c r="H210" i="71" s="1"/>
  <c r="E122" i="71"/>
  <c r="J122" i="71" s="1"/>
  <c r="E322" i="71"/>
  <c r="J322" i="71" s="1"/>
  <c r="E113" i="71"/>
  <c r="G113" i="71" s="1"/>
  <c r="H113" i="71" s="1"/>
  <c r="E47" i="71"/>
  <c r="E48" i="71"/>
  <c r="E326" i="71"/>
  <c r="J326" i="71" s="1"/>
  <c r="E297" i="71"/>
  <c r="G297" i="71" s="1"/>
  <c r="H297" i="71" s="1"/>
  <c r="E34" i="71"/>
  <c r="J34" i="71" s="1"/>
  <c r="E77" i="71"/>
  <c r="G77" i="71" s="1"/>
  <c r="H77" i="71" s="1"/>
  <c r="E158" i="71"/>
  <c r="J158" i="71" s="1"/>
  <c r="E179" i="71"/>
  <c r="G179" i="71" s="1"/>
  <c r="H179" i="71" s="1"/>
  <c r="E73" i="71"/>
  <c r="J73" i="71" s="1"/>
  <c r="E301" i="71"/>
  <c r="G301" i="71" s="1"/>
  <c r="H301" i="71" s="1"/>
  <c r="E305" i="71"/>
  <c r="J305" i="71" s="1"/>
  <c r="E240" i="71"/>
  <c r="J240" i="71" s="1"/>
  <c r="E133" i="71"/>
  <c r="G133" i="71" s="1"/>
  <c r="H133" i="71" s="1"/>
  <c r="E86" i="71"/>
  <c r="G86" i="71" s="1"/>
  <c r="H86" i="71" s="1"/>
  <c r="E72" i="71"/>
  <c r="G72" i="71" s="1"/>
  <c r="H72" i="71" s="1"/>
  <c r="E340" i="71"/>
  <c r="G340" i="71" s="1"/>
  <c r="H340" i="71" s="1"/>
  <c r="E237" i="71"/>
  <c r="G237" i="71" s="1"/>
  <c r="H237" i="71" s="1"/>
  <c r="E102" i="71"/>
  <c r="J102" i="71" s="1"/>
  <c r="E317" i="71"/>
  <c r="J317" i="71" s="1"/>
  <c r="E316" i="71"/>
  <c r="E254" i="71"/>
  <c r="G254" i="71" s="1"/>
  <c r="H254" i="71" s="1"/>
  <c r="E295" i="71"/>
  <c r="G295" i="71" s="1"/>
  <c r="H295" i="71" s="1"/>
  <c r="E117" i="71"/>
  <c r="G117" i="71" s="1"/>
  <c r="H117" i="71" s="1"/>
  <c r="E78" i="71"/>
  <c r="J78" i="71" s="1"/>
  <c r="E13" i="71"/>
  <c r="E132" i="71"/>
  <c r="G132" i="71" s="1"/>
  <c r="H132" i="71" s="1"/>
  <c r="E155" i="71"/>
  <c r="G155" i="71" s="1"/>
  <c r="H155" i="71" s="1"/>
  <c r="E18" i="71"/>
  <c r="E138" i="71"/>
  <c r="E8" i="71"/>
  <c r="E191" i="71"/>
  <c r="G93" i="71"/>
  <c r="H93" i="71" s="1"/>
  <c r="J93" i="71"/>
  <c r="G214" i="71"/>
  <c r="H214" i="71" s="1"/>
  <c r="J214" i="71"/>
  <c r="J20" i="71"/>
  <c r="G20" i="71"/>
  <c r="H20" i="71" s="1"/>
  <c r="J144" i="71"/>
  <c r="G144" i="71"/>
  <c r="H144" i="71" s="1"/>
  <c r="G79" i="71"/>
  <c r="H79" i="71" s="1"/>
  <c r="J79" i="71"/>
  <c r="G115" i="71"/>
  <c r="H115" i="71" s="1"/>
  <c r="J115" i="71"/>
  <c r="G153" i="71"/>
  <c r="H153" i="71" s="1"/>
  <c r="J153" i="71"/>
  <c r="G119" i="71"/>
  <c r="H119" i="71" s="1"/>
  <c r="J119" i="71"/>
  <c r="G131" i="71"/>
  <c r="H131" i="71" s="1"/>
  <c r="J131" i="71"/>
  <c r="G24" i="71"/>
  <c r="H24" i="71" s="1"/>
  <c r="J24" i="71"/>
  <c r="G50" i="71"/>
  <c r="H50" i="71" s="1"/>
  <c r="J50" i="71"/>
  <c r="J38" i="71"/>
  <c r="G38" i="71"/>
  <c r="H38" i="71" s="1"/>
  <c r="J28" i="71"/>
  <c r="G28" i="71"/>
  <c r="H28" i="71" s="1"/>
  <c r="G304" i="71"/>
  <c r="H304" i="71" s="1"/>
  <c r="J304" i="71"/>
  <c r="F54" i="71"/>
  <c r="G252" i="71"/>
  <c r="H252" i="71" s="1"/>
  <c r="J252" i="71"/>
  <c r="J97" i="71"/>
  <c r="G97" i="71"/>
  <c r="H97" i="71" s="1"/>
  <c r="J37" i="71"/>
  <c r="G37" i="71"/>
  <c r="H37" i="71" s="1"/>
  <c r="G299" i="71"/>
  <c r="H299" i="71" s="1"/>
  <c r="J299" i="71"/>
  <c r="G306" i="71"/>
  <c r="H306" i="71" s="1"/>
  <c r="J306" i="71"/>
  <c r="G91" i="71"/>
  <c r="H91" i="71" s="1"/>
  <c r="J91" i="71"/>
  <c r="G342" i="71"/>
  <c r="H342" i="71" s="1"/>
  <c r="J342" i="71"/>
  <c r="J293" i="71"/>
  <c r="G293" i="71"/>
  <c r="H293" i="71" s="1"/>
  <c r="G136" i="71"/>
  <c r="H136" i="71" s="1"/>
  <c r="J136" i="71"/>
  <c r="G6" i="71"/>
  <c r="H6" i="71" s="1"/>
  <c r="J6" i="71"/>
  <c r="G118" i="71"/>
  <c r="H118" i="71" s="1"/>
  <c r="J118" i="71"/>
  <c r="G108" i="71"/>
  <c r="H108" i="71" s="1"/>
  <c r="J108" i="71"/>
  <c r="G204" i="71"/>
  <c r="H204" i="71" s="1"/>
  <c r="J204" i="71"/>
  <c r="G338" i="71"/>
  <c r="H338" i="71" s="1"/>
  <c r="J338" i="71"/>
  <c r="J70" i="71"/>
  <c r="G172" i="71"/>
  <c r="H172" i="71" s="1"/>
  <c r="J172" i="71"/>
  <c r="J178" i="71"/>
  <c r="G178" i="71"/>
  <c r="H178" i="71" s="1"/>
  <c r="G244" i="71"/>
  <c r="H244" i="71" s="1"/>
  <c r="J244" i="71"/>
  <c r="G215" i="71"/>
  <c r="H215" i="71" s="1"/>
  <c r="J215" i="71"/>
  <c r="J334" i="71"/>
  <c r="G334" i="71"/>
  <c r="H334" i="71" s="1"/>
  <c r="G216" i="71"/>
  <c r="H216" i="71" s="1"/>
  <c r="J216" i="71"/>
  <c r="G19" i="71"/>
  <c r="H19" i="71" s="1"/>
  <c r="J19" i="71"/>
  <c r="G277" i="71"/>
  <c r="H277" i="71" s="1"/>
  <c r="J277" i="71"/>
  <c r="J17" i="71"/>
  <c r="G17" i="71"/>
  <c r="H17" i="71" s="1"/>
  <c r="G40" i="71"/>
  <c r="H40" i="71" s="1"/>
  <c r="J40" i="71"/>
  <c r="G154" i="71"/>
  <c r="H154" i="71" s="1"/>
  <c r="J154" i="71"/>
  <c r="J257" i="71"/>
  <c r="G257" i="71"/>
  <c r="H257" i="71" s="1"/>
  <c r="J287" i="71"/>
  <c r="G287" i="71"/>
  <c r="H287" i="71" s="1"/>
  <c r="J323" i="71"/>
  <c r="G323" i="71"/>
  <c r="H323" i="71" s="1"/>
  <c r="J265" i="71"/>
  <c r="G265" i="71"/>
  <c r="H265" i="71" s="1"/>
  <c r="J267" i="71"/>
  <c r="G267" i="71"/>
  <c r="H267" i="71" s="1"/>
  <c r="G195" i="71"/>
  <c r="H195" i="71" s="1"/>
  <c r="J195" i="71"/>
  <c r="G164" i="71"/>
  <c r="H164" i="71" s="1"/>
  <c r="J164" i="71"/>
  <c r="J114" i="71"/>
  <c r="G114" i="71"/>
  <c r="H114" i="71" s="1"/>
  <c r="J199" i="71"/>
  <c r="G199" i="71"/>
  <c r="H199" i="71" s="1"/>
  <c r="G130" i="71"/>
  <c r="H130" i="71" s="1"/>
  <c r="J130" i="71"/>
  <c r="G105" i="71"/>
  <c r="H105" i="71" s="1"/>
  <c r="J105" i="71"/>
  <c r="F57" i="71"/>
  <c r="G223" i="71"/>
  <c r="H223" i="71" s="1"/>
  <c r="J223" i="71"/>
  <c r="J314" i="71"/>
  <c r="G314" i="71"/>
  <c r="H314" i="71" s="1"/>
  <c r="J235" i="71"/>
  <c r="G235" i="71"/>
  <c r="H235" i="71" s="1"/>
  <c r="G219" i="71"/>
  <c r="H219" i="71" s="1"/>
  <c r="J219" i="71"/>
  <c r="J241" i="71"/>
  <c r="G241" i="71"/>
  <c r="H241" i="71" s="1"/>
  <c r="F47" i="71"/>
  <c r="G217" i="71"/>
  <c r="H217" i="71" s="1"/>
  <c r="J217" i="71"/>
  <c r="G188" i="71"/>
  <c r="H188" i="71" s="1"/>
  <c r="J188" i="71"/>
  <c r="G228" i="71"/>
  <c r="H228" i="71" s="1"/>
  <c r="J228" i="71"/>
  <c r="G269" i="71"/>
  <c r="H269" i="71" s="1"/>
  <c r="J269" i="71"/>
  <c r="J64" i="71"/>
  <c r="G64" i="71"/>
  <c r="H64" i="71" s="1"/>
  <c r="G76" i="71"/>
  <c r="H76" i="71" s="1"/>
  <c r="J76" i="71"/>
  <c r="G23" i="71"/>
  <c r="H23" i="71" s="1"/>
  <c r="J23" i="71"/>
  <c r="G262" i="71"/>
  <c r="H262" i="71" s="1"/>
  <c r="J262" i="71"/>
  <c r="G291" i="71"/>
  <c r="H291" i="71" s="1"/>
  <c r="J291" i="71"/>
  <c r="J143" i="71"/>
  <c r="G143" i="71"/>
  <c r="H143" i="71" s="1"/>
  <c r="G67" i="71"/>
  <c r="H67" i="71" s="1"/>
  <c r="J67" i="71"/>
  <c r="G276" i="71"/>
  <c r="H276" i="71" s="1"/>
  <c r="J276" i="71"/>
  <c r="J319" i="71"/>
  <c r="G319" i="71"/>
  <c r="H319" i="71" s="1"/>
  <c r="G142" i="71"/>
  <c r="H142" i="71" s="1"/>
  <c r="J142" i="71"/>
  <c r="J327" i="71"/>
  <c r="G327" i="71"/>
  <c r="H327" i="71" s="1"/>
  <c r="G182" i="71"/>
  <c r="H182" i="71" s="1"/>
  <c r="J182" i="71"/>
  <c r="G61" i="71"/>
  <c r="H61" i="71" s="1"/>
  <c r="J61" i="71"/>
  <c r="G209" i="71"/>
  <c r="H209" i="71" s="1"/>
  <c r="J209" i="71"/>
  <c r="G149" i="71"/>
  <c r="H149" i="71" s="1"/>
  <c r="J149" i="71"/>
  <c r="G245" i="71"/>
  <c r="H245" i="71" s="1"/>
  <c r="J245" i="71"/>
  <c r="J242" i="71"/>
  <c r="G242" i="71"/>
  <c r="H242" i="71" s="1"/>
  <c r="G92" i="71"/>
  <c r="H92" i="71" s="1"/>
  <c r="J92" i="71"/>
  <c r="G341" i="71"/>
  <c r="H341" i="71" s="1"/>
  <c r="J341" i="71"/>
  <c r="F59" i="71"/>
  <c r="J273" i="71"/>
  <c r="G273" i="71"/>
  <c r="H273" i="71" s="1"/>
  <c r="J239" i="71"/>
  <c r="G239" i="71"/>
  <c r="H239" i="71" s="1"/>
  <c r="J283" i="71"/>
  <c r="G283" i="71"/>
  <c r="H283" i="71" s="1"/>
  <c r="G180" i="71"/>
  <c r="H180" i="71" s="1"/>
  <c r="J180" i="71"/>
  <c r="G331" i="71"/>
  <c r="H331" i="71" s="1"/>
  <c r="J331" i="71"/>
  <c r="J296" i="71"/>
  <c r="G296" i="71"/>
  <c r="H296" i="71" s="1"/>
  <c r="J82" i="71"/>
  <c r="G82" i="71"/>
  <c r="H82" i="71" s="1"/>
  <c r="G75" i="71"/>
  <c r="H75" i="71" s="1"/>
  <c r="J75" i="71"/>
  <c r="G101" i="71"/>
  <c r="H101" i="71" s="1"/>
  <c r="J101" i="71"/>
  <c r="G173" i="71"/>
  <c r="H173" i="71" s="1"/>
  <c r="J173" i="71"/>
  <c r="J281" i="71"/>
  <c r="G281" i="71"/>
  <c r="H281" i="71" s="1"/>
  <c r="G157" i="71"/>
  <c r="H157" i="71" s="1"/>
  <c r="J157" i="71"/>
  <c r="G42" i="71"/>
  <c r="H42" i="71" s="1"/>
  <c r="J42" i="71"/>
  <c r="G85" i="71"/>
  <c r="H85" i="71" s="1"/>
  <c r="J85" i="71"/>
  <c r="F9" i="71"/>
  <c r="J74" i="71"/>
  <c r="G74" i="71"/>
  <c r="H74" i="71" s="1"/>
  <c r="G49" i="71"/>
  <c r="H49" i="71" s="1"/>
  <c r="J49" i="71"/>
  <c r="F7" i="71"/>
  <c r="G84" i="71"/>
  <c r="H84" i="71" s="1"/>
  <c r="J84" i="71"/>
  <c r="G278" i="71"/>
  <c r="H278" i="71" s="1"/>
  <c r="J278" i="71"/>
  <c r="G121" i="71"/>
  <c r="H121" i="71" s="1"/>
  <c r="J121" i="71"/>
  <c r="J264" i="71"/>
  <c r="G264" i="71"/>
  <c r="H264" i="71" s="1"/>
  <c r="G211" i="71"/>
  <c r="H211" i="71" s="1"/>
  <c r="J211" i="71"/>
  <c r="E25" i="71"/>
  <c r="J238" i="71"/>
  <c r="G238" i="71"/>
  <c r="H238" i="71" s="1"/>
  <c r="J80" i="71"/>
  <c r="J311" i="71"/>
  <c r="G311" i="71"/>
  <c r="H311" i="71" s="1"/>
  <c r="G201" i="71"/>
  <c r="H201" i="71" s="1"/>
  <c r="J201" i="71"/>
  <c r="E280" i="71"/>
  <c r="G124" i="71"/>
  <c r="H124" i="71" s="1"/>
  <c r="J124" i="71"/>
  <c r="J248" i="71"/>
  <c r="G248" i="71"/>
  <c r="H248" i="71" s="1"/>
  <c r="F10" i="71"/>
  <c r="G10" i="71" s="1"/>
  <c r="G212" i="71"/>
  <c r="H212" i="71" s="1"/>
  <c r="J212" i="71"/>
  <c r="G30" i="71"/>
  <c r="H30" i="71" s="1"/>
  <c r="J30" i="71"/>
  <c r="G159" i="71"/>
  <c r="H159" i="71" s="1"/>
  <c r="J159" i="71"/>
  <c r="G225" i="71"/>
  <c r="H225" i="71" s="1"/>
  <c r="J225" i="71"/>
  <c r="J307" i="71"/>
  <c r="G307" i="71"/>
  <c r="H307" i="71" s="1"/>
  <c r="J266" i="71"/>
  <c r="G266" i="71"/>
  <c r="H266" i="71" s="1"/>
  <c r="G68" i="71"/>
  <c r="H68" i="71" s="1"/>
  <c r="J68" i="71"/>
  <c r="G165" i="71"/>
  <c r="H165" i="71" s="1"/>
  <c r="J165" i="71"/>
  <c r="J44" i="71"/>
  <c r="G44" i="71"/>
  <c r="H44" i="71" s="1"/>
  <c r="J271" i="71"/>
  <c r="G271" i="71"/>
  <c r="H271" i="71" s="1"/>
  <c r="J161" i="71"/>
  <c r="G161" i="71"/>
  <c r="H161" i="71" s="1"/>
  <c r="G285" i="71"/>
  <c r="H285" i="71" s="1"/>
  <c r="J285" i="71"/>
  <c r="J315" i="71"/>
  <c r="G315" i="71"/>
  <c r="H315" i="71" s="1"/>
  <c r="J263" i="71"/>
  <c r="G263" i="71"/>
  <c r="H263" i="71" s="1"/>
  <c r="J198" i="71"/>
  <c r="G198" i="71"/>
  <c r="H198" i="71" s="1"/>
  <c r="E231" i="71"/>
  <c r="F8" i="71"/>
  <c r="J103" i="71"/>
  <c r="G103" i="71"/>
  <c r="H103" i="71" s="1"/>
  <c r="F56" i="71"/>
  <c r="G300" i="71"/>
  <c r="H300" i="71" s="1"/>
  <c r="J300" i="71"/>
  <c r="J233" i="71"/>
  <c r="G233" i="71"/>
  <c r="H233" i="71" s="1"/>
  <c r="J325" i="71"/>
  <c r="G325" i="71"/>
  <c r="H325" i="71" s="1"/>
  <c r="G128" i="71"/>
  <c r="H128" i="71" s="1"/>
  <c r="J128" i="71"/>
  <c r="G41" i="71"/>
  <c r="H41" i="71" s="1"/>
  <c r="J41" i="71"/>
  <c r="J29" i="71"/>
  <c r="G29" i="71"/>
  <c r="H29" i="71" s="1"/>
  <c r="G332" i="71"/>
  <c r="H332" i="71" s="1"/>
  <c r="J332" i="71"/>
  <c r="G65" i="71"/>
  <c r="H65" i="71" s="1"/>
  <c r="J117" i="71"/>
  <c r="G106" i="71"/>
  <c r="H106" i="71" s="1"/>
  <c r="J106" i="71"/>
  <c r="J289" i="71"/>
  <c r="G289" i="71"/>
  <c r="H289" i="71" s="1"/>
  <c r="G171" i="71"/>
  <c r="H171" i="71" s="1"/>
  <c r="J171" i="71"/>
  <c r="J27" i="71"/>
  <c r="G27" i="71"/>
  <c r="H27" i="71" s="1"/>
  <c r="J169" i="71"/>
  <c r="G169" i="71"/>
  <c r="H169" i="71" s="1"/>
  <c r="J328" i="71"/>
  <c r="G328" i="71"/>
  <c r="H328" i="71" s="1"/>
  <c r="G222" i="71"/>
  <c r="H222" i="71" s="1"/>
  <c r="J185" i="71"/>
  <c r="G185" i="71"/>
  <c r="H185" i="71" s="1"/>
  <c r="J193" i="71"/>
  <c r="G193" i="71"/>
  <c r="H193" i="71" s="1"/>
  <c r="G197" i="71"/>
  <c r="H197" i="71" s="1"/>
  <c r="J197" i="71"/>
  <c r="G137" i="71"/>
  <c r="H137" i="71" s="1"/>
  <c r="J137" i="71"/>
  <c r="J232" i="71"/>
  <c r="G232" i="71"/>
  <c r="H232" i="71" s="1"/>
  <c r="J272" i="71"/>
  <c r="G272" i="71"/>
  <c r="H272" i="71" s="1"/>
  <c r="G46" i="71"/>
  <c r="H46" i="71" s="1"/>
  <c r="J46" i="71"/>
  <c r="J313" i="71"/>
  <c r="G313" i="71"/>
  <c r="H313" i="71" s="1"/>
  <c r="N6" i="49"/>
  <c r="AX6" i="49" s="1"/>
  <c r="O5" i="49"/>
  <c r="J259" i="71"/>
  <c r="G259" i="71"/>
  <c r="H259" i="71" s="1"/>
  <c r="G213" i="71"/>
  <c r="H213" i="71" s="1"/>
  <c r="J213" i="71"/>
  <c r="J247" i="71"/>
  <c r="G247" i="71"/>
  <c r="H247" i="71" s="1"/>
  <c r="G318" i="71"/>
  <c r="H318" i="71" s="1"/>
  <c r="J318" i="71"/>
  <c r="J324" i="71"/>
  <c r="G324" i="71"/>
  <c r="H324" i="71" s="1"/>
  <c r="G163" i="71"/>
  <c r="H163" i="71" s="1"/>
  <c r="J163" i="71"/>
  <c r="G129" i="71"/>
  <c r="H129" i="71" s="1"/>
  <c r="J129" i="71"/>
  <c r="J152" i="71"/>
  <c r="G152" i="71"/>
  <c r="H152" i="71" s="1"/>
  <c r="F14" i="71"/>
  <c r="G312" i="71"/>
  <c r="H312" i="71" s="1"/>
  <c r="J312" i="71"/>
  <c r="G226" i="71"/>
  <c r="H226" i="71" s="1"/>
  <c r="J226" i="71"/>
  <c r="G187" i="71"/>
  <c r="H187" i="71" s="1"/>
  <c r="J187" i="71"/>
  <c r="J184" i="71"/>
  <c r="G184" i="71"/>
  <c r="H184" i="71" s="1"/>
  <c r="G125" i="71"/>
  <c r="H125" i="71" s="1"/>
  <c r="J125" i="71"/>
  <c r="G100" i="71"/>
  <c r="H100" i="71" s="1"/>
  <c r="J100" i="71"/>
  <c r="J26" i="71"/>
  <c r="G26" i="71"/>
  <c r="H26" i="71" s="1"/>
  <c r="G200" i="71"/>
  <c r="H200" i="71" s="1"/>
  <c r="J200" i="71"/>
  <c r="J95" i="71"/>
  <c r="G95" i="71"/>
  <c r="H95" i="71" s="1"/>
  <c r="J309" i="71"/>
  <c r="G309" i="71"/>
  <c r="H309" i="71" s="1"/>
  <c r="J45" i="71"/>
  <c r="G45" i="71"/>
  <c r="H45" i="71" s="1"/>
  <c r="J135" i="71"/>
  <c r="G135" i="71"/>
  <c r="H135" i="71" s="1"/>
  <c r="J36" i="71"/>
  <c r="G36" i="71"/>
  <c r="H36" i="71" s="1"/>
  <c r="J282" i="71"/>
  <c r="G282" i="71"/>
  <c r="H282" i="71" s="1"/>
  <c r="E243" i="71"/>
  <c r="G146" i="71"/>
  <c r="H146" i="71" s="1"/>
  <c r="J146" i="71"/>
  <c r="G43" i="71"/>
  <c r="H43" i="71" s="1"/>
  <c r="J43" i="71"/>
  <c r="G116" i="71"/>
  <c r="H116" i="71" s="1"/>
  <c r="J116" i="71"/>
  <c r="J316" i="71"/>
  <c r="G316" i="71"/>
  <c r="H316" i="71" s="1"/>
  <c r="G298" i="71"/>
  <c r="H298" i="71" s="1"/>
  <c r="G150" i="71"/>
  <c r="H150" i="71" s="1"/>
  <c r="J150" i="71"/>
  <c r="J255" i="71" l="1"/>
  <c r="J268" i="71"/>
  <c r="J210" i="71"/>
  <c r="J112" i="71"/>
  <c r="J126" i="71"/>
  <c r="J31" i="71"/>
  <c r="G90" i="71"/>
  <c r="H90" i="71" s="1"/>
  <c r="J333" i="71"/>
  <c r="J337" i="71"/>
  <c r="J120" i="71"/>
  <c r="E168" i="71"/>
  <c r="J104" i="71"/>
  <c r="G286" i="71"/>
  <c r="H286" i="71" s="1"/>
  <c r="G94" i="71"/>
  <c r="H94" i="71" s="1"/>
  <c r="F55" i="71"/>
  <c r="J72" i="71"/>
  <c r="G322" i="71"/>
  <c r="H322" i="71" s="1"/>
  <c r="G240" i="71"/>
  <c r="H240" i="71" s="1"/>
  <c r="E329" i="71"/>
  <c r="G329" i="71" s="1"/>
  <c r="H329" i="71" s="1"/>
  <c r="G96" i="71"/>
  <c r="H96" i="71" s="1"/>
  <c r="G39" i="71"/>
  <c r="H39" i="71" s="1"/>
  <c r="G186" i="71"/>
  <c r="H186" i="71" s="1"/>
  <c r="E308" i="71"/>
  <c r="E183" i="71"/>
  <c r="G183" i="71" s="1"/>
  <c r="H183" i="71" s="1"/>
  <c r="E141" i="71"/>
  <c r="G141" i="71" s="1"/>
  <c r="H141" i="71" s="1"/>
  <c r="J297" i="71"/>
  <c r="J336" i="71"/>
  <c r="E176" i="71"/>
  <c r="E109" i="71"/>
  <c r="G109" i="71" s="1"/>
  <c r="H109" i="71" s="1"/>
  <c r="E223" i="69"/>
  <c r="F223" i="69" s="1"/>
  <c r="E223" i="68"/>
  <c r="F223" i="68" s="1"/>
  <c r="E93" i="68"/>
  <c r="F93" i="68" s="1"/>
  <c r="E93" i="69"/>
  <c r="F93" i="69" s="1"/>
  <c r="E177" i="68"/>
  <c r="F177" i="68" s="1"/>
  <c r="E177" i="69"/>
  <c r="F177" i="69" s="1"/>
  <c r="E142" i="68"/>
  <c r="F142" i="68" s="1"/>
  <c r="E142" i="69"/>
  <c r="F142" i="69" s="1"/>
  <c r="E256" i="68"/>
  <c r="F256" i="68" s="1"/>
  <c r="E256" i="69"/>
  <c r="F256" i="69" s="1"/>
  <c r="E86" i="68"/>
  <c r="F86" i="68" s="1"/>
  <c r="E86" i="69"/>
  <c r="F86" i="69" s="1"/>
  <c r="E49" i="68"/>
  <c r="F49" i="68" s="1"/>
  <c r="E49" i="69"/>
  <c r="F49" i="69" s="1"/>
  <c r="E119" i="68"/>
  <c r="F119" i="68" s="1"/>
  <c r="E119" i="69"/>
  <c r="F119" i="69" s="1"/>
  <c r="E353" i="68"/>
  <c r="F353" i="68" s="1"/>
  <c r="E353" i="69"/>
  <c r="F353" i="69" s="1"/>
  <c r="E271" i="69"/>
  <c r="F271" i="69" s="1"/>
  <c r="E271" i="68"/>
  <c r="F271" i="68" s="1"/>
  <c r="E193" i="68"/>
  <c r="F193" i="68" s="1"/>
  <c r="E193" i="69"/>
  <c r="F193" i="69" s="1"/>
  <c r="E288" i="68"/>
  <c r="F288" i="68" s="1"/>
  <c r="E288" i="69"/>
  <c r="F288" i="69" s="1"/>
  <c r="E277" i="68"/>
  <c r="F277" i="68" s="1"/>
  <c r="E277" i="69"/>
  <c r="F277" i="69" s="1"/>
  <c r="E140" i="71"/>
  <c r="G140" i="71" s="1"/>
  <c r="H140" i="71" s="1"/>
  <c r="E190" i="71"/>
  <c r="J190" i="71" s="1"/>
  <c r="E58" i="71"/>
  <c r="E107" i="71"/>
  <c r="E160" i="71"/>
  <c r="G326" i="71"/>
  <c r="H326" i="71" s="1"/>
  <c r="E270" i="71"/>
  <c r="J270" i="71" s="1"/>
  <c r="G34" i="71"/>
  <c r="H34" i="71" s="1"/>
  <c r="F303" i="71"/>
  <c r="J303" i="71" s="1"/>
  <c r="J301" i="71"/>
  <c r="E202" i="71"/>
  <c r="G202" i="71" s="1"/>
  <c r="H202" i="71" s="1"/>
  <c r="J237" i="71"/>
  <c r="E175" i="71"/>
  <c r="G175" i="71" s="1"/>
  <c r="H175" i="71" s="1"/>
  <c r="E83" i="71"/>
  <c r="G83" i="71" s="1"/>
  <c r="H83" i="71" s="1"/>
  <c r="G310" i="71"/>
  <c r="H310" i="71" s="1"/>
  <c r="G317" i="71"/>
  <c r="H317" i="71" s="1"/>
  <c r="J321" i="71"/>
  <c r="E224" i="71"/>
  <c r="G224" i="71" s="1"/>
  <c r="H224" i="71" s="1"/>
  <c r="G305" i="71"/>
  <c r="H305" i="71" s="1"/>
  <c r="E256" i="71"/>
  <c r="G256" i="71" s="1"/>
  <c r="H256" i="71" s="1"/>
  <c r="F48" i="71"/>
  <c r="G48" i="71" s="1"/>
  <c r="H48" i="71" s="1"/>
  <c r="E33" i="71"/>
  <c r="G33" i="71" s="1"/>
  <c r="H33" i="71" s="1"/>
  <c r="G275" i="71"/>
  <c r="H275" i="71" s="1"/>
  <c r="J77" i="71"/>
  <c r="E249" i="71"/>
  <c r="G249" i="71" s="1"/>
  <c r="H249" i="71" s="1"/>
  <c r="G158" i="71"/>
  <c r="H158" i="71" s="1"/>
  <c r="E221" i="71"/>
  <c r="G221" i="71" s="1"/>
  <c r="H221" i="71" s="1"/>
  <c r="J260" i="71"/>
  <c r="E274" i="71"/>
  <c r="G274" i="71" s="1"/>
  <c r="H274" i="71" s="1"/>
  <c r="E229" i="71"/>
  <c r="J229" i="71" s="1"/>
  <c r="E208" i="71"/>
  <c r="G208" i="71" s="1"/>
  <c r="H208" i="71" s="1"/>
  <c r="E127" i="71"/>
  <c r="G127" i="71" s="1"/>
  <c r="H127" i="71" s="1"/>
  <c r="E196" i="71"/>
  <c r="G196" i="71" s="1"/>
  <c r="H196" i="71" s="1"/>
  <c r="J340" i="71"/>
  <c r="E151" i="71"/>
  <c r="G151" i="71" s="1"/>
  <c r="H151" i="71" s="1"/>
  <c r="E32" i="71"/>
  <c r="J32" i="71" s="1"/>
  <c r="J254" i="71"/>
  <c r="E134" i="71"/>
  <c r="G134" i="71" s="1"/>
  <c r="H134" i="71" s="1"/>
  <c r="J113" i="71"/>
  <c r="E166" i="71"/>
  <c r="J166" i="71" s="1"/>
  <c r="E35" i="71"/>
  <c r="J35" i="71" s="1"/>
  <c r="G122" i="71"/>
  <c r="H122" i="71" s="1"/>
  <c r="E71" i="71"/>
  <c r="J71" i="71" s="1"/>
  <c r="E250" i="71"/>
  <c r="J250" i="71" s="1"/>
  <c r="E290" i="71"/>
  <c r="J290" i="71" s="1"/>
  <c r="E162" i="71"/>
  <c r="G162" i="71" s="1"/>
  <c r="H162" i="71" s="1"/>
  <c r="J295" i="71"/>
  <c r="E147" i="71"/>
  <c r="G147" i="71" s="1"/>
  <c r="H147" i="71" s="1"/>
  <c r="E89" i="71"/>
  <c r="J89" i="71" s="1"/>
  <c r="E330" i="71"/>
  <c r="G330" i="71" s="1"/>
  <c r="H330" i="71" s="1"/>
  <c r="E236" i="71"/>
  <c r="G236" i="71" s="1"/>
  <c r="H236" i="71" s="1"/>
  <c r="E339" i="71"/>
  <c r="J339" i="71" s="1"/>
  <c r="E99" i="71"/>
  <c r="G99" i="71" s="1"/>
  <c r="H99" i="71" s="1"/>
  <c r="E294" i="71"/>
  <c r="J294" i="71" s="1"/>
  <c r="G73" i="71"/>
  <c r="H73" i="71" s="1"/>
  <c r="E148" i="71"/>
  <c r="G148" i="71" s="1"/>
  <c r="H148" i="71" s="1"/>
  <c r="E227" i="71"/>
  <c r="G227" i="71" s="1"/>
  <c r="H227" i="71" s="1"/>
  <c r="E218" i="71"/>
  <c r="J218" i="71" s="1"/>
  <c r="J132" i="71"/>
  <c r="J179" i="71"/>
  <c r="E234" i="71"/>
  <c r="J234" i="71" s="1"/>
  <c r="J86" i="71"/>
  <c r="E288" i="71"/>
  <c r="G288" i="71" s="1"/>
  <c r="H288" i="71" s="1"/>
  <c r="G102" i="71"/>
  <c r="H102" i="71" s="1"/>
  <c r="E139" i="71"/>
  <c r="G139" i="71" s="1"/>
  <c r="H139" i="71" s="1"/>
  <c r="E207" i="71"/>
  <c r="J207" i="71" s="1"/>
  <c r="E320" i="71"/>
  <c r="G320" i="71" s="1"/>
  <c r="H320" i="71" s="1"/>
  <c r="E87" i="71"/>
  <c r="J87" i="71" s="1"/>
  <c r="E284" i="71"/>
  <c r="G284" i="71" s="1"/>
  <c r="H284" i="71" s="1"/>
  <c r="G78" i="71"/>
  <c r="H78" i="71" s="1"/>
  <c r="E253" i="71"/>
  <c r="G253" i="71" s="1"/>
  <c r="H253" i="71" s="1"/>
  <c r="J133" i="71"/>
  <c r="E189" i="71"/>
  <c r="G189" i="71" s="1"/>
  <c r="H189" i="71" s="1"/>
  <c r="E98" i="71"/>
  <c r="G98" i="71" s="1"/>
  <c r="H98" i="71" s="1"/>
  <c r="E60" i="71"/>
  <c r="J60" i="71" s="1"/>
  <c r="E335" i="71"/>
  <c r="G335" i="71" s="1"/>
  <c r="H335" i="71" s="1"/>
  <c r="E88" i="71"/>
  <c r="J88" i="71" s="1"/>
  <c r="E206" i="71"/>
  <c r="J206" i="71" s="1"/>
  <c r="E69" i="71"/>
  <c r="G69" i="71" s="1"/>
  <c r="H69" i="71" s="1"/>
  <c r="E261" i="71"/>
  <c r="J261" i="71" s="1"/>
  <c r="E81" i="71"/>
  <c r="J81" i="71" s="1"/>
  <c r="E181" i="71"/>
  <c r="J181" i="71" s="1"/>
  <c r="E111" i="71"/>
  <c r="G111" i="71" s="1"/>
  <c r="H111" i="71" s="1"/>
  <c r="E258" i="71"/>
  <c r="J258" i="71" s="1"/>
  <c r="E220" i="71"/>
  <c r="G220" i="71" s="1"/>
  <c r="H220" i="71" s="1"/>
  <c r="E292" i="71"/>
  <c r="J292" i="71" s="1"/>
  <c r="E167" i="71"/>
  <c r="G167" i="71" s="1"/>
  <c r="H167" i="71" s="1"/>
  <c r="E156" i="71"/>
  <c r="G156" i="71" s="1"/>
  <c r="H156" i="71" s="1"/>
  <c r="E194" i="71"/>
  <c r="J194" i="71" s="1"/>
  <c r="J155" i="71"/>
  <c r="E170" i="71"/>
  <c r="J170" i="71" s="1"/>
  <c r="G13" i="71"/>
  <c r="H13" i="71" s="1"/>
  <c r="J13" i="71"/>
  <c r="E66" i="71"/>
  <c r="J66" i="71" s="1"/>
  <c r="E230" i="71"/>
  <c r="G230" i="71" s="1"/>
  <c r="H230" i="71" s="1"/>
  <c r="E110" i="71"/>
  <c r="G110" i="71" s="1"/>
  <c r="H110" i="71" s="1"/>
  <c r="E302" i="71"/>
  <c r="G302" i="71" s="1"/>
  <c r="H302" i="71" s="1"/>
  <c r="E145" i="71"/>
  <c r="J145" i="71" s="1"/>
  <c r="F18" i="71"/>
  <c r="E246" i="71"/>
  <c r="J246" i="71" s="1"/>
  <c r="J329" i="71"/>
  <c r="J160" i="71"/>
  <c r="G160" i="71"/>
  <c r="H160" i="71" s="1"/>
  <c r="J243" i="71"/>
  <c r="G243" i="71"/>
  <c r="H243" i="71" s="1"/>
  <c r="G32" i="71"/>
  <c r="H32" i="71" s="1"/>
  <c r="J191" i="71"/>
  <c r="G191" i="71"/>
  <c r="H191" i="71" s="1"/>
  <c r="J256" i="71"/>
  <c r="G8" i="71"/>
  <c r="H8" i="71" s="1"/>
  <c r="J8" i="71"/>
  <c r="J140" i="71"/>
  <c r="J231" i="71"/>
  <c r="G231" i="71"/>
  <c r="H231" i="71" s="1"/>
  <c r="J7" i="71"/>
  <c r="G7" i="71"/>
  <c r="H7" i="71" s="1"/>
  <c r="J308" i="71"/>
  <c r="G308" i="71"/>
  <c r="H308" i="71" s="1"/>
  <c r="O6" i="49"/>
  <c r="AY6" i="49" s="1"/>
  <c r="P5" i="49"/>
  <c r="J175" i="71"/>
  <c r="J9" i="71"/>
  <c r="G9" i="71"/>
  <c r="H9" i="71" s="1"/>
  <c r="J47" i="71"/>
  <c r="G47" i="71"/>
  <c r="H47" i="71" s="1"/>
  <c r="J54" i="71"/>
  <c r="G54" i="71"/>
  <c r="H54" i="71" s="1"/>
  <c r="G280" i="71"/>
  <c r="H280" i="71" s="1"/>
  <c r="J280" i="71"/>
  <c r="J59" i="71"/>
  <c r="G59" i="71"/>
  <c r="H59" i="71" s="1"/>
  <c r="J176" i="71"/>
  <c r="G176" i="71"/>
  <c r="H176" i="71" s="1"/>
  <c r="J183" i="71"/>
  <c r="J56" i="71"/>
  <c r="G56" i="71"/>
  <c r="H56" i="71" s="1"/>
  <c r="J57" i="71"/>
  <c r="G57" i="71"/>
  <c r="H57" i="71" s="1"/>
  <c r="G138" i="71"/>
  <c r="H138" i="71" s="1"/>
  <c r="J138" i="71"/>
  <c r="J202" i="71"/>
  <c r="G14" i="71"/>
  <c r="H14" i="71" s="1"/>
  <c r="J14" i="71"/>
  <c r="J55" i="71"/>
  <c r="G55" i="71"/>
  <c r="H55" i="71" s="1"/>
  <c r="G107" i="71"/>
  <c r="H107" i="71" s="1"/>
  <c r="J107" i="71"/>
  <c r="J168" i="71"/>
  <c r="G168" i="71"/>
  <c r="H168" i="71" s="1"/>
  <c r="F25" i="71"/>
  <c r="J141" i="71" l="1"/>
  <c r="J224" i="71"/>
  <c r="J109" i="71"/>
  <c r="G190" i="71"/>
  <c r="H190" i="71" s="1"/>
  <c r="G270" i="71"/>
  <c r="H270" i="71" s="1"/>
  <c r="J83" i="71"/>
  <c r="E44" i="68"/>
  <c r="F44" i="68" s="1"/>
  <c r="E44" i="69"/>
  <c r="F44" i="69" s="1"/>
  <c r="J134" i="71"/>
  <c r="J48" i="71"/>
  <c r="G303" i="71"/>
  <c r="H303" i="71" s="1"/>
  <c r="J249" i="71"/>
  <c r="J162" i="71"/>
  <c r="J330" i="71"/>
  <c r="J236" i="71"/>
  <c r="G290" i="71"/>
  <c r="H290" i="71" s="1"/>
  <c r="J127" i="71"/>
  <c r="G71" i="71"/>
  <c r="H71" i="71" s="1"/>
  <c r="G166" i="71"/>
  <c r="H166" i="71" s="1"/>
  <c r="J230" i="71"/>
  <c r="G294" i="71"/>
  <c r="H294" i="71" s="1"/>
  <c r="G218" i="71"/>
  <c r="H218" i="71" s="1"/>
  <c r="J208" i="71"/>
  <c r="G35" i="71"/>
  <c r="H35" i="71" s="1"/>
  <c r="J33" i="71"/>
  <c r="J227" i="71"/>
  <c r="G170" i="71"/>
  <c r="H170" i="71" s="1"/>
  <c r="G250" i="71"/>
  <c r="H250" i="71" s="1"/>
  <c r="J147" i="71"/>
  <c r="G207" i="71"/>
  <c r="H207" i="71" s="1"/>
  <c r="G87" i="71"/>
  <c r="H87" i="71" s="1"/>
  <c r="J221" i="71"/>
  <c r="G229" i="71"/>
  <c r="H229" i="71" s="1"/>
  <c r="J335" i="71"/>
  <c r="J274" i="71"/>
  <c r="J151" i="71"/>
  <c r="G261" i="71"/>
  <c r="H261" i="71" s="1"/>
  <c r="J253" i="71"/>
  <c r="J148" i="71"/>
  <c r="J111" i="71"/>
  <c r="J284" i="71"/>
  <c r="J110" i="71"/>
  <c r="J288" i="71"/>
  <c r="G89" i="71"/>
  <c r="H89" i="71" s="1"/>
  <c r="F58" i="71"/>
  <c r="G58" i="71" s="1"/>
  <c r="H58" i="71" s="1"/>
  <c r="G234" i="71"/>
  <c r="H234" i="71" s="1"/>
  <c r="G194" i="71"/>
  <c r="H194" i="71" s="1"/>
  <c r="J196" i="71"/>
  <c r="J320" i="71"/>
  <c r="J99" i="71"/>
  <c r="G81" i="71"/>
  <c r="H81" i="71" s="1"/>
  <c r="G88" i="71"/>
  <c r="H88" i="71" s="1"/>
  <c r="G339" i="71"/>
  <c r="H339" i="71" s="1"/>
  <c r="J302" i="71"/>
  <c r="J189" i="71"/>
  <c r="G258" i="71"/>
  <c r="H258" i="71" s="1"/>
  <c r="J69" i="71"/>
  <c r="J167" i="71"/>
  <c r="J139" i="71"/>
  <c r="E5" i="71"/>
  <c r="J98" i="71"/>
  <c r="J220" i="71"/>
  <c r="G60" i="71"/>
  <c r="H60" i="71" s="1"/>
  <c r="G206" i="71"/>
  <c r="H206" i="71" s="1"/>
  <c r="G181" i="71"/>
  <c r="H181" i="71" s="1"/>
  <c r="G246" i="71"/>
  <c r="H246" i="71" s="1"/>
  <c r="G292" i="71"/>
  <c r="H292" i="71" s="1"/>
  <c r="J156" i="71"/>
  <c r="G66" i="71"/>
  <c r="H66" i="71" s="1"/>
  <c r="G145" i="71"/>
  <c r="H145" i="71" s="1"/>
  <c r="J18" i="71"/>
  <c r="G18" i="71"/>
  <c r="H18" i="71" s="1"/>
  <c r="J25" i="71"/>
  <c r="G25" i="71"/>
  <c r="H25" i="71" s="1"/>
  <c r="P6" i="49"/>
  <c r="AZ6" i="49" s="1"/>
  <c r="Q5" i="49"/>
  <c r="E9" i="68" l="1"/>
  <c r="F9" i="68" s="1"/>
  <c r="E9" i="69"/>
  <c r="F9" i="69" s="1"/>
  <c r="E3" i="68"/>
  <c r="F3" i="68" s="1"/>
  <c r="E3" i="69"/>
  <c r="F3" i="69" s="1"/>
  <c r="J58" i="71"/>
  <c r="F5" i="71"/>
  <c r="G5" i="71" s="1"/>
  <c r="H5" i="71" s="1"/>
  <c r="Q6" i="49"/>
  <c r="BA6" i="49" s="1"/>
  <c r="R5" i="49"/>
  <c r="N5" i="71" l="1"/>
  <c r="J5" i="71"/>
  <c r="R6" i="49"/>
  <c r="BB6" i="49" s="1"/>
  <c r="S5" i="49"/>
  <c r="T5" i="49" l="1"/>
  <c r="S6" i="49"/>
  <c r="BC6" i="49" s="1"/>
  <c r="T6" i="49" l="1"/>
  <c r="BD6" i="49" s="1"/>
  <c r="U5" i="49"/>
  <c r="E4" i="71"/>
  <c r="E16" i="71"/>
  <c r="E63" i="71" l="1"/>
  <c r="J16" i="71"/>
  <c r="G16" i="71"/>
  <c r="H16" i="71" s="1"/>
  <c r="E53" i="71"/>
  <c r="E12" i="71"/>
  <c r="E22" i="71"/>
  <c r="F4" i="71"/>
  <c r="U6" i="49"/>
  <c r="BE6" i="49" s="1"/>
  <c r="V5" i="49"/>
  <c r="G4" i="71" l="1"/>
  <c r="H4" i="71" s="1"/>
  <c r="J4" i="71"/>
  <c r="F53" i="71"/>
  <c r="J12" i="71"/>
  <c r="G12" i="71"/>
  <c r="H12" i="71" s="1"/>
  <c r="G22" i="71"/>
  <c r="H22" i="71" s="1"/>
  <c r="J22" i="71"/>
  <c r="W5" i="49"/>
  <c r="V6" i="49"/>
  <c r="BF6" i="49" s="1"/>
  <c r="G63" i="71"/>
  <c r="H63" i="71" s="1"/>
  <c r="J63" i="71"/>
  <c r="W6" i="49" l="1"/>
  <c r="BG6" i="49" s="1"/>
  <c r="X5" i="49"/>
  <c r="J53" i="71"/>
  <c r="G53" i="71"/>
  <c r="H53" i="71" s="1"/>
  <c r="Y5" i="49" l="1"/>
  <c r="X6" i="49"/>
  <c r="BH6" i="49" s="1"/>
  <c r="Y6" i="49" l="1"/>
  <c r="BI6" i="49" s="1"/>
  <c r="Z5" i="49"/>
  <c r="Z6" i="49" l="1"/>
  <c r="BJ6" i="49" s="1"/>
  <c r="AA5" i="49"/>
  <c r="AA6" i="49" l="1"/>
  <c r="BK6" i="49" s="1"/>
  <c r="AB5" i="49"/>
  <c r="AB6" i="49" l="1"/>
  <c r="BL6" i="49" s="1"/>
  <c r="AC5" i="49"/>
  <c r="AC6" i="49" l="1"/>
  <c r="BM6" i="49" s="1"/>
  <c r="AD5" i="49"/>
  <c r="AD6" i="49" l="1"/>
  <c r="BN6" i="49" s="1"/>
  <c r="AE5" i="49"/>
  <c r="AE6" i="49" l="1"/>
  <c r="BO6" i="49" s="1"/>
  <c r="AF5" i="49"/>
  <c r="AG5" i="49" l="1"/>
  <c r="AF6" i="49"/>
  <c r="BP6" i="49" s="1"/>
  <c r="AG6" i="49" l="1"/>
  <c r="BQ6" i="49" s="1"/>
  <c r="AH5" i="49"/>
  <c r="AI5" i="49" l="1"/>
  <c r="AH6" i="49"/>
  <c r="BR6" i="49" s="1"/>
  <c r="AI6" i="49" l="1"/>
  <c r="BS6" i="49" s="1"/>
  <c r="AJ5" i="49"/>
  <c r="AK5" i="49" l="1"/>
  <c r="AJ6" i="49"/>
  <c r="BT6" i="49" s="1"/>
  <c r="EI10" i="49" l="1"/>
  <c r="F315" i="65"/>
  <c r="F119" i="65"/>
  <c r="F228" i="65"/>
  <c r="F150" i="65"/>
  <c r="F15" i="65"/>
  <c r="F125" i="65"/>
  <c r="F157" i="65"/>
  <c r="F39" i="65"/>
  <c r="F103" i="65"/>
  <c r="F170" i="65"/>
  <c r="F141" i="65"/>
  <c r="F339" i="65"/>
  <c r="F257" i="65"/>
  <c r="F235" i="65"/>
  <c r="F131" i="65"/>
  <c r="F185" i="65"/>
  <c r="F13" i="65"/>
  <c r="F191" i="65"/>
  <c r="F169" i="65"/>
  <c r="F293" i="65"/>
  <c r="F82" i="65"/>
  <c r="F29" i="65"/>
  <c r="F8" i="65"/>
  <c r="F335" i="65"/>
  <c r="F217" i="65"/>
  <c r="F124" i="65"/>
  <c r="F91" i="65"/>
  <c r="F104" i="65"/>
  <c r="F166" i="65"/>
  <c r="F211" i="65"/>
  <c r="F186" i="65"/>
  <c r="F121" i="65"/>
  <c r="F210" i="65"/>
  <c r="F323" i="65"/>
  <c r="F227" i="65"/>
  <c r="F287" i="65"/>
  <c r="F233" i="65"/>
  <c r="F38" i="65"/>
  <c r="F14" i="65"/>
  <c r="F289" i="65"/>
  <c r="F73" i="65"/>
  <c r="F188" i="65"/>
  <c r="F84" i="65"/>
  <c r="F48" i="65"/>
  <c r="F5" i="65"/>
  <c r="F278" i="65"/>
  <c r="F115" i="65"/>
  <c r="F49" i="65"/>
  <c r="F307" i="65"/>
  <c r="F54" i="65"/>
  <c r="F174" i="65"/>
  <c r="F302" i="65"/>
  <c r="F180" i="65"/>
  <c r="F219" i="65"/>
  <c r="F22" i="65"/>
  <c r="F238" i="65"/>
  <c r="F95" i="65"/>
  <c r="F259" i="65"/>
  <c r="F274" i="65"/>
  <c r="F114" i="65"/>
  <c r="F344" i="65"/>
  <c r="F88" i="65"/>
  <c r="F284" i="65"/>
  <c r="F229" i="65"/>
  <c r="F300" i="65"/>
  <c r="F171" i="65"/>
  <c r="F192" i="65"/>
  <c r="F89" i="65"/>
  <c r="F326" i="65"/>
  <c r="F28" i="65"/>
  <c r="F338" i="65"/>
  <c r="F334" i="65"/>
  <c r="F97" i="65"/>
  <c r="F201" i="65"/>
  <c r="F224" i="65"/>
  <c r="F113" i="65"/>
  <c r="F177" i="65"/>
  <c r="F288" i="65"/>
  <c r="F223" i="65"/>
  <c r="F181" i="65"/>
  <c r="F280" i="65"/>
  <c r="F52" i="65"/>
  <c r="F260" i="65"/>
  <c r="F143" i="65"/>
  <c r="F196" i="65"/>
  <c r="F160" i="65"/>
  <c r="F50" i="65"/>
  <c r="F296" i="65"/>
  <c r="F159" i="65"/>
  <c r="F328" i="65"/>
  <c r="F214" i="65"/>
  <c r="F41" i="65"/>
  <c r="F83" i="65"/>
  <c r="F341" i="65"/>
  <c r="F53" i="65"/>
  <c r="F245" i="65"/>
  <c r="F242" i="65"/>
  <c r="F162" i="65"/>
  <c r="F267" i="65"/>
  <c r="F270" i="65"/>
  <c r="F277" i="65"/>
  <c r="F61" i="65"/>
  <c r="F155" i="65"/>
  <c r="F231" i="65"/>
  <c r="F213" i="65"/>
  <c r="F292" i="65"/>
  <c r="F236" i="65"/>
  <c r="F319" i="65"/>
  <c r="F168" i="65"/>
  <c r="F106" i="65"/>
  <c r="F256" i="65"/>
  <c r="F128" i="65"/>
  <c r="F343" i="65"/>
  <c r="F281" i="65"/>
  <c r="F133" i="65"/>
  <c r="F98" i="65"/>
  <c r="F110" i="65"/>
  <c r="F262" i="65"/>
  <c r="F148" i="65"/>
  <c r="F138" i="65"/>
  <c r="F100" i="65"/>
  <c r="F269" i="65"/>
  <c r="F209" i="65"/>
  <c r="F60" i="65"/>
  <c r="F252" i="65"/>
  <c r="F340" i="65"/>
  <c r="F76" i="65"/>
  <c r="F96" i="65"/>
  <c r="F44" i="65"/>
  <c r="F70" i="65"/>
  <c r="F205" i="65"/>
  <c r="F240" i="65"/>
  <c r="F99" i="65"/>
  <c r="F317" i="65"/>
  <c r="F74" i="65"/>
  <c r="F34" i="65"/>
  <c r="F184" i="65"/>
  <c r="F204" i="65"/>
  <c r="F173" i="65"/>
  <c r="F161" i="65"/>
  <c r="F120" i="65"/>
  <c r="F246" i="65"/>
  <c r="F153" i="65"/>
  <c r="F134" i="65"/>
  <c r="F234" i="65"/>
  <c r="F101" i="65"/>
  <c r="F271" i="65"/>
  <c r="F250" i="65"/>
  <c r="F164" i="65"/>
  <c r="F304" i="65"/>
  <c r="F30" i="65"/>
  <c r="F189" i="65"/>
  <c r="F251" i="65"/>
  <c r="F90" i="65"/>
  <c r="F156" i="65"/>
  <c r="F218" i="65"/>
  <c r="F126" i="65"/>
  <c r="F178" i="65"/>
  <c r="F266" i="65"/>
  <c r="F19" i="65"/>
  <c r="F111" i="65"/>
  <c r="F337" i="65"/>
  <c r="F286" i="65"/>
  <c r="F332" i="65"/>
  <c r="F322" i="65"/>
  <c r="F146" i="65"/>
  <c r="F144" i="65"/>
  <c r="F305" i="65"/>
  <c r="F25" i="65"/>
  <c r="F42" i="65"/>
  <c r="F45" i="65"/>
  <c r="F137" i="65"/>
  <c r="F93" i="65"/>
  <c r="F208" i="65"/>
  <c r="F158" i="65"/>
  <c r="F46" i="65"/>
  <c r="F86" i="65"/>
  <c r="F40" i="65"/>
  <c r="F320" i="65"/>
  <c r="F342" i="65"/>
  <c r="F35" i="65"/>
  <c r="F165" i="65"/>
  <c r="F198" i="65"/>
  <c r="F199" i="65"/>
  <c r="F324" i="65"/>
  <c r="F294" i="65"/>
  <c r="F145" i="65"/>
  <c r="F275" i="65"/>
  <c r="F265" i="65"/>
  <c r="F299" i="65"/>
  <c r="F283" i="65"/>
  <c r="F163" i="65"/>
  <c r="F309" i="65"/>
  <c r="F282" i="65"/>
  <c r="F263" i="65"/>
  <c r="F63" i="65"/>
  <c r="F9" i="65"/>
  <c r="AK6" i="49"/>
  <c r="BU6" i="49" s="1"/>
  <c r="AL5" i="49"/>
  <c r="F16" i="65" l="1"/>
  <c r="G16" i="65" s="1"/>
  <c r="F116" i="65"/>
  <c r="F253" i="65"/>
  <c r="F316" i="65"/>
  <c r="F129" i="65"/>
  <c r="F318" i="65"/>
  <c r="F182" i="65"/>
  <c r="F32" i="65"/>
  <c r="F4" i="65"/>
  <c r="F139" i="65"/>
  <c r="F243" i="65"/>
  <c r="F237" i="65"/>
  <c r="F130" i="65"/>
  <c r="F109" i="65"/>
  <c r="F183" i="65"/>
  <c r="F108" i="65"/>
  <c r="F65" i="65"/>
  <c r="F107" i="65"/>
  <c r="F308" i="65"/>
  <c r="F255" i="65"/>
  <c r="F21" i="65"/>
  <c r="F187" i="65"/>
  <c r="F112" i="65"/>
  <c r="F215" i="65"/>
  <c r="F261" i="65"/>
  <c r="F75" i="65"/>
  <c r="F345" i="65"/>
  <c r="F64" i="65"/>
  <c r="F71" i="65"/>
  <c r="F222" i="65"/>
  <c r="F69" i="65"/>
  <c r="F135" i="65"/>
  <c r="F268" i="65"/>
  <c r="F273" i="65"/>
  <c r="F102" i="65"/>
  <c r="F37" i="65"/>
  <c r="F254" i="65"/>
  <c r="F172" i="65"/>
  <c r="F77" i="65"/>
  <c r="F276" i="65"/>
  <c r="F167" i="65"/>
  <c r="F216" i="65"/>
  <c r="F330" i="65"/>
  <c r="F7" i="65"/>
  <c r="F331" i="65"/>
  <c r="F149" i="65"/>
  <c r="F175" i="65"/>
  <c r="F291" i="65"/>
  <c r="F47" i="65"/>
  <c r="F154" i="65"/>
  <c r="F244" i="65"/>
  <c r="F92" i="65"/>
  <c r="F212" i="65"/>
  <c r="F127" i="65"/>
  <c r="F195" i="65"/>
  <c r="F313" i="65"/>
  <c r="F303" i="65"/>
  <c r="F264" i="65"/>
  <c r="F203" i="65"/>
  <c r="F298" i="65"/>
  <c r="F68" i="65"/>
  <c r="F78" i="65"/>
  <c r="F206" i="65"/>
  <c r="F285" i="65"/>
  <c r="F136" i="65"/>
  <c r="F20" i="65"/>
  <c r="F249" i="65"/>
  <c r="F290" i="65"/>
  <c r="F72" i="65"/>
  <c r="F132" i="65"/>
  <c r="F147" i="65"/>
  <c r="F31" i="65"/>
  <c r="F220" i="65"/>
  <c r="F194" i="65"/>
  <c r="F176" i="65"/>
  <c r="F43" i="65"/>
  <c r="F346" i="65"/>
  <c r="F301" i="65"/>
  <c r="F62" i="65"/>
  <c r="F247" i="65"/>
  <c r="F36" i="65"/>
  <c r="F258" i="65"/>
  <c r="F207" i="65"/>
  <c r="F297" i="65"/>
  <c r="F225" i="65"/>
  <c r="F33" i="65"/>
  <c r="F79" i="65"/>
  <c r="F279" i="65"/>
  <c r="F241" i="65"/>
  <c r="F310" i="65"/>
  <c r="F221" i="65"/>
  <c r="F311" i="65"/>
  <c r="F193" i="65"/>
  <c r="F80" i="65"/>
  <c r="F57" i="65"/>
  <c r="F151" i="65"/>
  <c r="F314" i="65"/>
  <c r="F226" i="65"/>
  <c r="F51" i="65"/>
  <c r="F306" i="65"/>
  <c r="F105" i="65"/>
  <c r="F27" i="65"/>
  <c r="F232" i="65"/>
  <c r="F336" i="65"/>
  <c r="F329" i="65"/>
  <c r="F117" i="65"/>
  <c r="F327" i="65"/>
  <c r="F321" i="65"/>
  <c r="F152" i="65"/>
  <c r="F123" i="65"/>
  <c r="F200" i="65"/>
  <c r="F190" i="65"/>
  <c r="F85" i="65"/>
  <c r="J198" i="65"/>
  <c r="G198" i="65"/>
  <c r="H198" i="65" s="1"/>
  <c r="J320" i="65"/>
  <c r="G320" i="65"/>
  <c r="H320" i="65" s="1"/>
  <c r="G93" i="65"/>
  <c r="H93" i="65" s="1"/>
  <c r="J93" i="65"/>
  <c r="J305" i="65"/>
  <c r="G305" i="65"/>
  <c r="H305" i="65" s="1"/>
  <c r="G337" i="65"/>
  <c r="H337" i="65" s="1"/>
  <c r="J337" i="65"/>
  <c r="G161" i="65"/>
  <c r="H161" i="65" s="1"/>
  <c r="J161" i="65"/>
  <c r="J110" i="65"/>
  <c r="G110" i="65"/>
  <c r="H110" i="65" s="1"/>
  <c r="J98" i="65"/>
  <c r="G98" i="65"/>
  <c r="H98" i="65" s="1"/>
  <c r="G256" i="65"/>
  <c r="H256" i="65" s="1"/>
  <c r="J256" i="65"/>
  <c r="G231" i="65"/>
  <c r="H231" i="65" s="1"/>
  <c r="J231" i="65"/>
  <c r="J326" i="65"/>
  <c r="G326" i="65"/>
  <c r="H326" i="65" s="1"/>
  <c r="J192" i="65"/>
  <c r="G192" i="65"/>
  <c r="H192" i="65" s="1"/>
  <c r="G191" i="65"/>
  <c r="H191" i="65" s="1"/>
  <c r="J191" i="65"/>
  <c r="G339" i="65"/>
  <c r="H339" i="65" s="1"/>
  <c r="J339" i="65"/>
  <c r="G309" i="65"/>
  <c r="H309" i="65" s="1"/>
  <c r="J309" i="65"/>
  <c r="G145" i="65"/>
  <c r="H145" i="65" s="1"/>
  <c r="J145" i="65"/>
  <c r="J266" i="65"/>
  <c r="G266" i="65"/>
  <c r="H266" i="65" s="1"/>
  <c r="G251" i="65"/>
  <c r="H251" i="65" s="1"/>
  <c r="J251" i="65"/>
  <c r="J250" i="65"/>
  <c r="G250" i="65"/>
  <c r="H250" i="65" s="1"/>
  <c r="J252" i="65"/>
  <c r="G252" i="65"/>
  <c r="H252" i="65" s="1"/>
  <c r="G245" i="65"/>
  <c r="H245" i="65" s="1"/>
  <c r="J245" i="65"/>
  <c r="J214" i="65"/>
  <c r="G214" i="65"/>
  <c r="H214" i="65" s="1"/>
  <c r="G181" i="65"/>
  <c r="H181" i="65" s="1"/>
  <c r="J181" i="65"/>
  <c r="G95" i="65"/>
  <c r="H95" i="65" s="1"/>
  <c r="J95" i="65"/>
  <c r="J174" i="65"/>
  <c r="G174" i="65"/>
  <c r="H174" i="65" s="1"/>
  <c r="G115" i="65"/>
  <c r="H115" i="65" s="1"/>
  <c r="J115" i="65"/>
  <c r="G188" i="65"/>
  <c r="H188" i="65" s="1"/>
  <c r="J188" i="65"/>
  <c r="G287" i="65"/>
  <c r="H287" i="65" s="1"/>
  <c r="J287" i="65"/>
  <c r="G166" i="65"/>
  <c r="H166" i="65" s="1"/>
  <c r="J166" i="65"/>
  <c r="G125" i="65"/>
  <c r="H125" i="65" s="1"/>
  <c r="J125" i="65"/>
  <c r="G40" i="65"/>
  <c r="H40" i="65" s="1"/>
  <c r="J40" i="65"/>
  <c r="J144" i="65"/>
  <c r="G144" i="65"/>
  <c r="H144" i="65" s="1"/>
  <c r="G173" i="65"/>
  <c r="H173" i="65" s="1"/>
  <c r="J173" i="65"/>
  <c r="G205" i="65"/>
  <c r="H205" i="65" s="1"/>
  <c r="J205" i="65"/>
  <c r="G133" i="65"/>
  <c r="H133" i="65" s="1"/>
  <c r="J133" i="65"/>
  <c r="J106" i="65"/>
  <c r="G106" i="65"/>
  <c r="H106" i="65" s="1"/>
  <c r="G213" i="65"/>
  <c r="H213" i="65" s="1"/>
  <c r="J213" i="65"/>
  <c r="G155" i="65"/>
  <c r="H155" i="65" s="1"/>
  <c r="J155" i="65"/>
  <c r="G89" i="65"/>
  <c r="H89" i="65" s="1"/>
  <c r="J89" i="65"/>
  <c r="G171" i="65"/>
  <c r="H171" i="65" s="1"/>
  <c r="J171" i="65"/>
  <c r="J8" i="65"/>
  <c r="G8" i="65"/>
  <c r="H8" i="65" s="1"/>
  <c r="G13" i="65"/>
  <c r="H13" i="65" s="1"/>
  <c r="J13" i="65"/>
  <c r="G141" i="65"/>
  <c r="H141" i="65" s="1"/>
  <c r="J141" i="65"/>
  <c r="F295" i="65"/>
  <c r="F18" i="65"/>
  <c r="G163" i="65"/>
  <c r="H163" i="65" s="1"/>
  <c r="J163" i="65"/>
  <c r="J294" i="65"/>
  <c r="G294" i="65"/>
  <c r="H294" i="65" s="1"/>
  <c r="J146" i="65"/>
  <c r="G146" i="65"/>
  <c r="H146" i="65" s="1"/>
  <c r="G189" i="65"/>
  <c r="H189" i="65" s="1"/>
  <c r="J189" i="65"/>
  <c r="G60" i="65"/>
  <c r="H60" i="65" s="1"/>
  <c r="J60" i="65"/>
  <c r="J138" i="65"/>
  <c r="G138" i="65"/>
  <c r="H138" i="65" s="1"/>
  <c r="G328" i="65"/>
  <c r="H328" i="65" s="1"/>
  <c r="J328" i="65"/>
  <c r="G223" i="65"/>
  <c r="H223" i="65" s="1"/>
  <c r="J223" i="65"/>
  <c r="G201" i="65"/>
  <c r="H201" i="65" s="1"/>
  <c r="J201" i="65"/>
  <c r="J344" i="65"/>
  <c r="G344" i="65"/>
  <c r="H344" i="65" s="1"/>
  <c r="J238" i="65"/>
  <c r="G238" i="65"/>
  <c r="H238" i="65" s="1"/>
  <c r="G54" i="65"/>
  <c r="H54" i="65" s="1"/>
  <c r="J54" i="65"/>
  <c r="J278" i="65"/>
  <c r="G278" i="65"/>
  <c r="H278" i="65" s="1"/>
  <c r="J73" i="65"/>
  <c r="G73" i="65"/>
  <c r="H73" i="65" s="1"/>
  <c r="G323" i="65"/>
  <c r="H323" i="65" s="1"/>
  <c r="J323" i="65"/>
  <c r="J104" i="65"/>
  <c r="G104" i="65"/>
  <c r="H104" i="65" s="1"/>
  <c r="G15" i="65"/>
  <c r="H15" i="65" s="1"/>
  <c r="J15" i="65"/>
  <c r="J86" i="65"/>
  <c r="G86" i="65"/>
  <c r="H86" i="65" s="1"/>
  <c r="G137" i="65"/>
  <c r="H137" i="65" s="1"/>
  <c r="J137" i="65"/>
  <c r="G271" i="65"/>
  <c r="H271" i="65" s="1"/>
  <c r="J271" i="65"/>
  <c r="J134" i="65"/>
  <c r="G134" i="65"/>
  <c r="H134" i="65" s="1"/>
  <c r="J204" i="65"/>
  <c r="G204" i="65"/>
  <c r="H204" i="65" s="1"/>
  <c r="G317" i="65"/>
  <c r="H317" i="65" s="1"/>
  <c r="J317" i="65"/>
  <c r="G70" i="65"/>
  <c r="H70" i="65" s="1"/>
  <c r="J70" i="65"/>
  <c r="J100" i="65"/>
  <c r="G100" i="65"/>
  <c r="H100" i="65" s="1"/>
  <c r="G281" i="65"/>
  <c r="H281" i="65" s="1"/>
  <c r="J281" i="65"/>
  <c r="J168" i="65"/>
  <c r="G168" i="65"/>
  <c r="H168" i="65" s="1"/>
  <c r="J61" i="65"/>
  <c r="G61" i="65"/>
  <c r="H61" i="65" s="1"/>
  <c r="G28" i="65"/>
  <c r="H28" i="65" s="1"/>
  <c r="J28" i="65"/>
  <c r="G29" i="65"/>
  <c r="H29" i="65" s="1"/>
  <c r="J29" i="65"/>
  <c r="G185" i="65"/>
  <c r="H185" i="65" s="1"/>
  <c r="J185" i="65"/>
  <c r="J170" i="65"/>
  <c r="G170" i="65"/>
  <c r="H170" i="65" s="1"/>
  <c r="G9" i="65"/>
  <c r="H9" i="65" s="1"/>
  <c r="J9" i="65"/>
  <c r="G283" i="65"/>
  <c r="H283" i="65" s="1"/>
  <c r="J283" i="65"/>
  <c r="J322" i="65"/>
  <c r="G322" i="65"/>
  <c r="H322" i="65" s="1"/>
  <c r="J178" i="65"/>
  <c r="G178" i="65"/>
  <c r="H178" i="65" s="1"/>
  <c r="J30" i="65"/>
  <c r="G30" i="65"/>
  <c r="H30" i="65" s="1"/>
  <c r="G209" i="65"/>
  <c r="H209" i="65" s="1"/>
  <c r="J209" i="65"/>
  <c r="J148" i="65"/>
  <c r="G148" i="65"/>
  <c r="H148" i="65" s="1"/>
  <c r="J53" i="65"/>
  <c r="G53" i="65"/>
  <c r="H53" i="65" s="1"/>
  <c r="G159" i="65"/>
  <c r="H159" i="65" s="1"/>
  <c r="J159" i="65"/>
  <c r="J160" i="65"/>
  <c r="G160" i="65"/>
  <c r="H160" i="65" s="1"/>
  <c r="G143" i="65"/>
  <c r="H143" i="65" s="1"/>
  <c r="J143" i="65"/>
  <c r="J288" i="65"/>
  <c r="G288" i="65"/>
  <c r="H288" i="65" s="1"/>
  <c r="G97" i="65"/>
  <c r="H97" i="65" s="1"/>
  <c r="J97" i="65"/>
  <c r="J300" i="65"/>
  <c r="G300" i="65"/>
  <c r="H300" i="65" s="1"/>
  <c r="J114" i="65"/>
  <c r="G114" i="65"/>
  <c r="H114" i="65" s="1"/>
  <c r="J22" i="65"/>
  <c r="G22" i="65"/>
  <c r="H22" i="65" s="1"/>
  <c r="G5" i="65"/>
  <c r="H5" i="65" s="1"/>
  <c r="J5" i="65"/>
  <c r="G289" i="65"/>
  <c r="H289" i="65" s="1"/>
  <c r="J289" i="65"/>
  <c r="J210" i="65"/>
  <c r="G210" i="65"/>
  <c r="H210" i="65" s="1"/>
  <c r="G91" i="65"/>
  <c r="H91" i="65" s="1"/>
  <c r="J91" i="65"/>
  <c r="J150" i="65"/>
  <c r="G150" i="65"/>
  <c r="H150" i="65" s="1"/>
  <c r="G165" i="65"/>
  <c r="H165" i="65" s="1"/>
  <c r="J165" i="65"/>
  <c r="J46" i="65"/>
  <c r="G46" i="65"/>
  <c r="H46" i="65" s="1"/>
  <c r="J45" i="65"/>
  <c r="G45" i="65"/>
  <c r="H45" i="65" s="1"/>
  <c r="J126" i="65"/>
  <c r="G126" i="65"/>
  <c r="H126" i="65" s="1"/>
  <c r="G101" i="65"/>
  <c r="H101" i="65" s="1"/>
  <c r="J101" i="65"/>
  <c r="G153" i="65"/>
  <c r="H153" i="65" s="1"/>
  <c r="J153" i="65"/>
  <c r="G99" i="65"/>
  <c r="H99" i="65" s="1"/>
  <c r="J99" i="65"/>
  <c r="G44" i="65"/>
  <c r="H44" i="65" s="1"/>
  <c r="J44" i="65"/>
  <c r="G319" i="65"/>
  <c r="H319" i="65" s="1"/>
  <c r="J319" i="65"/>
  <c r="G82" i="65"/>
  <c r="H82" i="65" s="1"/>
  <c r="J82" i="65"/>
  <c r="G131" i="65"/>
  <c r="H131" i="65" s="1"/>
  <c r="J131" i="65"/>
  <c r="J63" i="65"/>
  <c r="G63" i="65"/>
  <c r="H63" i="65" s="1"/>
  <c r="G299" i="65"/>
  <c r="H299" i="65" s="1"/>
  <c r="J299" i="65"/>
  <c r="J324" i="65"/>
  <c r="G324" i="65"/>
  <c r="H324" i="65" s="1"/>
  <c r="G111" i="65"/>
  <c r="H111" i="65" s="1"/>
  <c r="J111" i="65"/>
  <c r="J218" i="65"/>
  <c r="G218" i="65"/>
  <c r="H218" i="65" s="1"/>
  <c r="G304" i="65"/>
  <c r="H304" i="65" s="1"/>
  <c r="J304" i="65"/>
  <c r="G34" i="65"/>
  <c r="H34" i="65" s="1"/>
  <c r="J34" i="65"/>
  <c r="G269" i="65"/>
  <c r="H269" i="65" s="1"/>
  <c r="J269" i="65"/>
  <c r="J262" i="65"/>
  <c r="G262" i="65"/>
  <c r="H262" i="65" s="1"/>
  <c r="G277" i="65"/>
  <c r="H277" i="65" s="1"/>
  <c r="J277" i="65"/>
  <c r="G267" i="65"/>
  <c r="H267" i="65" s="1"/>
  <c r="J267" i="65"/>
  <c r="G341" i="65"/>
  <c r="H341" i="65" s="1"/>
  <c r="J341" i="65"/>
  <c r="G296" i="65"/>
  <c r="H296" i="65" s="1"/>
  <c r="J296" i="65"/>
  <c r="J196" i="65"/>
  <c r="G196" i="65"/>
  <c r="H196" i="65" s="1"/>
  <c r="J260" i="65"/>
  <c r="G260" i="65"/>
  <c r="H260" i="65" s="1"/>
  <c r="G177" i="65"/>
  <c r="H177" i="65" s="1"/>
  <c r="J177" i="65"/>
  <c r="J334" i="65"/>
  <c r="G334" i="65"/>
  <c r="H334" i="65" s="1"/>
  <c r="G229" i="65"/>
  <c r="H229" i="65" s="1"/>
  <c r="J229" i="65"/>
  <c r="J274" i="65"/>
  <c r="G274" i="65"/>
  <c r="H274" i="65" s="1"/>
  <c r="G219" i="65"/>
  <c r="H219" i="65" s="1"/>
  <c r="J219" i="65"/>
  <c r="G14" i="65"/>
  <c r="H14" i="65" s="1"/>
  <c r="J14" i="65"/>
  <c r="G121" i="65"/>
  <c r="H121" i="65" s="1"/>
  <c r="J121" i="65"/>
  <c r="J124" i="65"/>
  <c r="G124" i="65"/>
  <c r="H124" i="65" s="1"/>
  <c r="J228" i="65"/>
  <c r="G228" i="65"/>
  <c r="H228" i="65" s="1"/>
  <c r="J35" i="65"/>
  <c r="G35" i="65"/>
  <c r="H35" i="65" s="1"/>
  <c r="J158" i="65"/>
  <c r="G158" i="65"/>
  <c r="H158" i="65" s="1"/>
  <c r="G42" i="65"/>
  <c r="H42" i="65" s="1"/>
  <c r="J42" i="65"/>
  <c r="J332" i="65"/>
  <c r="G332" i="65"/>
  <c r="H332" i="65" s="1"/>
  <c r="J234" i="65"/>
  <c r="G234" i="65"/>
  <c r="H234" i="65" s="1"/>
  <c r="J246" i="65"/>
  <c r="G246" i="65"/>
  <c r="H246" i="65" s="1"/>
  <c r="J184" i="65"/>
  <c r="G184" i="65"/>
  <c r="H184" i="65" s="1"/>
  <c r="G96" i="65"/>
  <c r="H96" i="65" s="1"/>
  <c r="J96" i="65"/>
  <c r="G343" i="65"/>
  <c r="H343" i="65" s="1"/>
  <c r="J343" i="65"/>
  <c r="J236" i="65"/>
  <c r="G236" i="65"/>
  <c r="H236" i="65" s="1"/>
  <c r="G50" i="65"/>
  <c r="H50" i="65" s="1"/>
  <c r="J50" i="65"/>
  <c r="G293" i="65"/>
  <c r="H293" i="65" s="1"/>
  <c r="J293" i="65"/>
  <c r="G235" i="65"/>
  <c r="H235" i="65" s="1"/>
  <c r="J235" i="65"/>
  <c r="G103" i="65"/>
  <c r="H103" i="65" s="1"/>
  <c r="J103" i="65"/>
  <c r="G263" i="65"/>
  <c r="H263" i="65" s="1"/>
  <c r="J263" i="65"/>
  <c r="G265" i="65"/>
  <c r="H265" i="65" s="1"/>
  <c r="J265" i="65"/>
  <c r="J156" i="65"/>
  <c r="G156" i="65"/>
  <c r="H156" i="65" s="1"/>
  <c r="G164" i="65"/>
  <c r="H164" i="65" s="1"/>
  <c r="J164" i="65"/>
  <c r="J74" i="65"/>
  <c r="G74" i="65"/>
  <c r="H74" i="65" s="1"/>
  <c r="J270" i="65"/>
  <c r="G270" i="65"/>
  <c r="H270" i="65" s="1"/>
  <c r="J162" i="65"/>
  <c r="G162" i="65"/>
  <c r="H162" i="65" s="1"/>
  <c r="G83" i="65"/>
  <c r="H83" i="65" s="1"/>
  <c r="J83" i="65"/>
  <c r="G52" i="65"/>
  <c r="H52" i="65" s="1"/>
  <c r="J52" i="65"/>
  <c r="G113" i="65"/>
  <c r="H113" i="65" s="1"/>
  <c r="J113" i="65"/>
  <c r="J338" i="65"/>
  <c r="G338" i="65"/>
  <c r="H338" i="65" s="1"/>
  <c r="J284" i="65"/>
  <c r="G284" i="65"/>
  <c r="H284" i="65" s="1"/>
  <c r="J180" i="65"/>
  <c r="G180" i="65"/>
  <c r="H180" i="65" s="1"/>
  <c r="G307" i="65"/>
  <c r="H307" i="65" s="1"/>
  <c r="J307" i="65"/>
  <c r="G48" i="65"/>
  <c r="H48" i="65" s="1"/>
  <c r="J48" i="65"/>
  <c r="G38" i="65"/>
  <c r="H38" i="65" s="1"/>
  <c r="J38" i="65"/>
  <c r="J186" i="65"/>
  <c r="G186" i="65"/>
  <c r="H186" i="65" s="1"/>
  <c r="G217" i="65"/>
  <c r="H217" i="65" s="1"/>
  <c r="J217" i="65"/>
  <c r="G119" i="65"/>
  <c r="H119" i="65" s="1"/>
  <c r="J119" i="65"/>
  <c r="G199" i="65"/>
  <c r="H199" i="65" s="1"/>
  <c r="J199" i="65"/>
  <c r="J342" i="65"/>
  <c r="G342" i="65"/>
  <c r="H342" i="65" s="1"/>
  <c r="J208" i="65"/>
  <c r="G208" i="65"/>
  <c r="H208" i="65" s="1"/>
  <c r="J25" i="65"/>
  <c r="G25" i="65"/>
  <c r="H25" i="65" s="1"/>
  <c r="J286" i="65"/>
  <c r="G286" i="65"/>
  <c r="H286" i="65" s="1"/>
  <c r="J120" i="65"/>
  <c r="G120" i="65"/>
  <c r="H120" i="65" s="1"/>
  <c r="J240" i="65"/>
  <c r="G240" i="65"/>
  <c r="H240" i="65" s="1"/>
  <c r="J76" i="65"/>
  <c r="G76" i="65"/>
  <c r="H76" i="65" s="1"/>
  <c r="J128" i="65"/>
  <c r="G128" i="65"/>
  <c r="H128" i="65" s="1"/>
  <c r="G292" i="65"/>
  <c r="H292" i="65" s="1"/>
  <c r="J292" i="65"/>
  <c r="G169" i="65"/>
  <c r="H169" i="65" s="1"/>
  <c r="J169" i="65"/>
  <c r="G257" i="65"/>
  <c r="H257" i="65" s="1"/>
  <c r="J257" i="65"/>
  <c r="J39" i="65"/>
  <c r="G39" i="65"/>
  <c r="H39" i="65" s="1"/>
  <c r="J282" i="65"/>
  <c r="G282" i="65"/>
  <c r="H282" i="65" s="1"/>
  <c r="G275" i="65"/>
  <c r="H275" i="65" s="1"/>
  <c r="J275" i="65"/>
  <c r="J19" i="65"/>
  <c r="G19" i="65"/>
  <c r="H19" i="65" s="1"/>
  <c r="J90" i="65"/>
  <c r="G90" i="65"/>
  <c r="H90" i="65" s="1"/>
  <c r="G340" i="65"/>
  <c r="H340" i="65" s="1"/>
  <c r="J340" i="65"/>
  <c r="J242" i="65"/>
  <c r="G242" i="65"/>
  <c r="H242" i="65" s="1"/>
  <c r="G41" i="65"/>
  <c r="H41" i="65" s="1"/>
  <c r="J41" i="65"/>
  <c r="G280" i="65"/>
  <c r="H280" i="65" s="1"/>
  <c r="J280" i="65"/>
  <c r="J224" i="65"/>
  <c r="G224" i="65"/>
  <c r="H224" i="65" s="1"/>
  <c r="J88" i="65"/>
  <c r="G88" i="65"/>
  <c r="H88" i="65" s="1"/>
  <c r="G259" i="65"/>
  <c r="H259" i="65" s="1"/>
  <c r="J259" i="65"/>
  <c r="J302" i="65"/>
  <c r="G302" i="65"/>
  <c r="H302" i="65" s="1"/>
  <c r="J49" i="65"/>
  <c r="G49" i="65"/>
  <c r="H49" i="65" s="1"/>
  <c r="J84" i="65"/>
  <c r="G84" i="65"/>
  <c r="H84" i="65" s="1"/>
  <c r="G233" i="65"/>
  <c r="H233" i="65" s="1"/>
  <c r="J233" i="65"/>
  <c r="G227" i="65"/>
  <c r="H227" i="65" s="1"/>
  <c r="J227" i="65"/>
  <c r="G211" i="65"/>
  <c r="H211" i="65" s="1"/>
  <c r="J211" i="65"/>
  <c r="G335" i="65"/>
  <c r="H335" i="65" s="1"/>
  <c r="J335" i="65"/>
  <c r="G157" i="65"/>
  <c r="H157" i="65" s="1"/>
  <c r="J157" i="65"/>
  <c r="G315" i="65"/>
  <c r="H315" i="65" s="1"/>
  <c r="J315" i="65"/>
  <c r="EH10" i="49"/>
  <c r="AL6" i="49"/>
  <c r="BV6" i="49" s="1"/>
  <c r="AM5" i="49"/>
  <c r="AM6" i="49" s="1"/>
  <c r="BW6" i="49" s="1"/>
  <c r="F24" i="65" l="1"/>
  <c r="F23" i="65"/>
  <c r="G23" i="65" s="1"/>
  <c r="F58" i="65"/>
  <c r="F81" i="65"/>
  <c r="G116" i="65"/>
  <c r="H116" i="65" s="1"/>
  <c r="J116" i="65"/>
  <c r="F118" i="65"/>
  <c r="F272" i="65"/>
  <c r="F142" i="65"/>
  <c r="F67" i="65"/>
  <c r="F202" i="65"/>
  <c r="F239" i="65"/>
  <c r="F333" i="65"/>
  <c r="F26" i="65"/>
  <c r="G316" i="65"/>
  <c r="H316" i="65" s="1"/>
  <c r="J316" i="65"/>
  <c r="F87" i="65"/>
  <c r="F122" i="65"/>
  <c r="F179" i="65"/>
  <c r="F140" i="65"/>
  <c r="F325" i="65"/>
  <c r="F197" i="65"/>
  <c r="F17" i="65"/>
  <c r="F12" i="65"/>
  <c r="G12" i="65" s="1"/>
  <c r="F312" i="65"/>
  <c r="G253" i="65"/>
  <c r="H253" i="65" s="1"/>
  <c r="J253" i="65"/>
  <c r="F94" i="65"/>
  <c r="F248" i="65"/>
  <c r="F59" i="65"/>
  <c r="G123" i="65"/>
  <c r="H123" i="65" s="1"/>
  <c r="J123" i="65"/>
  <c r="J311" i="65"/>
  <c r="G311" i="65"/>
  <c r="H311" i="65" s="1"/>
  <c r="J33" i="65"/>
  <c r="G33" i="65"/>
  <c r="H33" i="65" s="1"/>
  <c r="J194" i="65"/>
  <c r="G194" i="65"/>
  <c r="H194" i="65" s="1"/>
  <c r="G345" i="65"/>
  <c r="H345" i="65" s="1"/>
  <c r="J345" i="65"/>
  <c r="J21" i="65"/>
  <c r="G21" i="65"/>
  <c r="H21" i="65" s="1"/>
  <c r="G183" i="65"/>
  <c r="H183" i="65" s="1"/>
  <c r="J183" i="65"/>
  <c r="J4" i="65"/>
  <c r="G4" i="65"/>
  <c r="H4" i="65" s="1"/>
  <c r="J152" i="65"/>
  <c r="G152" i="65"/>
  <c r="H152" i="65" s="1"/>
  <c r="G232" i="65"/>
  <c r="H232" i="65" s="1"/>
  <c r="J232" i="65"/>
  <c r="G221" i="65"/>
  <c r="H221" i="65" s="1"/>
  <c r="J221" i="65"/>
  <c r="G225" i="65"/>
  <c r="H225" i="65" s="1"/>
  <c r="J225" i="65"/>
  <c r="G62" i="65"/>
  <c r="H62" i="65" s="1"/>
  <c r="J62" i="65"/>
  <c r="J220" i="65"/>
  <c r="G220" i="65"/>
  <c r="H220" i="65" s="1"/>
  <c r="G249" i="65"/>
  <c r="H249" i="65" s="1"/>
  <c r="J249" i="65"/>
  <c r="J68" i="65"/>
  <c r="G68" i="65"/>
  <c r="H68" i="65" s="1"/>
  <c r="G195" i="65"/>
  <c r="H195" i="65" s="1"/>
  <c r="J195" i="65"/>
  <c r="G154" i="65"/>
  <c r="H154" i="65" s="1"/>
  <c r="J154" i="65"/>
  <c r="G7" i="65"/>
  <c r="H7" i="65" s="1"/>
  <c r="J7" i="65"/>
  <c r="J172" i="65"/>
  <c r="G172" i="65"/>
  <c r="H172" i="65" s="1"/>
  <c r="G135" i="65"/>
  <c r="H135" i="65" s="1"/>
  <c r="J135" i="65"/>
  <c r="J314" i="65"/>
  <c r="G314" i="65"/>
  <c r="H314" i="65" s="1"/>
  <c r="G75" i="65"/>
  <c r="H75" i="65" s="1"/>
  <c r="J75" i="65"/>
  <c r="G255" i="65"/>
  <c r="H255" i="65" s="1"/>
  <c r="J255" i="65"/>
  <c r="J109" i="65"/>
  <c r="G109" i="65"/>
  <c r="H109" i="65" s="1"/>
  <c r="J32" i="65"/>
  <c r="G32" i="65"/>
  <c r="H32" i="65" s="1"/>
  <c r="G321" i="65"/>
  <c r="H321" i="65" s="1"/>
  <c r="J321" i="65"/>
  <c r="J27" i="65"/>
  <c r="G27" i="65"/>
  <c r="H27" i="65" s="1"/>
  <c r="J310" i="65"/>
  <c r="G310" i="65"/>
  <c r="H310" i="65" s="1"/>
  <c r="G297" i="65"/>
  <c r="H297" i="65" s="1"/>
  <c r="J297" i="65"/>
  <c r="G301" i="65"/>
  <c r="H301" i="65" s="1"/>
  <c r="J301" i="65"/>
  <c r="G31" i="65"/>
  <c r="H31" i="65" s="1"/>
  <c r="J31" i="65"/>
  <c r="G20" i="65"/>
  <c r="H20" i="65" s="1"/>
  <c r="J20" i="65"/>
  <c r="J298" i="65"/>
  <c r="G298" i="65"/>
  <c r="H298" i="65" s="1"/>
  <c r="G127" i="65"/>
  <c r="H127" i="65" s="1"/>
  <c r="J127" i="65"/>
  <c r="J47" i="65"/>
  <c r="G47" i="65"/>
  <c r="H47" i="65" s="1"/>
  <c r="J330" i="65"/>
  <c r="G330" i="65"/>
  <c r="H330" i="65" s="1"/>
  <c r="J254" i="65"/>
  <c r="G254" i="65"/>
  <c r="H254" i="65" s="1"/>
  <c r="G69" i="65"/>
  <c r="H69" i="65" s="1"/>
  <c r="J69" i="65"/>
  <c r="G151" i="65"/>
  <c r="H151" i="65" s="1"/>
  <c r="J151" i="65"/>
  <c r="G261" i="65"/>
  <c r="H261" i="65" s="1"/>
  <c r="J261" i="65"/>
  <c r="J308" i="65"/>
  <c r="G308" i="65"/>
  <c r="H308" i="65" s="1"/>
  <c r="J130" i="65"/>
  <c r="G130" i="65"/>
  <c r="H130" i="65" s="1"/>
  <c r="J182" i="65"/>
  <c r="G182" i="65"/>
  <c r="H182" i="65" s="1"/>
  <c r="G85" i="65"/>
  <c r="H85" i="65" s="1"/>
  <c r="J85" i="65"/>
  <c r="J105" i="65"/>
  <c r="G105" i="65"/>
  <c r="H105" i="65" s="1"/>
  <c r="G57" i="65"/>
  <c r="H57" i="65" s="1"/>
  <c r="J57" i="65"/>
  <c r="J346" i="65"/>
  <c r="G346" i="65"/>
  <c r="H346" i="65" s="1"/>
  <c r="G147" i="65"/>
  <c r="H147" i="65" s="1"/>
  <c r="J147" i="65"/>
  <c r="J136" i="65"/>
  <c r="G136" i="65"/>
  <c r="H136" i="65" s="1"/>
  <c r="J203" i="65"/>
  <c r="G203" i="65"/>
  <c r="H203" i="65" s="1"/>
  <c r="G212" i="65"/>
  <c r="H212" i="65" s="1"/>
  <c r="J212" i="65"/>
  <c r="G291" i="65"/>
  <c r="H291" i="65" s="1"/>
  <c r="J291" i="65"/>
  <c r="J216" i="65"/>
  <c r="G216" i="65"/>
  <c r="H216" i="65" s="1"/>
  <c r="G37" i="65"/>
  <c r="H37" i="65" s="1"/>
  <c r="J37" i="65"/>
  <c r="J222" i="65"/>
  <c r="G222" i="65"/>
  <c r="H222" i="65" s="1"/>
  <c r="G327" i="65"/>
  <c r="H327" i="65" s="1"/>
  <c r="J327" i="65"/>
  <c r="G241" i="65"/>
  <c r="H241" i="65" s="1"/>
  <c r="J241" i="65"/>
  <c r="G207" i="65"/>
  <c r="H207" i="65" s="1"/>
  <c r="J207" i="65"/>
  <c r="G215" i="65"/>
  <c r="H215" i="65" s="1"/>
  <c r="J215" i="65"/>
  <c r="G107" i="65"/>
  <c r="H107" i="65" s="1"/>
  <c r="J107" i="65"/>
  <c r="G237" i="65"/>
  <c r="H237" i="65" s="1"/>
  <c r="J237" i="65"/>
  <c r="J318" i="65"/>
  <c r="G318" i="65"/>
  <c r="H318" i="65" s="1"/>
  <c r="J190" i="65"/>
  <c r="G190" i="65"/>
  <c r="H190" i="65" s="1"/>
  <c r="G117" i="65"/>
  <c r="H117" i="65" s="1"/>
  <c r="J117" i="65"/>
  <c r="G279" i="65"/>
  <c r="H279" i="65" s="1"/>
  <c r="J279" i="65"/>
  <c r="J258" i="65"/>
  <c r="G258" i="65"/>
  <c r="H258" i="65" s="1"/>
  <c r="G43" i="65"/>
  <c r="H43" i="65" s="1"/>
  <c r="J43" i="65"/>
  <c r="J132" i="65"/>
  <c r="G132" i="65"/>
  <c r="H132" i="65" s="1"/>
  <c r="G285" i="65"/>
  <c r="H285" i="65" s="1"/>
  <c r="J285" i="65"/>
  <c r="J264" i="65"/>
  <c r="G264" i="65"/>
  <c r="H264" i="65" s="1"/>
  <c r="G92" i="65"/>
  <c r="H92" i="65" s="1"/>
  <c r="J92" i="65"/>
  <c r="G175" i="65"/>
  <c r="H175" i="65" s="1"/>
  <c r="J175" i="65"/>
  <c r="G167" i="65"/>
  <c r="H167" i="65" s="1"/>
  <c r="J167" i="65"/>
  <c r="J102" i="65"/>
  <c r="G102" i="65"/>
  <c r="H102" i="65" s="1"/>
  <c r="J306" i="65"/>
  <c r="G306" i="65"/>
  <c r="H306" i="65" s="1"/>
  <c r="J80" i="65"/>
  <c r="G80" i="65"/>
  <c r="H80" i="65" s="1"/>
  <c r="G71" i="65"/>
  <c r="H71" i="65" s="1"/>
  <c r="J71" i="65"/>
  <c r="G112" i="65"/>
  <c r="H112" i="65" s="1"/>
  <c r="J112" i="65"/>
  <c r="J65" i="65"/>
  <c r="G65" i="65"/>
  <c r="H65" i="65" s="1"/>
  <c r="G243" i="65"/>
  <c r="H243" i="65" s="1"/>
  <c r="J243" i="65"/>
  <c r="G129" i="65"/>
  <c r="H129" i="65" s="1"/>
  <c r="J129" i="65"/>
  <c r="G329" i="65"/>
  <c r="H329" i="65" s="1"/>
  <c r="J329" i="65"/>
  <c r="J51" i="65"/>
  <c r="G51" i="65"/>
  <c r="H51" i="65" s="1"/>
  <c r="G193" i="65"/>
  <c r="H193" i="65" s="1"/>
  <c r="J193" i="65"/>
  <c r="G79" i="65"/>
  <c r="H79" i="65" s="1"/>
  <c r="J79" i="65"/>
  <c r="G36" i="65"/>
  <c r="H36" i="65" s="1"/>
  <c r="J36" i="65"/>
  <c r="J176" i="65"/>
  <c r="G176" i="65"/>
  <c r="H176" i="65" s="1"/>
  <c r="J72" i="65"/>
  <c r="G72" i="65"/>
  <c r="H72" i="65" s="1"/>
  <c r="J206" i="65"/>
  <c r="G206" i="65"/>
  <c r="H206" i="65" s="1"/>
  <c r="G303" i="65"/>
  <c r="H303" i="65" s="1"/>
  <c r="J303" i="65"/>
  <c r="G149" i="65"/>
  <c r="H149" i="65" s="1"/>
  <c r="J149" i="65"/>
  <c r="J276" i="65"/>
  <c r="G276" i="65"/>
  <c r="H276" i="65" s="1"/>
  <c r="G273" i="65"/>
  <c r="H273" i="65" s="1"/>
  <c r="J273" i="65"/>
  <c r="J200" i="65"/>
  <c r="G200" i="65"/>
  <c r="H200" i="65" s="1"/>
  <c r="G64" i="65"/>
  <c r="H64" i="65" s="1"/>
  <c r="J64" i="65"/>
  <c r="G187" i="65"/>
  <c r="H187" i="65" s="1"/>
  <c r="J187" i="65"/>
  <c r="J108" i="65"/>
  <c r="G108" i="65"/>
  <c r="H108" i="65" s="1"/>
  <c r="G139" i="65"/>
  <c r="H139" i="65" s="1"/>
  <c r="J139" i="65"/>
  <c r="G336" i="65"/>
  <c r="H336" i="65" s="1"/>
  <c r="J336" i="65"/>
  <c r="J226" i="65"/>
  <c r="G226" i="65"/>
  <c r="H226" i="65" s="1"/>
  <c r="G247" i="65"/>
  <c r="H247" i="65" s="1"/>
  <c r="J247" i="65"/>
  <c r="J290" i="65"/>
  <c r="G290" i="65"/>
  <c r="H290" i="65" s="1"/>
  <c r="J78" i="65"/>
  <c r="G78" i="65"/>
  <c r="H78" i="65" s="1"/>
  <c r="G313" i="65"/>
  <c r="H313" i="65" s="1"/>
  <c r="J313" i="65"/>
  <c r="G244" i="65"/>
  <c r="H244" i="65" s="1"/>
  <c r="J244" i="65"/>
  <c r="G331" i="65"/>
  <c r="H331" i="65" s="1"/>
  <c r="J331" i="65"/>
  <c r="G77" i="65"/>
  <c r="H77" i="65" s="1"/>
  <c r="J77" i="65"/>
  <c r="G268" i="65"/>
  <c r="H268" i="65" s="1"/>
  <c r="J268" i="65"/>
  <c r="J18" i="65"/>
  <c r="G18" i="65"/>
  <c r="H18" i="65" s="1"/>
  <c r="G295" i="65"/>
  <c r="H295" i="65" s="1"/>
  <c r="J295" i="65"/>
  <c r="G140" i="65" l="1"/>
  <c r="H140" i="65" s="1"/>
  <c r="J140" i="65"/>
  <c r="G67" i="65"/>
  <c r="H67" i="65" s="1"/>
  <c r="J67" i="65"/>
  <c r="G81" i="65"/>
  <c r="H81" i="65" s="1"/>
  <c r="J81" i="65"/>
  <c r="G94" i="65"/>
  <c r="H94" i="65" s="1"/>
  <c r="J94" i="65"/>
  <c r="J26" i="65"/>
  <c r="G26" i="65"/>
  <c r="H26" i="65" s="1"/>
  <c r="G58" i="65"/>
  <c r="H58" i="65" s="1"/>
  <c r="J58" i="65"/>
  <c r="G333" i="65"/>
  <c r="H333" i="65" s="1"/>
  <c r="J333" i="65"/>
  <c r="J142" i="65"/>
  <c r="G142" i="65"/>
  <c r="H142" i="65" s="1"/>
  <c r="G179" i="65"/>
  <c r="H179" i="65" s="1"/>
  <c r="J179" i="65"/>
  <c r="J17" i="65"/>
  <c r="G17" i="65"/>
  <c r="H17" i="65" s="1"/>
  <c r="J272" i="65"/>
  <c r="G272" i="65"/>
  <c r="H272" i="65" s="1"/>
  <c r="J59" i="65"/>
  <c r="G59" i="65"/>
  <c r="H59" i="65" s="1"/>
  <c r="J312" i="65"/>
  <c r="G312" i="65"/>
  <c r="H312" i="65" s="1"/>
  <c r="G239" i="65"/>
  <c r="H239" i="65" s="1"/>
  <c r="J239" i="65"/>
  <c r="G24" i="65"/>
  <c r="H24" i="65" s="1"/>
  <c r="J24" i="65"/>
  <c r="G197" i="65"/>
  <c r="H197" i="65" s="1"/>
  <c r="J197" i="65"/>
  <c r="J122" i="65"/>
  <c r="G122" i="65"/>
  <c r="H122" i="65" s="1"/>
  <c r="J118" i="65"/>
  <c r="G118" i="65"/>
  <c r="H118" i="65" s="1"/>
  <c r="J248" i="65"/>
  <c r="G248" i="65"/>
  <c r="H248" i="65" s="1"/>
  <c r="G202" i="65"/>
  <c r="H202" i="65" s="1"/>
  <c r="J202" i="65"/>
  <c r="G325" i="65"/>
  <c r="H325" i="65" s="1"/>
  <c r="J325" i="65"/>
  <c r="G87" i="65"/>
  <c r="H87" i="65" s="1"/>
  <c r="J87" i="65"/>
  <c r="DH10" i="49" l="1"/>
  <c r="DH4" i="49" s="1"/>
  <c r="DU10" i="49" l="1"/>
  <c r="EO10" i="49"/>
  <c r="EJ10" i="49" l="1"/>
  <c r="EG10" i="49"/>
  <c r="EN10" i="49"/>
  <c r="EK10" i="49" l="1"/>
  <c r="EL10" i="49" l="1"/>
  <c r="DM10" i="49" l="1"/>
  <c r="DN10" i="49" l="1"/>
  <c r="DP10" i="49" l="1"/>
  <c r="DP4" i="49" l="1"/>
  <c r="DS10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H5" authorId="0" shapeId="0" xr:uid="{21412658-D8CD-48CC-A741-ACBC0CC4B89A}">
      <text>
        <r>
          <rPr>
            <b/>
            <sz val="12"/>
            <color indexed="81"/>
            <rFont val="Tahoma"/>
            <family val="2"/>
          </rPr>
          <t>Hạch toán lương NVK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P5" authorId="0" shapeId="0" xr:uid="{A9795DEF-EF8B-449A-A35E-8BAC235803FC}">
      <text>
        <r>
          <rPr>
            <b/>
            <sz val="12"/>
            <color indexed="81"/>
            <rFont val="Tahoma"/>
            <family val="2"/>
          </rPr>
          <t>Phiếu chi lương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<sst xmlns="http://schemas.openxmlformats.org/spreadsheetml/2006/main" count="3148" uniqueCount="751">
  <si>
    <t>STT</t>
  </si>
  <si>
    <t>Họ và tên</t>
  </si>
  <si>
    <t>Mã Số Thuế</t>
  </si>
  <si>
    <t>Chức vụ</t>
  </si>
  <si>
    <t>Lương cơ bản</t>
  </si>
  <si>
    <t>Ngày lễ</t>
  </si>
  <si>
    <t>Phép</t>
  </si>
  <si>
    <t>Lương QTTNCN</t>
  </si>
  <si>
    <t>Lương BH</t>
  </si>
  <si>
    <t>BHXH
8%</t>
  </si>
  <si>
    <t>BHYT
1,5%</t>
  </si>
  <si>
    <t>BHTN
1%</t>
  </si>
  <si>
    <t>Thực lĩnh</t>
  </si>
  <si>
    <t>Hỗ trợ trang phục</t>
  </si>
  <si>
    <t>Ký nhận</t>
  </si>
  <si>
    <t>Phí công đoàn
2%</t>
  </si>
  <si>
    <t>Phụ nữ</t>
  </si>
  <si>
    <t>Ăn ca</t>
  </si>
  <si>
    <t>BHXH</t>
  </si>
  <si>
    <t>BHYT</t>
  </si>
  <si>
    <t>BHTN</t>
  </si>
  <si>
    <t>I</t>
  </si>
  <si>
    <t>II</t>
  </si>
  <si>
    <t>III</t>
  </si>
  <si>
    <t>IV</t>
  </si>
  <si>
    <t>CN</t>
  </si>
  <si>
    <t>Nguyễn Thị Phương</t>
  </si>
  <si>
    <t>Nguyễn Thị Chúc</t>
  </si>
  <si>
    <t>KCS</t>
  </si>
  <si>
    <t>Nguyễn Thị Lợi</t>
  </si>
  <si>
    <t>Nguyễn Thị Lý</t>
  </si>
  <si>
    <t>Ngô Thị Hoa</t>
  </si>
  <si>
    <t>TỔNG CỘNG</t>
  </si>
  <si>
    <t>Tổng hợp công</t>
  </si>
  <si>
    <t>Ngày nghỉ 100% lương</t>
  </si>
  <si>
    <t>Thưởng doanh thu</t>
  </si>
  <si>
    <t>Các khoản hỗ trợ theo chế độ</t>
  </si>
  <si>
    <t>Tổng thu nhập theo chế độ</t>
  </si>
  <si>
    <t>Tổng thu nhập thực tế</t>
  </si>
  <si>
    <t>Tổng</t>
  </si>
  <si>
    <t xml:space="preserve">Cộng tổng BHXH các khoản nộp </t>
  </si>
  <si>
    <t>Trích vào CP DN</t>
  </si>
  <si>
    <t>Vũ Bích Thủy</t>
  </si>
  <si>
    <t xml:space="preserve">Giảm trừ gia </t>
  </si>
  <si>
    <t>TNTT TNCN</t>
  </si>
  <si>
    <t>Thuế 
TNCN gốc</t>
  </si>
  <si>
    <t xml:space="preserve">Tháng </t>
  </si>
  <si>
    <t xml:space="preserve">năm </t>
  </si>
  <si>
    <t>CÔNG TY TNHH QUANG THỊNH PHÁT BẮC GIANG</t>
  </si>
  <si>
    <t>Ngô Đức Hòa</t>
  </si>
  <si>
    <t>Vũ Thị Thanh</t>
  </si>
  <si>
    <t>Nguyễn Đăng Nam</t>
  </si>
  <si>
    <t>Lô Thị Yến</t>
  </si>
  <si>
    <t>Giáp Hùng Vỹ</t>
  </si>
  <si>
    <t>Vũ Xuân Hòa</t>
  </si>
  <si>
    <t>Vũ Văn Thành</t>
  </si>
  <si>
    <t>Đỗ Văn Thường</t>
  </si>
  <si>
    <t>Phạm Văn Thành</t>
  </si>
  <si>
    <t>Phan Đình Thùy</t>
  </si>
  <si>
    <t>Nguyễn Thị Tuyến</t>
  </si>
  <si>
    <t>Vũ Xuân Hạnh</t>
  </si>
  <si>
    <t>Đỗ Hoàng Huấn</t>
  </si>
  <si>
    <t>Vũ Thị Quyền</t>
  </si>
  <si>
    <t xml:space="preserve">Ngô Thị Hạnh </t>
  </si>
  <si>
    <t>Lê Thị Loan</t>
  </si>
  <si>
    <t>Nguyễn Thị Quê</t>
  </si>
  <si>
    <t>Ong Thị Thoa</t>
  </si>
  <si>
    <t>Hoàng Thị Thị</t>
  </si>
  <si>
    <t>Trần Thúy Lệ</t>
  </si>
  <si>
    <t>Trần Thị Dịu</t>
  </si>
  <si>
    <t>Trần Thị Nở</t>
  </si>
  <si>
    <t>Mông Thị Hoa</t>
  </si>
  <si>
    <t>Thân Thị Huế</t>
  </si>
  <si>
    <t>Dương Thị Hường</t>
  </si>
  <si>
    <t>Thân Thị Ban</t>
  </si>
  <si>
    <t>Đỗ Thị Hảo</t>
  </si>
  <si>
    <t>Nguyễn Thị Thật</t>
  </si>
  <si>
    <t>Đặng Thị Kim</t>
  </si>
  <si>
    <t>Hoàng Thị Lâm</t>
  </si>
  <si>
    <t>Thân Thị Nghệ</t>
  </si>
  <si>
    <t>Hứa Văn Thành</t>
  </si>
  <si>
    <t>Nguyễn Thị Tuyết</t>
  </si>
  <si>
    <t>Đồng Thị Thêm</t>
  </si>
  <si>
    <t>Đỗ Thị Nhàn</t>
  </si>
  <si>
    <t>Thân Văn Bắc</t>
  </si>
  <si>
    <t>Lục Thị Nguyên</t>
  </si>
  <si>
    <t>Giáp Thị Thiện</t>
  </si>
  <si>
    <t>Giáp Thị Thơm</t>
  </si>
  <si>
    <t>Tống Thị Nhã</t>
  </si>
  <si>
    <t>Giáp Thị Ngát</t>
  </si>
  <si>
    <t>Hoàng Thị Nguyệt</t>
  </si>
  <si>
    <t>Đồng Thị Bẩy</t>
  </si>
  <si>
    <t>Hoàng Thị Mỵ</t>
  </si>
  <si>
    <t>Vy Thúy Nga</t>
  </si>
  <si>
    <t>Quang Thị Hoàn</t>
  </si>
  <si>
    <t>Nguyễn Thị Thiện</t>
  </si>
  <si>
    <t>Vũ Thị Thắm</t>
  </si>
  <si>
    <t>Nguyễn Thị Đảm</t>
  </si>
  <si>
    <t>Đào Thị Thuỳ</t>
  </si>
  <si>
    <t>Nguyễn Thị Huyền</t>
  </si>
  <si>
    <t>Giáp Văn Kiên</t>
  </si>
  <si>
    <t>Nguyễn Văn Lành</t>
  </si>
  <si>
    <t>Nguyễn Văn Doanh</t>
  </si>
  <si>
    <t>Nguyễn Văn Đính</t>
  </si>
  <si>
    <t>Đặng Văn Đồng</t>
  </si>
  <si>
    <t>Đồng Văn Hùng</t>
  </si>
  <si>
    <t>Nguyễn Văn Đoàn</t>
  </si>
  <si>
    <t>Phạm Trọng Bằng</t>
  </si>
  <si>
    <t>Vũ Văn Bừng</t>
  </si>
  <si>
    <t>Trương Văn Tuyển</t>
  </si>
  <si>
    <t>Nguyễn Thanh Vân</t>
  </si>
  <si>
    <t>Dương Văn Đức</t>
  </si>
  <si>
    <t>Nguyễn Văn Linh</t>
  </si>
  <si>
    <t>Nguyễn Văn Bền</t>
  </si>
  <si>
    <t>Lê Tuấn Anh</t>
  </si>
  <si>
    <t>Đào Văn Tuấn</t>
  </si>
  <si>
    <t>Đồng Văn Pháp</t>
  </si>
  <si>
    <t>Nguyễn Văn Phóng</t>
  </si>
  <si>
    <t>Dương Văn Hưng</t>
  </si>
  <si>
    <t>Đặng Đình Đông</t>
  </si>
  <si>
    <t>Nguyễn Trung Thuần</t>
  </si>
  <si>
    <t>Vũ Văn Tuấn</t>
  </si>
  <si>
    <t>Đồng Bá Vỹ</t>
  </si>
  <si>
    <t>Mông Văn Cương</t>
  </si>
  <si>
    <t>Phạm Văn Long</t>
  </si>
  <si>
    <t>Dương Thị Hồng</t>
  </si>
  <si>
    <t>Ngô Văn Trang</t>
  </si>
  <si>
    <t>Thân Văn Lưu</t>
  </si>
  <si>
    <t>Nguyễn Văn Khoát</t>
  </si>
  <si>
    <t>Trần Bá Ngát</t>
  </si>
  <si>
    <t>Hoàng Văn Quyền</t>
  </si>
  <si>
    <t>Nghiêm Văn Thắng</t>
  </si>
  <si>
    <t>Hoàng Văn Khanh</t>
  </si>
  <si>
    <t>Hoàng Văn Hải</t>
  </si>
  <si>
    <t>Nguyễn Văn Thắm</t>
  </si>
  <si>
    <t>Đỗ Văn Phục</t>
  </si>
  <si>
    <t>Lê Văn Hoan</t>
  </si>
  <si>
    <t>Lâm Văn Huy</t>
  </si>
  <si>
    <t>Nguyễn Văn Ngũ</t>
  </si>
  <si>
    <t>Phạm Văn Đức</t>
  </si>
  <si>
    <t>Đặng Đình Tuấn</t>
  </si>
  <si>
    <t>Hà Quang Tuấn</t>
  </si>
  <si>
    <t>Ngô Văn Thịnh</t>
  </si>
  <si>
    <t>Vũ Văn Phục</t>
  </si>
  <si>
    <t>Nguyễn Thị Huấn</t>
  </si>
  <si>
    <t>Đặng Thị Cần</t>
  </si>
  <si>
    <t>Nguyễn Thị Ngọc</t>
  </si>
  <si>
    <t>Lý Thị Hanh</t>
  </si>
  <si>
    <t>Đàm Thị Gấm</t>
  </si>
  <si>
    <t>Hoàng Văn Toan</t>
  </si>
  <si>
    <t>Vương Thị Cường</t>
  </si>
  <si>
    <t>Nguyễn Thị Nước</t>
  </si>
  <si>
    <t>Triệu Kim Xuyến</t>
  </si>
  <si>
    <t>Hà Thị Hằng</t>
  </si>
  <si>
    <t>Lâm Thị Bích</t>
  </si>
  <si>
    <t>Ngô Văn Dưỡng</t>
  </si>
  <si>
    <t>Vương Thị Nhi</t>
  </si>
  <si>
    <t>Vương Thị Thắm</t>
  </si>
  <si>
    <t>Nông Thị Phong</t>
  </si>
  <si>
    <t>Vi Văn Hiệu</t>
  </si>
  <si>
    <t>Hứa Văn Đức</t>
  </si>
  <si>
    <t>8558749906 </t>
  </si>
  <si>
    <t>4900540196 </t>
  </si>
  <si>
    <t>8578027232 </t>
  </si>
  <si>
    <t>8451906391</t>
  </si>
  <si>
    <t>8478073348</t>
  </si>
  <si>
    <t>8673716578 </t>
  </si>
  <si>
    <t>Xe nâng</t>
  </si>
  <si>
    <t>Ép nóng</t>
  </si>
  <si>
    <t>Ép phim</t>
  </si>
  <si>
    <t>Trà mặt</t>
  </si>
  <si>
    <t>8468066253</t>
  </si>
  <si>
    <t>8696322202 </t>
  </si>
  <si>
    <t>Phạm Thị Hằng</t>
  </si>
  <si>
    <t>Nguyễn Văn Bình</t>
  </si>
  <si>
    <t>Trích trừ BH vào lương</t>
  </si>
  <si>
    <t xml:space="preserve">Thuế 
TNCN chuẩn </t>
  </si>
  <si>
    <t>Tổng giảm trừ</t>
  </si>
  <si>
    <t>Người PT</t>
  </si>
  <si>
    <t>Nguyễn Thị Ngân</t>
  </si>
  <si>
    <t>Giới tính</t>
  </si>
  <si>
    <t>BẢNG THANH TOÁN LƯƠNG</t>
  </si>
  <si>
    <t>Cắt lọc</t>
  </si>
  <si>
    <t xml:space="preserve">Nguyễn Văn Hân </t>
  </si>
  <si>
    <t>Ngô Văn Vân</t>
  </si>
  <si>
    <t xml:space="preserve">Trần Thị Chương </t>
  </si>
  <si>
    <t>Nguyễn Văn Tuyền</t>
  </si>
  <si>
    <t xml:space="preserve">Nguyễn Hồng Gấm </t>
  </si>
  <si>
    <t>Hoàng Văn Tuấn</t>
  </si>
  <si>
    <t>Hoàng Thị Huyền</t>
  </si>
  <si>
    <t>Dương Công Lâm</t>
  </si>
  <si>
    <t>Phạm Xuân Giang</t>
  </si>
  <si>
    <t>Nguyễn Thị Kim</t>
  </si>
  <si>
    <t>Đặng Thị Sính</t>
  </si>
  <si>
    <t>Tiêu Thị Bắc</t>
  </si>
  <si>
    <t>Chu Hồng Khôi</t>
  </si>
  <si>
    <t>Đặng Thị Điệp</t>
  </si>
  <si>
    <t>Vi Thị Lìm</t>
  </si>
  <si>
    <t>Nguyễn Văn Hoàng</t>
  </si>
  <si>
    <t>Nguyễn Văn Quyền</t>
  </si>
  <si>
    <t>Nguyễn Mạnh Hưng</t>
  </si>
  <si>
    <t>Đức Minh Tạo</t>
  </si>
  <si>
    <t>Lê Văn Giang</t>
  </si>
  <si>
    <t>Nông Văn Thuần</t>
  </si>
  <si>
    <t>Hoàng Thị Lượng</t>
  </si>
  <si>
    <t>Trịnh Xuân Tân</t>
  </si>
  <si>
    <t>Nguyễn Hoàng Hải</t>
  </si>
  <si>
    <t>Nguyễn Văn Phong</t>
  </si>
  <si>
    <t>Hoàng Thị Đào</t>
  </si>
  <si>
    <t>Đào Thế Công</t>
  </si>
  <si>
    <t>Hoàng Văn Luyện</t>
  </si>
  <si>
    <t>Hà Văn Hải</t>
  </si>
  <si>
    <t>Hoàng Văn Hà</t>
  </si>
  <si>
    <t>Nguyễn Thị Dương</t>
  </si>
  <si>
    <t>Trịnh Trung Kiên</t>
  </si>
  <si>
    <t>Hoàng Thị Tôn</t>
  </si>
  <si>
    <t>Lê Thị Yến</t>
  </si>
  <si>
    <t>Trần Văn Lịch</t>
  </si>
  <si>
    <t>Hứa Thị Chung</t>
  </si>
  <si>
    <t>Nguyễn Thị Hà</t>
  </si>
  <si>
    <t xml:space="preserve">Lý Thị Thế </t>
  </si>
  <si>
    <t>Lý Thị Thêu</t>
  </si>
  <si>
    <t>Lý Thị Thu</t>
  </si>
  <si>
    <t>Sầm Văn Trường</t>
  </si>
  <si>
    <t>Nguyễn Thị Hưng</t>
  </si>
  <si>
    <t>Nguyễn Văn Kỳ</t>
  </si>
  <si>
    <t>8890139448</t>
  </si>
  <si>
    <t>Nguyễn Thị Thương</t>
  </si>
  <si>
    <t>Vi Thị Thuận</t>
  </si>
  <si>
    <t>8890139127</t>
  </si>
  <si>
    <t>Vũ Thị Dung</t>
  </si>
  <si>
    <t>8890139159</t>
  </si>
  <si>
    <t>Trần Thị Nhung</t>
  </si>
  <si>
    <t>Nguyễn Văn Bằng</t>
  </si>
  <si>
    <t>8890139173</t>
  </si>
  <si>
    <t>Triệu Thị Lành</t>
  </si>
  <si>
    <t>Hoàng Thị Hợp</t>
  </si>
  <si>
    <t>8890139751</t>
  </si>
  <si>
    <t>Lê Thị Tám</t>
  </si>
  <si>
    <t>Trần Văn Toán</t>
  </si>
  <si>
    <t>Ninh Đắc Hải</t>
  </si>
  <si>
    <t>Nguyễn Hùng Mạnh</t>
  </si>
  <si>
    <t>Đặng Văn Toán</t>
  </si>
  <si>
    <t>Nguyễn Văn Hoa</t>
  </si>
  <si>
    <t>Nguyễn Thị Hoài</t>
  </si>
  <si>
    <t>Tạ Thị Chi</t>
  </si>
  <si>
    <t>8890139208</t>
  </si>
  <si>
    <t>Lý A Sóong</t>
  </si>
  <si>
    <t>Hoàng Thị Tươi</t>
  </si>
  <si>
    <t>8890139222</t>
  </si>
  <si>
    <t>Lê Thị Trình</t>
  </si>
  <si>
    <t>Vi Văn Học</t>
  </si>
  <si>
    <t>8890139254</t>
  </si>
  <si>
    <t>Nguyễn Thị Thảo</t>
  </si>
  <si>
    <t>Đinh Thị Thanh</t>
  </si>
  <si>
    <t>8890139279</t>
  </si>
  <si>
    <t>Vi Thị Nguyệt</t>
  </si>
  <si>
    <t>Lý Thị Thông</t>
  </si>
  <si>
    <t>8890139293</t>
  </si>
  <si>
    <t>Dương Văn Tuân</t>
  </si>
  <si>
    <t>Lý Thị Thúy</t>
  </si>
  <si>
    <t>Hoàng Văn Võ</t>
  </si>
  <si>
    <t>8890139310</t>
  </si>
  <si>
    <t>Dương Thị Thuyên</t>
  </si>
  <si>
    <t>Vi Thị Mười</t>
  </si>
  <si>
    <t>Nguyễn Thị Hoa</t>
  </si>
  <si>
    <t>Vi Thị Hiền</t>
  </si>
  <si>
    <t>Nguyễn Văn Lang</t>
  </si>
  <si>
    <t>Nông Văn Hoàng</t>
  </si>
  <si>
    <t>Nguyễn Thị Huệ</t>
  </si>
  <si>
    <t>Vi Văn Sơn</t>
  </si>
  <si>
    <t>8890139399</t>
  </si>
  <si>
    <t>Hoàng Thị Dũng</t>
  </si>
  <si>
    <t>8890139409</t>
  </si>
  <si>
    <t>Lưu Văn Thực</t>
  </si>
  <si>
    <t>Đỗ Thị Lanh</t>
  </si>
  <si>
    <t>Thi Thị Bích</t>
  </si>
  <si>
    <t>Đồng Thị Thoảng</t>
  </si>
  <si>
    <t>Triệu Thị Nhàn</t>
  </si>
  <si>
    <t>Lý Thành La</t>
  </si>
  <si>
    <t>Nguyễn Văn Ngọc</t>
  </si>
  <si>
    <t>Nguyễn Văn Huy</t>
  </si>
  <si>
    <t>Nguyễn Minh Châu</t>
  </si>
  <si>
    <t>Hoàng Doãn Hoà</t>
  </si>
  <si>
    <t>8890139423</t>
  </si>
  <si>
    <t>Me Thị Nhung</t>
  </si>
  <si>
    <t>Đỗ Thị Hường</t>
  </si>
  <si>
    <t>Nguyễn Thị Công</t>
  </si>
  <si>
    <t>Nguyễn Văn Tâm</t>
  </si>
  <si>
    <t>Quản Văn Hợi</t>
  </si>
  <si>
    <t>Hoàng Hồng Thiệp</t>
  </si>
  <si>
    <t>8890139430</t>
  </si>
  <si>
    <t>Nguyễn Thị Tâm</t>
  </si>
  <si>
    <t>Tô Thị Huỳnh</t>
  </si>
  <si>
    <t>Lâm Đức Thuận</t>
  </si>
  <si>
    <t>Nguyễn Thị Thiết</t>
  </si>
  <si>
    <t>Lương Thị Hoa</t>
  </si>
  <si>
    <t>Hà Văn Át</t>
  </si>
  <si>
    <t>Trần Văn Sinh</t>
  </si>
  <si>
    <t>Lương Thị Càn</t>
  </si>
  <si>
    <t>Lường Văn Ngoẹn</t>
  </si>
  <si>
    <t>Ngô Thế Vân</t>
  </si>
  <si>
    <t>Bùi Thế Chính</t>
  </si>
  <si>
    <t>Nguyễn Xuân Huấn</t>
  </si>
  <si>
    <t>Dương Ngọc Thành</t>
  </si>
  <si>
    <t>Quách Văn Nam</t>
  </si>
  <si>
    <t>Phùng Thị Viên</t>
  </si>
  <si>
    <t>8890139367</t>
  </si>
  <si>
    <t>Vương Văn Thiều</t>
  </si>
  <si>
    <t>Đinh Văn Luyện</t>
  </si>
  <si>
    <t>Hót mùn</t>
  </si>
  <si>
    <t>8890139335</t>
  </si>
  <si>
    <t>Thân Văn Đượng</t>
  </si>
  <si>
    <t>Ma Văn Thông</t>
  </si>
  <si>
    <t>Doanh Thu:</t>
  </si>
  <si>
    <t>Mông Thị Tỵ</t>
  </si>
  <si>
    <t>Nguyễn Trường Sinh</t>
  </si>
  <si>
    <t>Nguyễn Văn Mạnh</t>
  </si>
  <si>
    <t>Nguyễn Trung Tuyên</t>
  </si>
  <si>
    <t>Nguyễn Văn Bích</t>
  </si>
  <si>
    <t>Hoàng Thúy Hiển</t>
  </si>
  <si>
    <t>Nguyễn Thị Lan</t>
  </si>
  <si>
    <t>Đồng Thị Hằng</t>
  </si>
  <si>
    <t>Nguyễn Thị Thành</t>
  </si>
  <si>
    <t>Dương Văn Tuấn</t>
  </si>
  <si>
    <t>Nguyễn Thị Nguyệt</t>
  </si>
  <si>
    <t>Ngày sinh</t>
  </si>
  <si>
    <t xml:space="preserve">Lương Phép </t>
  </si>
  <si>
    <t>Tổng Lương Phép + Thưởng Lương T13</t>
  </si>
  <si>
    <t>Thưởng Lương T13</t>
  </si>
  <si>
    <t>Lê Ngọc Biên</t>
  </si>
  <si>
    <t>Nguyễn Đức Cường</t>
  </si>
  <si>
    <t>Nguyễn Văn Chung</t>
  </si>
  <si>
    <t>Đinh Văn Lạng</t>
  </si>
  <si>
    <t>Chu Văn Vĩnh</t>
  </si>
  <si>
    <t>Dương Công Tài</t>
  </si>
  <si>
    <t>Lăng Văn Biên</t>
  </si>
  <si>
    <t>Lưu Thị Nga</t>
  </si>
  <si>
    <t>Triệu Văn Quyền</t>
  </si>
  <si>
    <t>Hà Văn Thành</t>
  </si>
  <si>
    <t>Nguyễn Văn Tăng</t>
  </si>
  <si>
    <t>Nguyễn Văn Quang</t>
  </si>
  <si>
    <t>Vũ Phương Thanh</t>
  </si>
  <si>
    <t>8658904552</t>
  </si>
  <si>
    <t>Nghiêm Thị Tuyến</t>
  </si>
  <si>
    <t>Mùi Văn Bích</t>
  </si>
  <si>
    <t>CÁC KHOẢN HỖ TRỢ</t>
  </si>
  <si>
    <t>BỘ PHẬN QUẢN LÝ</t>
  </si>
  <si>
    <t>Ngày Công
Ca Ngày</t>
  </si>
  <si>
    <t>Ngày Công
Ca Đêm</t>
  </si>
  <si>
    <t>TỔNG CÔNG</t>
  </si>
  <si>
    <t>Bả máy</t>
  </si>
  <si>
    <t>SẢN XUẤT</t>
  </si>
  <si>
    <t>V</t>
  </si>
  <si>
    <t>VI</t>
  </si>
  <si>
    <t>Tổng công tăng ca</t>
  </si>
  <si>
    <t>Tăng ca đêm</t>
  </si>
  <si>
    <t>Tăng ca ngày</t>
  </si>
  <si>
    <t>Tăng ca lễ ngày</t>
  </si>
  <si>
    <t>Tăng ca lễ đêm</t>
  </si>
  <si>
    <t>Tăng ca CN ngày</t>
  </si>
  <si>
    <t>Tăng ca CN Đêm</t>
  </si>
  <si>
    <t>Công thường ca ngày</t>
  </si>
  <si>
    <t>Số giờ ca đêm tính giờ ban ngày (100%)</t>
  </si>
  <si>
    <t>Số giờ tăng ca ngày (150%)</t>
  </si>
  <si>
    <t>Số giờ làm ca đêm thường (130%)</t>
  </si>
  <si>
    <t>Số giờ làm thêm ca đêm không làm ca ngày (200%)</t>
  </si>
  <si>
    <t>Số giờ làm thêm ca đêm có làm ca ngày (210%)</t>
  </si>
  <si>
    <t>Số giờ làm thêm ca đêm  CN (270%)</t>
  </si>
  <si>
    <t>Công làm thêm CN ca ngày (200%)</t>
  </si>
  <si>
    <t>Công đi làm ngày lễ ca ngày (300%)</t>
  </si>
  <si>
    <t>Công đi làm ngày lễ ca đêm (390%)</t>
  </si>
  <si>
    <t>Các khoản lương/thưởng</t>
  </si>
  <si>
    <t>Lương giờ ngày+ ngày nghỉ hưởng 100% lương</t>
  </si>
  <si>
    <t>Lương làm thêm ca ngày, ngày thường (150%)</t>
  </si>
  <si>
    <t>Lương ca đêm thường (130%)</t>
  </si>
  <si>
    <t>Lương làm thêm ca đêm Không làm ngày (200%)</t>
  </si>
  <si>
    <t>Lương làm thêm ca đêm có làm ngày (210%)</t>
  </si>
  <si>
    <t>Làm thêm ca đêm CN (270%)</t>
  </si>
  <si>
    <t>Lương làm chủ nhật ca ngày (200%)</t>
  </si>
  <si>
    <t>Lương làm  ngày lễ Ca ngày (300%)</t>
  </si>
  <si>
    <t>Làm thêm ca đêm ngày lễ (390%)</t>
  </si>
  <si>
    <t>Tổng lương</t>
  </si>
  <si>
    <t xml:space="preserve">Thuế TNCN </t>
  </si>
  <si>
    <t>Tổng các khoản Trừ</t>
  </si>
  <si>
    <t>Tổng cộng trừ BH</t>
  </si>
  <si>
    <t>NHÂN VIÊN KINH DOANH</t>
  </si>
  <si>
    <t>LÁI XE</t>
  </si>
  <si>
    <t>CÔNG NHẬT</t>
  </si>
  <si>
    <t>QUẢN LÝ SẢN XUẤT</t>
  </si>
  <si>
    <t>Nguyễn Văn Thà</t>
  </si>
  <si>
    <t xml:space="preserve">Thưởng </t>
  </si>
  <si>
    <t>Thưởng năng suất</t>
  </si>
  <si>
    <t>CÔNG TĂNG CA</t>
  </si>
  <si>
    <t>Lương Thị Thu</t>
  </si>
  <si>
    <t>Lý Thị Ét</t>
  </si>
  <si>
    <t>Nguyễn Tuyết Mừng</t>
  </si>
  <si>
    <t>Hoàng Văn Nguyên</t>
  </si>
  <si>
    <t>Hàn Thị Thoa</t>
  </si>
  <si>
    <t>Hoàng Thị Chuyên</t>
  </si>
  <si>
    <t>Vũ Văn Phú</t>
  </si>
  <si>
    <t>Trần Văn Hồng</t>
  </si>
  <si>
    <t>Mai Văn Điểm</t>
  </si>
  <si>
    <t>Đinh Văn Hải</t>
  </si>
  <si>
    <t>Hoàng Văn Đô</t>
  </si>
  <si>
    <t>Ngô Văn Chính</t>
  </si>
  <si>
    <t>Nguyễn Văn Thành</t>
  </si>
  <si>
    <t>Nguyễn Tiến Công</t>
  </si>
  <si>
    <t>Phan Văn Tài</t>
  </si>
  <si>
    <t>Đặng Đình Tùng</t>
  </si>
  <si>
    <t>Vi Văn Định</t>
  </si>
  <si>
    <t>Lâm Văn Vọ</t>
  </si>
  <si>
    <t>Nguyễn Văn Trường</t>
  </si>
  <si>
    <t>Hoàng Đức Thắng</t>
  </si>
  <si>
    <t>Nguyễn Bá Tuyến</t>
  </si>
  <si>
    <t>Trần Văn Hiên</t>
  </si>
  <si>
    <t>Nguyễn Văn Phương</t>
  </si>
  <si>
    <t>Phùng Thị Át</t>
  </si>
  <si>
    <t>Nguyễn Sinh Phúc</t>
  </si>
  <si>
    <t>Nguyễn Văn Toàn</t>
  </si>
  <si>
    <t>Bàn Thị Xuân</t>
  </si>
  <si>
    <t>Hoàng Thị La</t>
  </si>
  <si>
    <t>Triệu Văn Quý</t>
  </si>
  <si>
    <t>Triệu Thị Đường</t>
  </si>
  <si>
    <t>Hoàng Thị Xuân</t>
  </si>
  <si>
    <t>Mã Văn Đồng</t>
  </si>
  <si>
    <t>Hoàng Văn Dân</t>
  </si>
  <si>
    <t>Đặng Hữu Lâm</t>
  </si>
  <si>
    <t>Đặng Văn Tiên</t>
  </si>
  <si>
    <t>Quản Văn Trịnh</t>
  </si>
  <si>
    <t>Phan Văn Phượng</t>
  </si>
  <si>
    <t>Hoàng Văn Thân</t>
  </si>
  <si>
    <t>Đặng Quang Chuyên</t>
  </si>
  <si>
    <t>Bàn Tài Hinh</t>
  </si>
  <si>
    <t>Vi Văn Vinh</t>
  </si>
  <si>
    <t>Đặng Hữu Phúc</t>
  </si>
  <si>
    <t>Tô Văn Dĩnh</t>
  </si>
  <si>
    <t>Lê Thị Tơ</t>
  </si>
  <si>
    <t>Hà Thị Giang</t>
  </si>
  <si>
    <t>Nguyễn Thị Nga</t>
  </si>
  <si>
    <t>Vũ Văn Đức</t>
  </si>
  <si>
    <t>Nguyễn Văn Thật</t>
  </si>
  <si>
    <t>Bàn Phúc An</t>
  </si>
  <si>
    <t>Trần Xuân Quế</t>
  </si>
  <si>
    <t>Bàn Tài Hùng</t>
  </si>
  <si>
    <t>Lê Văn Sinh</t>
  </si>
  <si>
    <t>Hoàng Văn Diệu</t>
  </si>
  <si>
    <t>Nguyễn Chí Thành</t>
  </si>
  <si>
    <t>Ngô Văn Sáng</t>
  </si>
  <si>
    <t>Trần Thanh Tưởng</t>
  </si>
  <si>
    <t>Trương Vĩ Khang</t>
  </si>
  <si>
    <t>Bàng Trọng Thuy</t>
  </si>
  <si>
    <t>Hoàng Thị Nhanh</t>
  </si>
  <si>
    <t>Trần Văn Đà</t>
  </si>
  <si>
    <t>Vi Văn Hậu</t>
  </si>
  <si>
    <t>Hoàng Thị Biện</t>
  </si>
  <si>
    <t>Trần Thị Thanh</t>
  </si>
  <si>
    <t>Nguyễn Viết Tân</t>
  </si>
  <si>
    <t xml:space="preserve">Nguyễn Văn Thái </t>
  </si>
  <si>
    <t>Long Văn Khụt</t>
  </si>
  <si>
    <t>Lăng Đình Tỉnh</t>
  </si>
  <si>
    <t>Đoàn Văn Thắng</t>
  </si>
  <si>
    <t>Phương Thị Tới</t>
  </si>
  <si>
    <t>Lù Văn Viên</t>
  </si>
  <si>
    <t>Hoàng Minh Sơn</t>
  </si>
  <si>
    <t>Nông Đức Điệp</t>
  </si>
  <si>
    <t>Vũ Đức Quang</t>
  </si>
  <si>
    <t>Nguyễn Khắc Long</t>
  </si>
  <si>
    <t>Hoàng Thị Ngân</t>
  </si>
  <si>
    <t>Nguyễn Thị Hiển</t>
  </si>
  <si>
    <t>Nguyễn Thị Hoài Linh</t>
  </si>
  <si>
    <t>Lương KPI</t>
  </si>
  <si>
    <t>BẢNG TÍNH HỆ SỐ VÀ ĐIỂM CHẤM KPI</t>
  </si>
  <si>
    <t>MST/CCCD</t>
  </si>
  <si>
    <t>Bộ phận</t>
  </si>
  <si>
    <t>Lương thực lĩnh thuế</t>
  </si>
  <si>
    <t>Lương thực lĩnh nội bộ</t>
  </si>
  <si>
    <t>Hệ số KPI</t>
  </si>
  <si>
    <t>Điểm KPI</t>
  </si>
  <si>
    <t>KPI bù thuế TNCN</t>
  </si>
  <si>
    <t>Ghi chú</t>
  </si>
  <si>
    <t>chênh lệch</t>
  </si>
  <si>
    <t>Tiêu chí đánh giá</t>
  </si>
  <si>
    <t>Nội dung chi tiết</t>
  </si>
  <si>
    <t>Thang điểm tối đa</t>
  </si>
  <si>
    <t>Cách tính/nguồn dữ liệu</t>
  </si>
  <si>
    <t>Chứng từ chứng minh</t>
  </si>
  <si>
    <t>Chất lượng sản phẩm</t>
  </si>
  <si>
    <t>Sản phẩm đạt tiêu chuẩn, không lỗi hoặc tỷ lệ lỗi thấp hơn 2%</t>
  </si>
  <si>
    <t>Báo cáo kiểm tra chất lượng (QC)</t>
  </si>
  <si>
    <t xml:space="preserve">Bảng đánh giá </t>
  </si>
  <si>
    <t>Chấp hành nội quy</t>
  </si>
  <si>
    <t>Đi làm đúng giờ, không vi phạm an toàn, không bỏ ca, không hút thuốc trong khu vực cấm</t>
  </si>
  <si>
    <t>Bảng chấm công, biên bản vi phạm</t>
  </si>
  <si>
    <t>Tinh thần làm việc &amp; hợp tác</t>
  </si>
  <si>
    <t>Thái độ tích cực, phối hợp nhóm tốt, hỗ trợ đồng nghiệp</t>
  </si>
  <si>
    <t>Đánh giá của tổ trưởng hoặc quản lý trực tiếp</t>
  </si>
  <si>
    <t>Tuân thủ 5S / vệ sinh khu vực làm việc</t>
  </si>
  <si>
    <t>Giữ gìn nơi làm việc gọn gàng, sạch sẽ</t>
  </si>
  <si>
    <t>Kiểm tra định kỳ hoặc đột xuất</t>
  </si>
  <si>
    <r>
      <t>Sáng kiến/cải tiến</t>
    </r>
    <r>
      <rPr>
        <sz val="10"/>
        <rFont val="Encysoft Times"/>
      </rPr>
      <t xml:space="preserve"> </t>
    </r>
    <r>
      <rPr>
        <i/>
        <sz val="11"/>
        <color theme="1"/>
        <rFont val="Calibri"/>
        <family val="2"/>
        <scheme val="minor"/>
      </rPr>
      <t>(nếu có)</t>
    </r>
  </si>
  <si>
    <t>Đề xuất cải tiến, tiết kiệm vật tư, giảm lỗi</t>
  </si>
  <si>
    <t>Ghi nhận từ tổ trưởng hoặc phòng kỹ thuật</t>
  </si>
  <si>
    <t>Mức điểm KPI</t>
  </si>
  <si>
    <t>Xếp loại</t>
  </si>
  <si>
    <t>Đánh giá</t>
  </si>
  <si>
    <t>90 – 100 điểm</t>
  </si>
  <si>
    <t>Xuất sắc</t>
  </si>
  <si>
    <t>Hoàn thành vượt mức yêu cầu</t>
  </si>
  <si>
    <t>80 – 89 điểm</t>
  </si>
  <si>
    <t>Tốt</t>
  </si>
  <si>
    <t>Hoàn thành tốt nhiệm vụ</t>
  </si>
  <si>
    <t>65 – 79 điểm</t>
  </si>
  <si>
    <t>Đạt</t>
  </si>
  <si>
    <t>Hoàn thành cơ bản yêu cầu</t>
  </si>
  <si>
    <t>50 – 64 điểm</t>
  </si>
  <si>
    <t>Cần cải thiện</t>
  </si>
  <si>
    <t>Hiệu quả thấp</t>
  </si>
  <si>
    <t>Điểm KPI = 50 x Hệ số KPI</t>
  </si>
  <si>
    <t>Dưới 50 điểm</t>
  </si>
  <si>
    <t>Không đạt</t>
  </si>
  <si>
    <t>Không hoàn thành nhiệm vụ</t>
  </si>
  <si>
    <t>Lương thuế trả tiền mặt</t>
  </si>
  <si>
    <t>CHI TM LƯƠNG THUẾ</t>
  </si>
  <si>
    <t>Họ tên</t>
  </si>
  <si>
    <t>Thực nhận</t>
  </si>
  <si>
    <t>Xưởng</t>
  </si>
  <si>
    <t>Q. Chuyền</t>
  </si>
  <si>
    <t>QTP</t>
  </si>
  <si>
    <t>Lê văn hoan</t>
  </si>
  <si>
    <t>TT KCS</t>
  </si>
  <si>
    <t>Hoàng thị Nguyệt</t>
  </si>
  <si>
    <t>TT Công Nhật</t>
  </si>
  <si>
    <t>Nguyễn văn hoàng</t>
  </si>
  <si>
    <t>TT Xe nâng</t>
  </si>
  <si>
    <t>TT Trà, cắt</t>
  </si>
  <si>
    <t>Đồng thị Bẩy</t>
  </si>
  <si>
    <t>Trần thị Tuyến</t>
  </si>
  <si>
    <t>Nguyễn thị đảm</t>
  </si>
  <si>
    <t>Dương thị đợi</t>
  </si>
  <si>
    <t>Nguyễn Thị Thái</t>
  </si>
  <si>
    <t>Nguyễn Thị 
Huyền</t>
  </si>
  <si>
    <t>Quang thị hoàn</t>
  </si>
  <si>
    <t>Hàn thị 
thoa</t>
  </si>
  <si>
    <t>Vy thuý Nga</t>
  </si>
  <si>
    <t>Lương 
Thị Hoa</t>
  </si>
  <si>
    <t>Nguyễn Thị 
Nga</t>
  </si>
  <si>
    <t>Nguyễn thị 
dung</t>
  </si>
  <si>
    <t>Chu Thị Vân</t>
  </si>
  <si>
    <t>Nguyễn thị 
thúy</t>
  </si>
  <si>
    <t>Nguyễn thị thiện</t>
  </si>
  <si>
    <t>Hoàng thị 
Mỵ</t>
  </si>
  <si>
    <t>Ngô thị Hoa</t>
  </si>
  <si>
    <t>Vũ thị thắm</t>
  </si>
  <si>
    <t>Thân thị lệ</t>
  </si>
  <si>
    <t>Ngô thị Hạnh</t>
  </si>
  <si>
    <t>Hoàng thị chuyên</t>
  </si>
  <si>
    <t>Nguyễn Thị Mười</t>
  </si>
  <si>
    <t>Nguyễn mạnh hưng</t>
  </si>
  <si>
    <t>Triệu Văn Hoàng</t>
  </si>
  <si>
    <t>Nguyễn Văn Thái</t>
  </si>
  <si>
    <t>Đinh Văn luyện</t>
  </si>
  <si>
    <t>Phạm Bá Thuấn</t>
  </si>
  <si>
    <t>Nguyễn thị huấn</t>
  </si>
  <si>
    <t>tạp vụ</t>
  </si>
  <si>
    <t>Đặng thị cần</t>
  </si>
  <si>
    <t>Nguyễn thị ngọc</t>
  </si>
  <si>
    <t>Ngô Văn Hiện</t>
  </si>
  <si>
    <t>Palet</t>
  </si>
  <si>
    <t>Nguyễn văn Tâm</t>
  </si>
  <si>
    <t>Hà văn duy</t>
  </si>
  <si>
    <t>Đốt lò</t>
  </si>
  <si>
    <t>Lê văn lộc</t>
  </si>
  <si>
    <t>Nguyễn văn chân</t>
  </si>
  <si>
    <t>Đặng đình quý</t>
  </si>
  <si>
    <t>Vũ xuân Mười</t>
  </si>
  <si>
    <t>Nguyễn Văn Phòng</t>
  </si>
  <si>
    <t>Đào Văn Chương</t>
  </si>
  <si>
    <t>Nguyễn Văn Trung</t>
  </si>
  <si>
    <t>Vũ văn SƠN</t>
  </si>
  <si>
    <t>Hà Văn Hướng</t>
  </si>
  <si>
    <t>Hà Thị Đào</t>
  </si>
  <si>
    <t>Hoàng Thị Dưỡng</t>
  </si>
  <si>
    <t>Vi Thị Hồng</t>
  </si>
  <si>
    <t>Chúc Thị Sẻn</t>
  </si>
  <si>
    <t>Hoàng Thị Loan</t>
  </si>
  <si>
    <t>Thân văn lưu</t>
  </si>
  <si>
    <t>Nguyễn văn huy</t>
  </si>
  <si>
    <t>Hà văn Át</t>
  </si>
  <si>
    <t>Nguyễn trường Sinh</t>
  </si>
  <si>
    <t>Trà Mặt</t>
  </si>
  <si>
    <t>Hoàng Văn Vụ</t>
  </si>
  <si>
    <t>Nguyễn Văn Điền</t>
  </si>
  <si>
    <t>Đặng Đình Tùng A</t>
  </si>
  <si>
    <t>Đặng Phúc Thanh</t>
  </si>
  <si>
    <t>Vi văn sơn</t>
  </si>
  <si>
    <t>cắt lọc</t>
  </si>
  <si>
    <t>Lò Văn Loan</t>
  </si>
  <si>
    <t>Lý Mạnh Hân</t>
  </si>
  <si>
    <t>Nông Văn Thành</t>
  </si>
  <si>
    <t>Nông Văn Chúc</t>
  </si>
  <si>
    <t>C3</t>
  </si>
  <si>
    <t>Nguyễn duy Nhi</t>
  </si>
  <si>
    <t>Trần Thị Mai</t>
  </si>
  <si>
    <t>Trần thị nở</t>
  </si>
  <si>
    <t>C5</t>
  </si>
  <si>
    <t>Trần Thuý Lệ</t>
  </si>
  <si>
    <t>Lê thị trình</t>
  </si>
  <si>
    <t>Lê thị loan</t>
  </si>
  <si>
    <t>BH</t>
  </si>
  <si>
    <t>C7</t>
  </si>
  <si>
    <t>Trần Thị Chương</t>
  </si>
  <si>
    <t>Vũ thị quyền</t>
  </si>
  <si>
    <t>Nguyễn thị thương</t>
  </si>
  <si>
    <t>C8</t>
  </si>
  <si>
    <t>Dương thị thuyên</t>
  </si>
  <si>
    <t>Đặng Thị Toán</t>
  </si>
  <si>
    <t>C9</t>
  </si>
  <si>
    <t>Hoàng thị Tươi</t>
  </si>
  <si>
    <t>Quản văn hợi</t>
  </si>
  <si>
    <t>C10</t>
  </si>
  <si>
    <t>Lý Thị Thuý</t>
  </si>
  <si>
    <t>Nguyễn Thị nguyệt</t>
  </si>
  <si>
    <t>C11</t>
  </si>
  <si>
    <t>Hoàng Thuý Hiển</t>
  </si>
  <si>
    <t>Bàn Thị Nhung</t>
  </si>
  <si>
    <t>Hoàng thị lượng</t>
  </si>
  <si>
    <t>C12</t>
  </si>
  <si>
    <t>Triệu Thị Danh</t>
  </si>
  <si>
    <t>Nguyễn Thị Phòng</t>
  </si>
  <si>
    <t>Nguyễn Thị Doan</t>
  </si>
  <si>
    <t>Kcs mặt</t>
  </si>
  <si>
    <t>Đinh Thị Lê</t>
  </si>
  <si>
    <t>Nguyễn văn kỳ</t>
  </si>
  <si>
    <t>Nguyễn thị huệ</t>
  </si>
  <si>
    <t>Trần bá Ngát</t>
  </si>
  <si>
    <t>Hoàng thị hồng nhung</t>
  </si>
  <si>
    <t>Ép Nóng</t>
  </si>
  <si>
    <t>Nguyễn Xuân Linh</t>
  </si>
  <si>
    <t>Nguyễn Văn Sơn</t>
  </si>
  <si>
    <t>Tạ Hồng Hiếu</t>
  </si>
  <si>
    <t>Trần Văn Đảng</t>
  </si>
  <si>
    <t>Nguyễn Danh Tuấn</t>
  </si>
  <si>
    <t>Hoàng Văn Trang</t>
  </si>
  <si>
    <t>Hoàng Văn Bảo</t>
  </si>
  <si>
    <t>Vũ Văn Thao</t>
  </si>
  <si>
    <t>Hoàng Quang Tuất</t>
  </si>
  <si>
    <t>Nguyễn Văn Tuy</t>
  </si>
  <si>
    <t>Thân văn Đượng</t>
  </si>
  <si>
    <t>Thân Văn Tuấn</t>
  </si>
  <si>
    <t>Dương Văn Hoàn</t>
  </si>
  <si>
    <t>Lê Văn Đoàn</t>
  </si>
  <si>
    <t>Phạm An Phát</t>
  </si>
  <si>
    <t>Dương Văn Điệp</t>
  </si>
  <si>
    <t>Đặng Văn Phong</t>
  </si>
  <si>
    <t>Cao Xuân Giang</t>
  </si>
  <si>
    <t>Đào Văn 
Tuấn</t>
  </si>
  <si>
    <t>Trần Quang Mạnh</t>
  </si>
  <si>
    <t xml:space="preserve">Trịnh Xuân Tân
</t>
  </si>
  <si>
    <t>Vy Văn Hùng</t>
  </si>
  <si>
    <t xml:space="preserve">Trần Văn Sinh
</t>
  </si>
  <si>
    <t>Vũ Văn Đoàn</t>
  </si>
  <si>
    <t>Đồng Bá 
Vỹ</t>
  </si>
  <si>
    <t>Nguyễn 
Hoàng Hải</t>
  </si>
  <si>
    <t>Vũ Văn Tuấn B</t>
  </si>
  <si>
    <t>Ngô Quang Trung</t>
  </si>
  <si>
    <t>Nguyễn Văn Hân</t>
  </si>
  <si>
    <t>Trần văn Hồng</t>
  </si>
  <si>
    <t xml:space="preserve">Nông Văn Hoàng </t>
  </si>
  <si>
    <t>Dương Văn Chung</t>
  </si>
  <si>
    <t>Đồng Khắc Điển</t>
  </si>
  <si>
    <t>Vũ Văn Tuấn A</t>
  </si>
  <si>
    <t>Nguyễn văn doanh</t>
  </si>
  <si>
    <t>Vũ văn phú</t>
  </si>
  <si>
    <t>Quản Văn Chung</t>
  </si>
  <si>
    <t>Hoàng Văn Hiểu</t>
  </si>
  <si>
    <t>Trần Văn Cường</t>
  </si>
  <si>
    <t>Đào Văn Định</t>
  </si>
  <si>
    <t>Bùi Viết Trường</t>
  </si>
  <si>
    <t>Triệu thị Nhàn</t>
  </si>
  <si>
    <t>Đồng Duy Bội</t>
  </si>
  <si>
    <t>bả cạnh</t>
  </si>
  <si>
    <t>Vũ văn quân</t>
  </si>
  <si>
    <t>Nguyễn văn ngũ</t>
  </si>
  <si>
    <t>Lò Văn Ón</t>
  </si>
  <si>
    <t>Vũ văn tài</t>
  </si>
  <si>
    <t>Hoàng Doãn Hòa</t>
  </si>
  <si>
    <t>Lê văn tuấn</t>
  </si>
  <si>
    <t>Nguyễn gia nam</t>
  </si>
  <si>
    <t>Vi Văn Hoàng</t>
  </si>
  <si>
    <t>Lương Văn Tuyền</t>
  </si>
  <si>
    <t>Vi Văn Khánh</t>
  </si>
  <si>
    <t>Vi văn Khoa</t>
  </si>
  <si>
    <t>Vũ Trung Hiếu</t>
  </si>
  <si>
    <t>Nông Văn Chiến</t>
  </si>
  <si>
    <t>Vi Văn Tuyền</t>
  </si>
  <si>
    <t>Nguyễn văn tăng</t>
  </si>
  <si>
    <t>Vũ Văn Tùng</t>
  </si>
  <si>
    <t>Phạm Văn Phú</t>
  </si>
  <si>
    <t>Vũ văn phục</t>
  </si>
  <si>
    <t>Nguyễn hồng giang</t>
  </si>
  <si>
    <t>Nguyễn văn toàn</t>
  </si>
  <si>
    <t>Phan Văn Quang</t>
  </si>
  <si>
    <t>Ngô thế vân</t>
  </si>
  <si>
    <t>Vi văn Hiến</t>
  </si>
  <si>
    <t>Vũ Văn Khoa</t>
  </si>
  <si>
    <t>Ngô văn trang</t>
  </si>
  <si>
    <t>Nguyễn Thị Liên</t>
  </si>
  <si>
    <t>Hoàng văn quyền</t>
  </si>
  <si>
    <t>BV</t>
  </si>
  <si>
    <t>Hoàng văn khanh</t>
  </si>
  <si>
    <t>Nghiêm văn Thắng</t>
  </si>
  <si>
    <t>Đoàn văn thắng(Toàn)</t>
  </si>
  <si>
    <t>Hoàng văn tuấn</t>
  </si>
  <si>
    <t>Hoàng văn hải</t>
  </si>
  <si>
    <t>Lăng đình tỉnh</t>
  </si>
  <si>
    <t xml:space="preserve">Phạm Thị Hằng </t>
  </si>
  <si>
    <t>Lý Thị Thịnh</t>
  </si>
  <si>
    <t>Ngô Thị Bích</t>
  </si>
  <si>
    <t>C1</t>
  </si>
  <si>
    <t>YT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</si>
  <si>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</si>
  <si>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ok (C8)</t>
  </si>
  <si>
    <t>ok (EN)</t>
  </si>
  <si>
    <t>ok(CL)</t>
  </si>
  <si>
    <t>ok(EP)</t>
  </si>
  <si>
    <t>ok(XN)</t>
  </si>
  <si>
    <t>ĐT</t>
  </si>
  <si>
    <t xml:space="preserve">Đặng Thị Toán </t>
  </si>
  <si>
    <t>024087013468</t>
  </si>
  <si>
    <t>024082007242</t>
  </si>
  <si>
    <t>020087011975</t>
  </si>
  <si>
    <t>020087011548</t>
  </si>
  <si>
    <t>Phạm Văn Mạnh</t>
  </si>
  <si>
    <t>Hoàng Thị Nga</t>
  </si>
  <si>
    <t>Hoàng Công Chuyền</t>
  </si>
  <si>
    <t>Phạm Xuân Cường</t>
  </si>
  <si>
    <t>Đỗ Minh Khôi</t>
  </si>
  <si>
    <t>Hàn Văn Thiết</t>
  </si>
  <si>
    <t>020085008260</t>
  </si>
  <si>
    <t>8147978240</t>
  </si>
  <si>
    <t>8569466427</t>
  </si>
  <si>
    <t>8172793589</t>
  </si>
  <si>
    <t>BẢNG TÍNH HỆ SỐ VÀ ĐIỂM CHẤM KPI THÁNG 10</t>
  </si>
  <si>
    <t>Nghỉ việc, báo cắt bảo hiểm luôn, thực tế vẫn đi làm</t>
  </si>
  <si>
    <t>Chênh lệch</t>
  </si>
  <si>
    <t>KPI</t>
  </si>
  <si>
    <t>Thực lĩnh cũ</t>
  </si>
  <si>
    <t>Tổng thu nhập thực tế CŨ</t>
  </si>
  <si>
    <t>{month_str}</t>
  </si>
  <si>
    <t>Phòng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</si>
</sst>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#,##0\ &quot;₫&quot;;\-#,##0\ &quot;₫&quot;"/>
    <numFmt numFmtId="165" formatCode="_-* #,##0.00\ _₫_-;\-* #,##0.00\ _₫_-;_-* &quot;-&quot;??\ _₫_-;_-@_-"/>
    <numFmt numFmtId="166" formatCode="_-* #,##0.00\ _s_o_'_m_-;\-* #,##0.00\ _s_o_'_m_-;_-* &quot;-&quot;??\ _s_o_'_m_-;_-@_-"/>
    <numFmt numFmtId="167" formatCode="_(* #,##0.0_);_(* \(#,##0.0\);_(* &quot;-&quot;??_);_(@_)"/>
    <numFmt numFmtId="168" formatCode="_(* #,##0_);_(* \(#,##0\);_(* &quot;-&quot;??_);_(@_)"/>
    <numFmt numFmtId="169" formatCode="0.0%"/>
    <numFmt numFmtId="170" formatCode="_-* #,##0\ _₫_-;\-* #,##0\ _₫_-;_-* &quot;-&quot;??\ _₫_-;_-@_-"/>
    <numFmt numFmtId="171" formatCode="#,##0_ ;\-#,##0\ "/>
    <numFmt numFmtId="172" formatCode="dd"/>
    <numFmt numFmtId="173" formatCode="\TGeneral"/>
    <numFmt numFmtId="174" formatCode="_-* #,##0.0\ _₫_-;\-* #,##0.0\ _₫_-;_-* &quot;-&quot;??\ _₫_-;_-@_-"/>
    <numFmt numFmtId="175" formatCode="0.0"/>
    <numFmt numFmtId="176" formatCode="0.000"/>
  </numFmts>
  <fonts count="57">
    <font>
      <sz val="10"/>
      <name val="Encysoft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Encysoft Times"/>
    </font>
    <font>
      <sz val="12"/>
      <name val="Times New Roman"/>
      <family val="1"/>
    </font>
    <font>
      <b/>
      <sz val="14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  <font>
      <b/>
      <sz val="12"/>
      <color indexed="81"/>
      <name val="Tahoma"/>
      <family val="2"/>
    </font>
    <font>
      <sz val="9"/>
      <color indexed="81"/>
      <name val="Tahoma"/>
      <family val="2"/>
    </font>
    <font>
      <sz val="12"/>
      <color rgb="FF000000"/>
      <name val="Times New Roman"/>
      <family val="1"/>
    </font>
    <font>
      <sz val="10"/>
      <name val="Arial"/>
      <family val="2"/>
      <charset val="163"/>
    </font>
    <font>
      <sz val="10"/>
      <name val="Arial"/>
      <family val="2"/>
    </font>
    <font>
      <sz val="10"/>
      <name val="Arial"/>
      <family val="2"/>
    </font>
    <font>
      <b/>
      <sz val="13"/>
      <color rgb="FFFF0000"/>
      <name val="Times New Roman"/>
      <family val="1"/>
    </font>
    <font>
      <b/>
      <sz val="16"/>
      <name val="Times New Roman"/>
      <family val="1"/>
    </font>
    <font>
      <sz val="11"/>
      <color theme="1"/>
      <name val="Arial"/>
      <family val="2"/>
    </font>
    <font>
      <sz val="13.5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b/>
      <sz val="18"/>
      <name val="Times New Roman"/>
      <family val="1"/>
    </font>
    <font>
      <sz val="18"/>
      <color theme="1"/>
      <name val="Times New Roman"/>
      <family val="1"/>
    </font>
    <font>
      <sz val="18"/>
      <name val="Times New Roman"/>
      <family val="1"/>
    </font>
    <font>
      <sz val="14.5"/>
      <name val="Times New Roman"/>
      <family val="1"/>
    </font>
    <font>
      <b/>
      <sz val="14.5"/>
      <color rgb="FFFF0000"/>
      <name val="Times New Roman"/>
      <family val="1"/>
    </font>
    <font>
      <b/>
      <sz val="14.5"/>
      <color theme="1"/>
      <name val="Times New Roman"/>
      <family val="1"/>
    </font>
    <font>
      <b/>
      <sz val="14.5"/>
      <name val="Times New Roman"/>
      <family val="1"/>
    </font>
    <font>
      <b/>
      <sz val="14.5"/>
      <color indexed="8"/>
      <name val="Times New Roman"/>
      <family val="1"/>
    </font>
    <font>
      <b/>
      <sz val="14.5"/>
      <color rgb="FFFFFFFF"/>
      <name val="Times New Roman"/>
      <family val="1"/>
    </font>
    <font>
      <sz val="14.5"/>
      <color theme="1"/>
      <name val="Times New Roman"/>
      <family val="1"/>
    </font>
    <font>
      <sz val="14.5"/>
      <color theme="1" tint="4.9989318521683403E-2"/>
      <name val="Times New Roman"/>
      <family val="1"/>
    </font>
    <font>
      <sz val="18"/>
      <name val="Encysoft Times"/>
    </font>
    <font>
      <b/>
      <sz val="18"/>
      <color theme="1"/>
      <name val="Times New Roman"/>
      <family val="1"/>
    </font>
    <font>
      <b/>
      <sz val="20"/>
      <color rgb="FFFF0000"/>
      <name val="Times New Roman"/>
      <family val="1"/>
    </font>
    <font>
      <b/>
      <sz val="18"/>
      <color rgb="FFFF0000"/>
      <name val="Times New Roman"/>
      <family val="1"/>
    </font>
    <font>
      <b/>
      <sz val="18"/>
      <color indexed="8"/>
      <name val="Times New Roman"/>
      <family val="1"/>
    </font>
    <font>
      <sz val="16"/>
      <name val="Times New Roman"/>
      <family val="1"/>
    </font>
    <font>
      <sz val="8"/>
      <name val="Encysoft Times"/>
    </font>
    <font>
      <b/>
      <sz val="22"/>
      <name val="Times New Roman"/>
      <family val="1"/>
    </font>
    <font>
      <sz val="22"/>
      <color theme="1"/>
      <name val="Times New Roman"/>
      <family val="1"/>
    </font>
    <font>
      <sz val="22"/>
      <name val="Times New Roman"/>
      <family val="1"/>
    </font>
    <font>
      <sz val="22"/>
      <color rgb="FFFF0000"/>
      <name val="Times New Roman"/>
      <family val="1"/>
    </font>
    <font>
      <b/>
      <sz val="22"/>
      <color rgb="FFFF0000"/>
      <name val="Times New Roman"/>
      <family val="1"/>
    </font>
    <font>
      <sz val="12.5"/>
      <name val="Times New Roman"/>
      <family val="1"/>
    </font>
    <font>
      <b/>
      <sz val="12.5"/>
      <name val="Times New Roman"/>
      <family val="1"/>
    </font>
    <font>
      <b/>
      <sz val="12.5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  <font>
      <sz val="12"/>
      <color theme="1"/>
      <name val="Times New Roman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indexed="3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9D6D3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</borders>
  <cellStyleXfs count="20">
    <xf numFmtId="0" fontId="0" fillId="0" borderId="0"/>
    <xf numFmtId="165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/>
    <xf numFmtId="0" fontId="3" fillId="0" borderId="0"/>
    <xf numFmtId="0" fontId="13" fillId="0" borderId="0"/>
    <xf numFmtId="0" fontId="14" fillId="0" borderId="0"/>
    <xf numFmtId="164" fontId="4" fillId="0" borderId="0" applyFont="0" applyFill="0" applyBorder="0" applyAlignment="0" applyProtection="0"/>
    <xf numFmtId="0" fontId="15" fillId="0" borderId="0" applyAlignment="0">
      <alignment vertical="top" wrapText="1"/>
      <protection locked="0"/>
    </xf>
    <xf numFmtId="0" fontId="3" fillId="10" borderId="0" applyNumberFormat="0" applyBorder="0" applyAlignment="0" applyProtection="0"/>
    <xf numFmtId="165" fontId="16" fillId="0" borderId="0" applyFont="0" applyFill="0" applyBorder="0" applyAlignment="0" applyProtection="0"/>
    <xf numFmtId="0" fontId="19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56" fillId="0" borderId="0"/>
    <xf numFmtId="0" fontId="1" fillId="0" borderId="0"/>
  </cellStyleXfs>
  <cellXfs count="342">
    <xf numFmtId="0" fontId="0" fillId="0" borderId="0" xfId="0"/>
    <xf numFmtId="168" fontId="9" fillId="2" borderId="0" xfId="2" applyNumberFormat="1" applyFont="1" applyFill="1"/>
    <xf numFmtId="174" fontId="10" fillId="2" borderId="0" xfId="1" applyNumberFormat="1" applyFont="1" applyFill="1"/>
    <xf numFmtId="0" fontId="9" fillId="0" borderId="0" xfId="0" applyFont="1"/>
    <xf numFmtId="0" fontId="9" fillId="0" borderId="0" xfId="0" applyFont="1" applyAlignment="1">
      <alignment horizontal="center"/>
    </xf>
    <xf numFmtId="168" fontId="22" fillId="2" borderId="0" xfId="2" applyNumberFormat="1" applyFont="1" applyFill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70" fontId="9" fillId="0" borderId="0" xfId="1" applyNumberFormat="1" applyFont="1" applyFill="1"/>
    <xf numFmtId="168" fontId="9" fillId="0" borderId="0" xfId="2" applyNumberFormat="1" applyFont="1" applyFill="1"/>
    <xf numFmtId="168" fontId="9" fillId="11" borderId="0" xfId="2" applyNumberFormat="1" applyFont="1" applyFill="1"/>
    <xf numFmtId="0" fontId="23" fillId="2" borderId="0" xfId="0" applyFont="1" applyFill="1"/>
    <xf numFmtId="168" fontId="25" fillId="2" borderId="0" xfId="2" applyNumberFormat="1" applyFont="1" applyFill="1" applyBorder="1"/>
    <xf numFmtId="0" fontId="25" fillId="2" borderId="0" xfId="0" applyFont="1" applyFill="1"/>
    <xf numFmtId="0" fontId="29" fillId="0" borderId="0" xfId="0" applyFont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68" fontId="26" fillId="2" borderId="1" xfId="0" applyNumberFormat="1" applyFont="1" applyFill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168" fontId="29" fillId="0" borderId="1" xfId="2" applyNumberFormat="1" applyFont="1" applyFill="1" applyBorder="1" applyAlignment="1">
      <alignment horizontal="center" vertical="center" wrapText="1"/>
    </xf>
    <xf numFmtId="14" fontId="23" fillId="2" borderId="0" xfId="2" applyNumberFormat="1" applyFont="1" applyFill="1" applyBorder="1" applyAlignment="1"/>
    <xf numFmtId="168" fontId="37" fillId="2" borderId="0" xfId="1" applyNumberFormat="1" applyFont="1" applyFill="1" applyBorder="1" applyAlignment="1"/>
    <xf numFmtId="14" fontId="23" fillId="2" borderId="0" xfId="2" applyNumberFormat="1" applyFont="1" applyFill="1" applyBorder="1" applyAlignment="1">
      <alignment horizontal="center"/>
    </xf>
    <xf numFmtId="168" fontId="24" fillId="2" borderId="0" xfId="1" applyNumberFormat="1" applyFont="1" applyFill="1" applyBorder="1" applyAlignment="1">
      <alignment horizontal="center"/>
    </xf>
    <xf numFmtId="0" fontId="38" fillId="2" borderId="0" xfId="3" applyNumberFormat="1" applyFont="1" applyFill="1" applyBorder="1" applyAlignment="1">
      <alignment horizontal="center" vertical="center" wrapText="1"/>
    </xf>
    <xf numFmtId="0" fontId="38" fillId="2" borderId="0" xfId="3" applyNumberFormat="1" applyFont="1" applyFill="1" applyBorder="1" applyAlignment="1">
      <alignment vertical="center" wrapText="1"/>
    </xf>
    <xf numFmtId="0" fontId="35" fillId="2" borderId="0" xfId="0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174" fontId="23" fillId="2" borderId="0" xfId="1" applyNumberFormat="1" applyFont="1" applyFill="1" applyBorder="1" applyAlignment="1">
      <alignment horizontal="center"/>
    </xf>
    <xf numFmtId="165" fontId="23" fillId="2" borderId="0" xfId="1" applyFont="1" applyFill="1" applyBorder="1" applyAlignment="1">
      <alignment horizontal="center"/>
    </xf>
    <xf numFmtId="165" fontId="37" fillId="2" borderId="0" xfId="1" applyFont="1" applyFill="1" applyBorder="1" applyAlignment="1">
      <alignment horizontal="left"/>
    </xf>
    <xf numFmtId="0" fontId="34" fillId="2" borderId="0" xfId="0" applyFont="1" applyFill="1"/>
    <xf numFmtId="168" fontId="23" fillId="2" borderId="0" xfId="2" applyNumberFormat="1" applyFont="1" applyFill="1" applyBorder="1" applyAlignment="1"/>
    <xf numFmtId="168" fontId="23" fillId="11" borderId="0" xfId="2" applyNumberFormat="1" applyFont="1" applyFill="1" applyBorder="1" applyAlignment="1"/>
    <xf numFmtId="168" fontId="25" fillId="2" borderId="0" xfId="3" applyNumberFormat="1" applyFont="1" applyFill="1" applyBorder="1"/>
    <xf numFmtId="1" fontId="23" fillId="2" borderId="0" xfId="0" applyNumberFormat="1" applyFont="1" applyFill="1"/>
    <xf numFmtId="172" fontId="30" fillId="0" borderId="1" xfId="3" applyNumberFormat="1" applyFont="1" applyFill="1" applyBorder="1" applyAlignment="1">
      <alignment horizontal="center" vertical="center" wrapText="1"/>
    </xf>
    <xf numFmtId="172" fontId="30" fillId="2" borderId="1" xfId="3" applyNumberFormat="1" applyFont="1" applyFill="1" applyBorder="1" applyAlignment="1">
      <alignment horizontal="center" vertical="center" wrapText="1"/>
    </xf>
    <xf numFmtId="172" fontId="28" fillId="2" borderId="1" xfId="3" applyNumberFormat="1" applyFont="1" applyFill="1" applyBorder="1" applyAlignment="1">
      <alignment horizontal="center" vertical="center" wrapText="1"/>
    </xf>
    <xf numFmtId="172" fontId="29" fillId="2" borderId="1" xfId="0" applyNumberFormat="1" applyFont="1" applyFill="1" applyBorder="1" applyAlignment="1">
      <alignment horizontal="center" vertical="center" wrapText="1"/>
    </xf>
    <xf numFmtId="172" fontId="29" fillId="0" borderId="1" xfId="0" applyNumberFormat="1" applyFont="1" applyBorder="1" applyAlignment="1">
      <alignment horizontal="center" vertical="center" wrapText="1"/>
    </xf>
    <xf numFmtId="168" fontId="28" fillId="0" borderId="1" xfId="2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73" fontId="30" fillId="0" borderId="1" xfId="3" applyNumberFormat="1" applyFont="1" applyFill="1" applyBorder="1" applyAlignment="1">
      <alignment horizontal="center" vertical="center" wrapText="1"/>
    </xf>
    <xf numFmtId="173" fontId="30" fillId="2" borderId="1" xfId="3" applyNumberFormat="1" applyFont="1" applyFill="1" applyBorder="1" applyAlignment="1">
      <alignment horizontal="center" vertical="center" wrapText="1"/>
    </xf>
    <xf numFmtId="173" fontId="29" fillId="2" borderId="1" xfId="0" applyNumberFormat="1" applyFont="1" applyFill="1" applyBorder="1" applyAlignment="1">
      <alignment horizontal="center" vertical="center" wrapText="1"/>
    </xf>
    <xf numFmtId="173" fontId="29" fillId="0" borderId="1" xfId="0" applyNumberFormat="1" applyFont="1" applyBorder="1" applyAlignment="1">
      <alignment horizontal="center" vertical="center" wrapText="1"/>
    </xf>
    <xf numFmtId="169" fontId="29" fillId="4" borderId="1" xfId="4" applyNumberFormat="1" applyFont="1" applyFill="1" applyBorder="1" applyAlignment="1">
      <alignment horizontal="center" vertical="center" wrapText="1"/>
    </xf>
    <xf numFmtId="169" fontId="27" fillId="4" borderId="1" xfId="4" applyNumberFormat="1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vertical="center"/>
    </xf>
    <xf numFmtId="170" fontId="26" fillId="2" borderId="1" xfId="1" applyNumberFormat="1" applyFont="1" applyFill="1" applyBorder="1" applyAlignment="1">
      <alignment horizontal="center" vertical="center"/>
    </xf>
    <xf numFmtId="43" fontId="26" fillId="2" borderId="1" xfId="3" applyFont="1" applyFill="1" applyBorder="1" applyAlignment="1">
      <alignment vertical="center"/>
    </xf>
    <xf numFmtId="168" fontId="26" fillId="2" borderId="1" xfId="2" applyNumberFormat="1" applyFont="1" applyFill="1" applyBorder="1" applyAlignment="1">
      <alignment vertical="center"/>
    </xf>
    <xf numFmtId="167" fontId="26" fillId="2" borderId="1" xfId="3" applyNumberFormat="1" applyFont="1" applyFill="1" applyBorder="1" applyAlignment="1">
      <alignment vertical="center"/>
    </xf>
    <xf numFmtId="167" fontId="26" fillId="0" borderId="1" xfId="3" applyNumberFormat="1" applyFont="1" applyFill="1" applyBorder="1" applyAlignment="1">
      <alignment vertical="center"/>
    </xf>
    <xf numFmtId="174" fontId="26" fillId="2" borderId="1" xfId="1" applyNumberFormat="1" applyFont="1" applyFill="1" applyBorder="1" applyAlignment="1">
      <alignment vertical="center"/>
    </xf>
    <xf numFmtId="168" fontId="26" fillId="0" borderId="1" xfId="2" applyNumberFormat="1" applyFont="1" applyFill="1" applyBorder="1" applyAlignment="1">
      <alignment vertical="center"/>
    </xf>
    <xf numFmtId="3" fontId="26" fillId="2" borderId="1" xfId="0" applyNumberFormat="1" applyFont="1" applyFill="1" applyBorder="1" applyAlignment="1">
      <alignment horizontal="right" vertical="center" wrapText="1"/>
    </xf>
    <xf numFmtId="168" fontId="26" fillId="2" borderId="1" xfId="2" applyNumberFormat="1" applyFont="1" applyFill="1" applyBorder="1" applyAlignment="1">
      <alignment horizontal="center" vertical="center" wrapText="1"/>
    </xf>
    <xf numFmtId="43" fontId="26" fillId="0" borderId="1" xfId="3" applyFont="1" applyFill="1" applyBorder="1" applyAlignment="1">
      <alignment vertical="center"/>
    </xf>
    <xf numFmtId="167" fontId="26" fillId="0" borderId="1" xfId="2" applyNumberFormat="1" applyFont="1" applyFill="1" applyBorder="1" applyAlignment="1">
      <alignment vertical="center"/>
    </xf>
    <xf numFmtId="168" fontId="33" fillId="0" borderId="1" xfId="2" applyNumberFormat="1" applyFont="1" applyFill="1" applyBorder="1" applyAlignment="1">
      <alignment vertical="center"/>
    </xf>
    <xf numFmtId="3" fontId="32" fillId="0" borderId="1" xfId="0" applyNumberFormat="1" applyFont="1" applyBorder="1" applyAlignment="1">
      <alignment horizontal="right" vertical="center" wrapText="1"/>
    </xf>
    <xf numFmtId="168" fontId="33" fillId="0" borderId="1" xfId="2" applyNumberFormat="1" applyFont="1" applyFill="1" applyBorder="1" applyAlignment="1">
      <alignment horizontal="center" vertical="center" wrapText="1"/>
    </xf>
    <xf numFmtId="171" fontId="26" fillId="0" borderId="1" xfId="2" applyNumberFormat="1" applyFont="1" applyFill="1" applyBorder="1" applyAlignment="1">
      <alignment vertical="center"/>
    </xf>
    <xf numFmtId="168" fontId="21" fillId="2" borderId="1" xfId="2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167" fontId="21" fillId="2" borderId="1" xfId="2" applyNumberFormat="1" applyFont="1" applyFill="1" applyBorder="1" applyAlignment="1">
      <alignment horizontal="center" vertical="center"/>
    </xf>
    <xf numFmtId="168" fontId="26" fillId="11" borderId="1" xfId="2" applyNumberFormat="1" applyFont="1" applyFill="1" applyBorder="1" applyAlignment="1">
      <alignment vertical="center"/>
    </xf>
    <xf numFmtId="168" fontId="32" fillId="0" borderId="1" xfId="2" applyNumberFormat="1" applyFont="1" applyFill="1" applyBorder="1" applyAlignment="1">
      <alignment vertical="center"/>
    </xf>
    <xf numFmtId="0" fontId="41" fillId="2" borderId="0" xfId="0" applyFont="1" applyFill="1" applyAlignment="1">
      <alignment horizontal="left"/>
    </xf>
    <xf numFmtId="0" fontId="41" fillId="2" borderId="0" xfId="0" applyFont="1" applyFill="1"/>
    <xf numFmtId="168" fontId="43" fillId="2" borderId="0" xfId="2" applyNumberFormat="1" applyFont="1" applyFill="1"/>
    <xf numFmtId="168" fontId="43" fillId="0" borderId="0" xfId="2" applyNumberFormat="1" applyFont="1" applyFill="1"/>
    <xf numFmtId="168" fontId="43" fillId="2" borderId="0" xfId="2" applyNumberFormat="1" applyFont="1" applyFill="1" applyBorder="1"/>
    <xf numFmtId="168" fontId="43" fillId="11" borderId="0" xfId="2" applyNumberFormat="1" applyFont="1" applyFill="1"/>
    <xf numFmtId="168" fontId="41" fillId="2" borderId="0" xfId="2" applyNumberFormat="1" applyFont="1" applyFill="1" applyBorder="1" applyAlignment="1">
      <alignment vertical="center"/>
    </xf>
    <xf numFmtId="168" fontId="44" fillId="2" borderId="0" xfId="2" applyNumberFormat="1" applyFont="1" applyFill="1" applyBorder="1"/>
    <xf numFmtId="168" fontId="44" fillId="2" borderId="0" xfId="0" applyNumberFormat="1" applyFont="1" applyFill="1"/>
    <xf numFmtId="168" fontId="41" fillId="2" borderId="0" xfId="0" applyNumberFormat="1" applyFont="1" applyFill="1" applyAlignment="1">
      <alignment vertical="center"/>
    </xf>
    <xf numFmtId="0" fontId="43" fillId="2" borderId="0" xfId="0" applyFont="1" applyFill="1"/>
    <xf numFmtId="168" fontId="41" fillId="2" borderId="0" xfId="2" applyNumberFormat="1" applyFont="1" applyFill="1" applyAlignment="1"/>
    <xf numFmtId="168" fontId="45" fillId="2" borderId="0" xfId="2" applyNumberFormat="1" applyFont="1" applyFill="1" applyAlignment="1"/>
    <xf numFmtId="168" fontId="41" fillId="2" borderId="0" xfId="2" applyNumberFormat="1" applyFont="1" applyFill="1" applyAlignment="1">
      <alignment vertical="center"/>
    </xf>
    <xf numFmtId="168" fontId="43" fillId="2" borderId="0" xfId="0" applyNumberFormat="1" applyFont="1" applyFill="1"/>
    <xf numFmtId="168" fontId="5" fillId="0" borderId="0" xfId="2" applyNumberFormat="1" applyFont="1" applyFill="1" applyAlignment="1">
      <alignment vertical="center"/>
    </xf>
    <xf numFmtId="168" fontId="39" fillId="0" borderId="0" xfId="2" applyNumberFormat="1" applyFont="1" applyFill="1" applyAlignment="1"/>
    <xf numFmtId="168" fontId="5" fillId="0" borderId="0" xfId="2" applyNumberFormat="1" applyFont="1" applyFill="1" applyAlignment="1"/>
    <xf numFmtId="14" fontId="23" fillId="0" borderId="7" xfId="2" applyNumberFormat="1" applyFont="1" applyFill="1" applyBorder="1" applyAlignment="1">
      <alignment vertical="center"/>
    </xf>
    <xf numFmtId="168" fontId="5" fillId="0" borderId="0" xfId="2" applyNumberFormat="1" applyFont="1" applyFill="1"/>
    <xf numFmtId="168" fontId="5" fillId="2" borderId="0" xfId="2" applyNumberFormat="1" applyFont="1" applyFill="1" applyBorder="1" applyAlignment="1">
      <alignment vertical="center"/>
    </xf>
    <xf numFmtId="168" fontId="39" fillId="2" borderId="0" xfId="2" applyNumberFormat="1" applyFont="1" applyFill="1" applyAlignment="1"/>
    <xf numFmtId="168" fontId="39" fillId="0" borderId="7" xfId="2" applyNumberFormat="1" applyFont="1" applyFill="1" applyBorder="1" applyAlignment="1"/>
    <xf numFmtId="168" fontId="39" fillId="0" borderId="0" xfId="2" applyNumberFormat="1" applyFont="1" applyFill="1" applyBorder="1" applyAlignment="1"/>
    <xf numFmtId="168" fontId="18" fillId="0" borderId="7" xfId="2" applyNumberFormat="1" applyFont="1" applyFill="1" applyBorder="1" applyAlignment="1"/>
    <xf numFmtId="168" fontId="18" fillId="0" borderId="0" xfId="2" applyNumberFormat="1" applyFont="1" applyFill="1" applyBorder="1" applyAlignment="1"/>
    <xf numFmtId="0" fontId="6" fillId="16" borderId="1" xfId="0" applyFont="1" applyFill="1" applyBorder="1" applyAlignment="1">
      <alignment horizontal="center" vertical="center" wrapText="1"/>
    </xf>
    <xf numFmtId="168" fontId="5" fillId="0" borderId="0" xfId="2" applyNumberFormat="1" applyFont="1" applyFill="1" applyBorder="1" applyAlignment="1">
      <alignment vertical="center"/>
    </xf>
    <xf numFmtId="168" fontId="5" fillId="5" borderId="0" xfId="2" applyNumberFormat="1" applyFont="1" applyFill="1" applyBorder="1" applyAlignment="1">
      <alignment vertical="center"/>
    </xf>
    <xf numFmtId="168" fontId="39" fillId="5" borderId="0" xfId="2" applyNumberFormat="1" applyFont="1" applyFill="1" applyAlignment="1"/>
    <xf numFmtId="168" fontId="39" fillId="5" borderId="0" xfId="2" applyNumberFormat="1" applyFont="1" applyFill="1" applyBorder="1" applyAlignment="1"/>
    <xf numFmtId="168" fontId="18" fillId="5" borderId="0" xfId="2" applyNumberFormat="1" applyFont="1" applyFill="1" applyBorder="1" applyAlignment="1"/>
    <xf numFmtId="168" fontId="5" fillId="5" borderId="0" xfId="2" applyNumberFormat="1" applyFont="1" applyFill="1"/>
    <xf numFmtId="168" fontId="21" fillId="2" borderId="1" xfId="3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168" fontId="41" fillId="11" borderId="0" xfId="2" applyNumberFormat="1" applyFont="1" applyFill="1" applyAlignment="1"/>
    <xf numFmtId="168" fontId="26" fillId="2" borderId="0" xfId="2" applyNumberFormat="1" applyFont="1" applyFill="1"/>
    <xf numFmtId="168" fontId="29" fillId="2" borderId="0" xfId="2" applyNumberFormat="1" applyFont="1" applyFill="1" applyAlignment="1"/>
    <xf numFmtId="168" fontId="29" fillId="2" borderId="0" xfId="2" applyNumberFormat="1" applyFont="1" applyFill="1" applyBorder="1" applyAlignment="1"/>
    <xf numFmtId="168" fontId="26" fillId="0" borderId="0" xfId="2" applyNumberFormat="1" applyFont="1" applyFill="1"/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173" fontId="29" fillId="6" borderId="1" xfId="0" applyNumberFormat="1" applyFont="1" applyFill="1" applyBorder="1" applyAlignment="1">
      <alignment horizontal="center" vertical="center" wrapText="1"/>
    </xf>
    <xf numFmtId="168" fontId="46" fillId="0" borderId="0" xfId="2" applyNumberFormat="1" applyFont="1" applyFill="1" applyAlignment="1">
      <alignment vertical="center"/>
    </xf>
    <xf numFmtId="168" fontId="46" fillId="0" borderId="0" xfId="2" applyNumberFormat="1" applyFont="1" applyFill="1" applyAlignment="1"/>
    <xf numFmtId="14" fontId="47" fillId="0" borderId="7" xfId="2" applyNumberFormat="1" applyFont="1" applyFill="1" applyBorder="1" applyAlignment="1">
      <alignment vertical="center"/>
    </xf>
    <xf numFmtId="168" fontId="47" fillId="0" borderId="7" xfId="2" applyNumberFormat="1" applyFont="1" applyFill="1" applyBorder="1" applyAlignment="1"/>
    <xf numFmtId="167" fontId="48" fillId="2" borderId="1" xfId="2" applyNumberFormat="1" applyFont="1" applyFill="1" applyBorder="1" applyAlignment="1">
      <alignment horizontal="center" vertical="center"/>
    </xf>
    <xf numFmtId="168" fontId="46" fillId="0" borderId="0" xfId="2" applyNumberFormat="1" applyFont="1" applyFill="1"/>
    <xf numFmtId="3" fontId="32" fillId="5" borderId="1" xfId="0" applyNumberFormat="1" applyFont="1" applyFill="1" applyBorder="1" applyAlignment="1">
      <alignment horizontal="right" vertical="center" wrapText="1"/>
    </xf>
    <xf numFmtId="168" fontId="6" fillId="6" borderId="1" xfId="2" applyNumberFormat="1" applyFont="1" applyFill="1" applyBorder="1" applyAlignment="1">
      <alignment horizontal="center" vertical="center" wrapText="1"/>
    </xf>
    <xf numFmtId="168" fontId="6" fillId="14" borderId="1" xfId="2" applyNumberFormat="1" applyFont="1" applyFill="1" applyBorder="1" applyAlignment="1">
      <alignment horizontal="center" vertical="center" wrapText="1"/>
    </xf>
    <xf numFmtId="168" fontId="6" fillId="15" borderId="1" xfId="2" applyNumberFormat="1" applyFont="1" applyFill="1" applyBorder="1" applyAlignment="1">
      <alignment horizontal="center" vertical="center" wrapText="1"/>
    </xf>
    <xf numFmtId="168" fontId="6" fillId="16" borderId="1" xfId="2" applyNumberFormat="1" applyFont="1" applyFill="1" applyBorder="1" applyAlignment="1">
      <alignment horizontal="center" vertical="center" wrapText="1"/>
    </xf>
    <xf numFmtId="168" fontId="6" fillId="2" borderId="1" xfId="2" applyNumberFormat="1" applyFont="1" applyFill="1" applyBorder="1" applyAlignment="1">
      <alignment horizontal="center" vertical="center" wrapText="1"/>
    </xf>
    <xf numFmtId="168" fontId="6" fillId="17" borderId="1" xfId="2" applyNumberFormat="1" applyFont="1" applyFill="1" applyBorder="1" applyAlignment="1">
      <alignment horizontal="center" vertical="center" wrapText="1"/>
    </xf>
    <xf numFmtId="168" fontId="6" fillId="18" borderId="1" xfId="2" applyNumberFormat="1" applyFont="1" applyFill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right" vertical="center" wrapText="1"/>
    </xf>
    <xf numFmtId="168" fontId="41" fillId="8" borderId="0" xfId="2" applyNumberFormat="1" applyFont="1" applyFill="1" applyAlignment="1"/>
    <xf numFmtId="168" fontId="26" fillId="8" borderId="1" xfId="2" applyNumberFormat="1" applyFont="1" applyFill="1" applyBorder="1" applyAlignment="1">
      <alignment vertical="center"/>
    </xf>
    <xf numFmtId="0" fontId="2" fillId="0" borderId="0" xfId="14"/>
    <xf numFmtId="0" fontId="50" fillId="0" borderId="1" xfId="14" applyFont="1" applyBorder="1" applyAlignment="1">
      <alignment horizontal="center" vertical="center" wrapText="1"/>
    </xf>
    <xf numFmtId="0" fontId="50" fillId="0" borderId="1" xfId="14" applyFont="1" applyBorder="1" applyAlignment="1">
      <alignment vertical="center" wrapText="1"/>
    </xf>
    <xf numFmtId="170" fontId="50" fillId="0" borderId="1" xfId="1" applyNumberFormat="1" applyFont="1" applyBorder="1" applyAlignment="1">
      <alignment vertical="center" wrapText="1"/>
    </xf>
    <xf numFmtId="0" fontId="17" fillId="0" borderId="1" xfId="14" applyFont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7" fillId="0" borderId="1" xfId="14" applyFont="1" applyBorder="1"/>
    <xf numFmtId="170" fontId="17" fillId="0" borderId="1" xfId="1" applyNumberFormat="1" applyFont="1" applyBorder="1"/>
    <xf numFmtId="175" fontId="17" fillId="0" borderId="1" xfId="14" applyNumberFormat="1" applyFont="1" applyBorder="1"/>
    <xf numFmtId="1" fontId="17" fillId="0" borderId="1" xfId="14" applyNumberFormat="1" applyFont="1" applyBorder="1"/>
    <xf numFmtId="168" fontId="17" fillId="0" borderId="1" xfId="15" applyNumberFormat="1" applyFont="1" applyBorder="1"/>
    <xf numFmtId="0" fontId="17" fillId="0" borderId="0" xfId="14" applyFont="1"/>
    <xf numFmtId="0" fontId="51" fillId="0" borderId="1" xfId="14" applyFont="1" applyBorder="1" applyAlignment="1">
      <alignment horizontal="center"/>
    </xf>
    <xf numFmtId="0" fontId="52" fillId="2" borderId="1" xfId="0" applyFont="1" applyFill="1" applyBorder="1" applyAlignment="1">
      <alignment vertical="center"/>
    </xf>
    <xf numFmtId="0" fontId="51" fillId="0" borderId="1" xfId="14" applyFont="1" applyBorder="1"/>
    <xf numFmtId="170" fontId="51" fillId="0" borderId="1" xfId="1" applyNumberFormat="1" applyFont="1" applyBorder="1"/>
    <xf numFmtId="175" fontId="51" fillId="0" borderId="1" xfId="14" applyNumberFormat="1" applyFont="1" applyBorder="1"/>
    <xf numFmtId="1" fontId="51" fillId="0" borderId="1" xfId="14" applyNumberFormat="1" applyFont="1" applyBorder="1"/>
    <xf numFmtId="168" fontId="52" fillId="0" borderId="1" xfId="15" applyNumberFormat="1" applyFont="1" applyBorder="1"/>
    <xf numFmtId="0" fontId="51" fillId="0" borderId="0" xfId="14" applyFont="1"/>
    <xf numFmtId="0" fontId="52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3" fillId="2" borderId="1" xfId="0" applyFont="1" applyFill="1" applyBorder="1" applyAlignment="1">
      <alignment vertical="center"/>
    </xf>
    <xf numFmtId="0" fontId="53" fillId="0" borderId="1" xfId="14" applyFont="1" applyBorder="1"/>
    <xf numFmtId="1" fontId="53" fillId="0" borderId="1" xfId="14" applyNumberFormat="1" applyFont="1" applyBorder="1"/>
    <xf numFmtId="0" fontId="53" fillId="0" borderId="0" xfId="14" applyFont="1"/>
    <xf numFmtId="0" fontId="52" fillId="4" borderId="1" xfId="0" applyFont="1" applyFill="1" applyBorder="1" applyAlignment="1">
      <alignment horizontal="center" vertical="center"/>
    </xf>
    <xf numFmtId="0" fontId="52" fillId="4" borderId="1" xfId="0" applyFont="1" applyFill="1" applyBorder="1" applyAlignment="1">
      <alignment vertical="center"/>
    </xf>
    <xf numFmtId="165" fontId="51" fillId="0" borderId="0" xfId="1" applyFont="1"/>
    <xf numFmtId="0" fontId="51" fillId="0" borderId="1" xfId="0" applyFont="1" applyBorder="1" applyAlignment="1">
      <alignment vertical="center"/>
    </xf>
    <xf numFmtId="0" fontId="52" fillId="12" borderId="1" xfId="0" applyFont="1" applyFill="1" applyBorder="1" applyAlignment="1">
      <alignment vertical="center"/>
    </xf>
    <xf numFmtId="0" fontId="52" fillId="8" borderId="1" xfId="0" applyFont="1" applyFill="1" applyBorder="1" applyAlignment="1">
      <alignment horizontal="center" vertical="center"/>
    </xf>
    <xf numFmtId="0" fontId="52" fillId="8" borderId="1" xfId="0" applyFont="1" applyFill="1" applyBorder="1" applyAlignment="1">
      <alignment vertical="center"/>
    </xf>
    <xf numFmtId="0" fontId="51" fillId="8" borderId="1" xfId="14" applyFont="1" applyFill="1" applyBorder="1" applyAlignment="1">
      <alignment horizontal="center"/>
    </xf>
    <xf numFmtId="0" fontId="51" fillId="8" borderId="1" xfId="14" applyFont="1" applyFill="1" applyBorder="1"/>
    <xf numFmtId="170" fontId="51" fillId="8" borderId="1" xfId="1" applyNumberFormat="1" applyFont="1" applyFill="1" applyBorder="1"/>
    <xf numFmtId="175" fontId="51" fillId="8" borderId="1" xfId="14" applyNumberFormat="1" applyFont="1" applyFill="1" applyBorder="1"/>
    <xf numFmtId="1" fontId="51" fillId="8" borderId="1" xfId="14" applyNumberFormat="1" applyFont="1" applyFill="1" applyBorder="1"/>
    <xf numFmtId="168" fontId="52" fillId="8" borderId="1" xfId="15" applyNumberFormat="1" applyFont="1" applyFill="1" applyBorder="1"/>
    <xf numFmtId="0" fontId="51" fillId="8" borderId="0" xfId="14" applyFont="1" applyFill="1"/>
    <xf numFmtId="0" fontId="2" fillId="0" borderId="0" xfId="14" applyAlignment="1">
      <alignment horizontal="center"/>
    </xf>
    <xf numFmtId="170" fontId="2" fillId="0" borderId="0" xfId="1" applyNumberFormat="1" applyFont="1"/>
    <xf numFmtId="0" fontId="54" fillId="0" borderId="0" xfId="14" applyFont="1"/>
    <xf numFmtId="0" fontId="53" fillId="8" borderId="1" xfId="0" applyFont="1" applyFill="1" applyBorder="1" applyAlignment="1">
      <alignment horizontal="center" vertical="center"/>
    </xf>
    <xf numFmtId="0" fontId="53" fillId="8" borderId="1" xfId="0" applyFont="1" applyFill="1" applyBorder="1" applyAlignment="1">
      <alignment vertical="center"/>
    </xf>
    <xf numFmtId="0" fontId="54" fillId="8" borderId="0" xfId="14" applyFont="1" applyFill="1"/>
    <xf numFmtId="0" fontId="2" fillId="0" borderId="1" xfId="14" applyBorder="1" applyAlignment="1">
      <alignment vertical="center" wrapText="1"/>
    </xf>
    <xf numFmtId="0" fontId="2" fillId="0" borderId="1" xfId="14" applyBorder="1"/>
    <xf numFmtId="0" fontId="50" fillId="0" borderId="0" xfId="14" applyFont="1" applyAlignment="1">
      <alignment horizontal="center" vertical="center" wrapText="1"/>
    </xf>
    <xf numFmtId="0" fontId="2" fillId="0" borderId="0" xfId="14" applyAlignment="1">
      <alignment vertical="center" wrapText="1"/>
    </xf>
    <xf numFmtId="0" fontId="49" fillId="0" borderId="0" xfId="14" applyFont="1" applyAlignment="1">
      <alignment horizontal="right" vertical="center" wrapText="1"/>
    </xf>
    <xf numFmtId="170" fontId="51" fillId="2" borderId="1" xfId="1" applyNumberFormat="1" applyFont="1" applyFill="1" applyBorder="1"/>
    <xf numFmtId="170" fontId="51" fillId="0" borderId="0" xfId="14" applyNumberFormat="1" applyFont="1"/>
    <xf numFmtId="176" fontId="51" fillId="0" borderId="1" xfId="14" applyNumberFormat="1" applyFont="1" applyBorder="1"/>
    <xf numFmtId="0" fontId="2" fillId="13" borderId="0" xfId="14" applyFill="1"/>
    <xf numFmtId="0" fontId="17" fillId="13" borderId="0" xfId="14" applyFont="1" applyFill="1"/>
    <xf numFmtId="0" fontId="51" fillId="13" borderId="0" xfId="14" applyFont="1" applyFill="1"/>
    <xf numFmtId="0" fontId="53" fillId="13" borderId="0" xfId="14" applyFont="1" applyFill="1"/>
    <xf numFmtId="168" fontId="0" fillId="0" borderId="0" xfId="15" applyNumberFormat="1" applyFont="1"/>
    <xf numFmtId="0" fontId="2" fillId="8" borderId="0" xfId="14" applyFill="1"/>
    <xf numFmtId="168" fontId="0" fillId="8" borderId="0" xfId="15" applyNumberFormat="1" applyFont="1" applyFill="1"/>
    <xf numFmtId="170" fontId="2" fillId="8" borderId="0" xfId="1" applyNumberFormat="1" applyFont="1" applyFill="1"/>
    <xf numFmtId="168" fontId="8" fillId="0" borderId="0" xfId="15" applyNumberFormat="1" applyFont="1"/>
    <xf numFmtId="170" fontId="54" fillId="0" borderId="0" xfId="1" applyNumberFormat="1" applyFont="1"/>
    <xf numFmtId="168" fontId="8" fillId="8" borderId="0" xfId="15" applyNumberFormat="1" applyFont="1" applyFill="1"/>
    <xf numFmtId="170" fontId="54" fillId="8" borderId="0" xfId="1" applyNumberFormat="1" applyFont="1" applyFill="1"/>
    <xf numFmtId="0" fontId="54" fillId="0" borderId="0" xfId="14" applyFont="1" applyAlignment="1">
      <alignment wrapText="1"/>
    </xf>
    <xf numFmtId="0" fontId="52" fillId="19" borderId="1" xfId="0" applyFont="1" applyFill="1" applyBorder="1" applyAlignment="1">
      <alignment horizontal="center" vertical="center"/>
    </xf>
    <xf numFmtId="0" fontId="52" fillId="19" borderId="1" xfId="0" applyFont="1" applyFill="1" applyBorder="1" applyAlignment="1">
      <alignment vertical="center"/>
    </xf>
    <xf numFmtId="0" fontId="51" fillId="19" borderId="1" xfId="14" applyFont="1" applyFill="1" applyBorder="1" applyAlignment="1">
      <alignment horizontal="center"/>
    </xf>
    <xf numFmtId="0" fontId="51" fillId="19" borderId="1" xfId="14" applyFont="1" applyFill="1" applyBorder="1"/>
    <xf numFmtId="170" fontId="51" fillId="19" borderId="1" xfId="1" applyNumberFormat="1" applyFont="1" applyFill="1" applyBorder="1"/>
    <xf numFmtId="175" fontId="51" fillId="19" borderId="1" xfId="14" applyNumberFormat="1" applyFont="1" applyFill="1" applyBorder="1"/>
    <xf numFmtId="1" fontId="51" fillId="19" borderId="1" xfId="14" applyNumberFormat="1" applyFont="1" applyFill="1" applyBorder="1"/>
    <xf numFmtId="168" fontId="52" fillId="19" borderId="1" xfId="15" applyNumberFormat="1" applyFont="1" applyFill="1" applyBorder="1"/>
    <xf numFmtId="0" fontId="51" fillId="19" borderId="0" xfId="14" applyFont="1" applyFill="1"/>
    <xf numFmtId="0" fontId="53" fillId="8" borderId="1" xfId="14" applyFont="1" applyFill="1" applyBorder="1" applyAlignment="1">
      <alignment horizontal="center"/>
    </xf>
    <xf numFmtId="0" fontId="53" fillId="8" borderId="1" xfId="14" applyFont="1" applyFill="1" applyBorder="1"/>
    <xf numFmtId="170" fontId="53" fillId="8" borderId="1" xfId="1" applyNumberFormat="1" applyFont="1" applyFill="1" applyBorder="1"/>
    <xf numFmtId="175" fontId="53" fillId="8" borderId="1" xfId="14" applyNumberFormat="1" applyFont="1" applyFill="1" applyBorder="1"/>
    <xf numFmtId="1" fontId="53" fillId="8" borderId="1" xfId="14" applyNumberFormat="1" applyFont="1" applyFill="1" applyBorder="1"/>
    <xf numFmtId="168" fontId="53" fillId="8" borderId="1" xfId="15" applyNumberFormat="1" applyFont="1" applyFill="1" applyBorder="1"/>
    <xf numFmtId="0" fontId="53" fillId="8" borderId="0" xfId="14" applyFont="1" applyFill="1"/>
    <xf numFmtId="0" fontId="53" fillId="4" borderId="1" xfId="0" applyFont="1" applyFill="1" applyBorder="1" applyAlignment="1">
      <alignment vertical="center"/>
    </xf>
    <xf numFmtId="0" fontId="53" fillId="0" borderId="1" xfId="14" applyFont="1" applyBorder="1" applyAlignment="1">
      <alignment horizontal="center"/>
    </xf>
    <xf numFmtId="170" fontId="53" fillId="0" borderId="1" xfId="1" applyNumberFormat="1" applyFont="1" applyBorder="1"/>
    <xf numFmtId="175" fontId="53" fillId="0" borderId="1" xfId="14" applyNumberFormat="1" applyFont="1" applyBorder="1"/>
    <xf numFmtId="168" fontId="53" fillId="0" borderId="1" xfId="15" applyNumberFormat="1" applyFont="1" applyBorder="1"/>
    <xf numFmtId="168" fontId="23" fillId="8" borderId="0" xfId="2" applyNumberFormat="1" applyFont="1" applyFill="1" applyBorder="1" applyAlignment="1"/>
    <xf numFmtId="0" fontId="17" fillId="2" borderId="1" xfId="14" applyFont="1" applyFill="1" applyBorder="1" applyAlignment="1">
      <alignment horizontal="center"/>
    </xf>
    <xf numFmtId="0" fontId="17" fillId="2" borderId="1" xfId="14" applyFont="1" applyFill="1" applyBorder="1"/>
    <xf numFmtId="170" fontId="17" fillId="2" borderId="1" xfId="1" applyNumberFormat="1" applyFont="1" applyFill="1" applyBorder="1"/>
    <xf numFmtId="175" fontId="17" fillId="2" borderId="1" xfId="14" applyNumberFormat="1" applyFont="1" applyFill="1" applyBorder="1"/>
    <xf numFmtId="1" fontId="17" fillId="2" borderId="1" xfId="14" applyNumberFormat="1" applyFont="1" applyFill="1" applyBorder="1"/>
    <xf numFmtId="168" fontId="17" fillId="2" borderId="1" xfId="15" applyNumberFormat="1" applyFont="1" applyFill="1" applyBorder="1"/>
    <xf numFmtId="0" fontId="17" fillId="2" borderId="0" xfId="14" applyFont="1" applyFill="1"/>
    <xf numFmtId="0" fontId="51" fillId="2" borderId="1" xfId="14" applyFont="1" applyFill="1" applyBorder="1" applyAlignment="1">
      <alignment horizontal="center"/>
    </xf>
    <xf numFmtId="0" fontId="51" fillId="2" borderId="1" xfId="14" applyFont="1" applyFill="1" applyBorder="1"/>
    <xf numFmtId="175" fontId="51" fillId="2" borderId="1" xfId="14" applyNumberFormat="1" applyFont="1" applyFill="1" applyBorder="1"/>
    <xf numFmtId="1" fontId="51" fillId="2" borderId="1" xfId="14" applyNumberFormat="1" applyFont="1" applyFill="1" applyBorder="1"/>
    <xf numFmtId="168" fontId="52" fillId="2" borderId="1" xfId="15" applyNumberFormat="1" applyFont="1" applyFill="1" applyBorder="1"/>
    <xf numFmtId="0" fontId="51" fillId="2" borderId="0" xfId="14" applyFont="1" applyFill="1"/>
    <xf numFmtId="170" fontId="51" fillId="2" borderId="0" xfId="14" applyNumberFormat="1" applyFont="1" applyFill="1"/>
    <xf numFmtId="0" fontId="17" fillId="2" borderId="1" xfId="0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/>
    </xf>
    <xf numFmtId="0" fontId="53" fillId="2" borderId="1" xfId="0" applyFont="1" applyFill="1" applyBorder="1" applyAlignment="1">
      <alignment horizontal="center" vertical="center"/>
    </xf>
    <xf numFmtId="1" fontId="53" fillId="2" borderId="1" xfId="14" applyNumberFormat="1" applyFont="1" applyFill="1" applyBorder="1"/>
    <xf numFmtId="0" fontId="53" fillId="2" borderId="1" xfId="14" applyFont="1" applyFill="1" applyBorder="1"/>
    <xf numFmtId="0" fontId="53" fillId="2" borderId="0" xfId="14" applyFont="1" applyFill="1"/>
    <xf numFmtId="165" fontId="51" fillId="2" borderId="0" xfId="1" applyFont="1" applyFill="1"/>
    <xf numFmtId="0" fontId="51" fillId="2" borderId="1" xfId="0" applyFont="1" applyFill="1" applyBorder="1" applyAlignment="1">
      <alignment vertical="center"/>
    </xf>
    <xf numFmtId="0" fontId="53" fillId="2" borderId="1" xfId="14" applyFont="1" applyFill="1" applyBorder="1" applyAlignment="1">
      <alignment horizontal="center"/>
    </xf>
    <xf numFmtId="168" fontId="53" fillId="2" borderId="1" xfId="15" applyNumberFormat="1" applyFont="1" applyFill="1" applyBorder="1"/>
    <xf numFmtId="0" fontId="2" fillId="2" borderId="0" xfId="14" applyFill="1"/>
    <xf numFmtId="0" fontId="54" fillId="2" borderId="1" xfId="14" applyFont="1" applyFill="1" applyBorder="1"/>
    <xf numFmtId="0" fontId="52" fillId="15" borderId="1" xfId="0" applyFont="1" applyFill="1" applyBorder="1" applyAlignment="1">
      <alignment horizontal="center" vertical="center"/>
    </xf>
    <xf numFmtId="0" fontId="52" fillId="15" borderId="1" xfId="0" applyFont="1" applyFill="1" applyBorder="1" applyAlignment="1">
      <alignment vertical="center"/>
    </xf>
    <xf numFmtId="0" fontId="51" fillId="15" borderId="1" xfId="14" applyFont="1" applyFill="1" applyBorder="1" applyAlignment="1">
      <alignment horizontal="center"/>
    </xf>
    <xf numFmtId="0" fontId="51" fillId="15" borderId="1" xfId="14" applyFont="1" applyFill="1" applyBorder="1"/>
    <xf numFmtId="170" fontId="51" fillId="15" borderId="1" xfId="1" applyNumberFormat="1" applyFont="1" applyFill="1" applyBorder="1"/>
    <xf numFmtId="175" fontId="51" fillId="15" borderId="1" xfId="14" applyNumberFormat="1" applyFont="1" applyFill="1" applyBorder="1"/>
    <xf numFmtId="1" fontId="51" fillId="15" borderId="1" xfId="14" applyNumberFormat="1" applyFont="1" applyFill="1" applyBorder="1"/>
    <xf numFmtId="168" fontId="52" fillId="15" borderId="1" xfId="15" applyNumberFormat="1" applyFont="1" applyFill="1" applyBorder="1"/>
    <xf numFmtId="0" fontId="51" fillId="15" borderId="0" xfId="14" applyFont="1" applyFill="1"/>
    <xf numFmtId="168" fontId="9" fillId="8" borderId="0" xfId="2" applyNumberFormat="1" applyFont="1" applyFill="1"/>
    <xf numFmtId="14" fontId="23" fillId="0" borderId="0" xfId="2" applyNumberFormat="1" applyFont="1" applyFill="1" applyBorder="1" applyAlignment="1">
      <alignment horizontal="center"/>
    </xf>
    <xf numFmtId="168" fontId="6" fillId="8" borderId="1" xfId="2" applyNumberFormat="1" applyFont="1" applyFill="1" applyBorder="1" applyAlignment="1">
      <alignment horizontal="center" vertical="center" wrapText="1"/>
    </xf>
    <xf numFmtId="168" fontId="32" fillId="8" borderId="1" xfId="2" applyNumberFormat="1" applyFont="1" applyFill="1" applyBorder="1" applyAlignment="1">
      <alignment vertical="center"/>
    </xf>
    <xf numFmtId="168" fontId="5" fillId="8" borderId="0" xfId="2" applyNumberFormat="1" applyFont="1" applyFill="1" applyBorder="1" applyAlignment="1">
      <alignment vertical="center"/>
    </xf>
    <xf numFmtId="168" fontId="39" fillId="8" borderId="0" xfId="2" applyNumberFormat="1" applyFont="1" applyFill="1" applyAlignment="1"/>
    <xf numFmtId="168" fontId="39" fillId="8" borderId="0" xfId="2" applyNumberFormat="1" applyFont="1" applyFill="1" applyBorder="1" applyAlignment="1"/>
    <xf numFmtId="168" fontId="18" fillId="8" borderId="0" xfId="2" applyNumberFormat="1" applyFont="1" applyFill="1" applyBorder="1" applyAlignment="1"/>
    <xf numFmtId="168" fontId="6" fillId="8" borderId="2" xfId="2" applyNumberFormat="1" applyFont="1" applyFill="1" applyBorder="1" applyAlignment="1">
      <alignment horizontal="center" vertical="center" wrapText="1"/>
    </xf>
    <xf numFmtId="168" fontId="5" fillId="8" borderId="0" xfId="2" applyNumberFormat="1" applyFont="1" applyFill="1"/>
    <xf numFmtId="3" fontId="28" fillId="5" borderId="1" xfId="0" applyNumberFormat="1" applyFont="1" applyFill="1" applyBorder="1" applyAlignment="1">
      <alignment horizontal="right" vertical="center" wrapText="1"/>
    </xf>
    <xf numFmtId="168" fontId="43" fillId="8" borderId="0" xfId="2" applyNumberFormat="1" applyFont="1" applyFill="1" applyBorder="1"/>
    <xf numFmtId="168" fontId="29" fillId="8" borderId="1" xfId="2" applyNumberFormat="1" applyFont="1" applyFill="1" applyBorder="1" applyAlignment="1">
      <alignment horizontal="center" vertical="center"/>
    </xf>
    <xf numFmtId="168" fontId="6" fillId="8" borderId="1" xfId="2" applyNumberFormat="1" applyFont="1" applyFill="1" applyBorder="1" applyAlignment="1">
      <alignment horizontal="center" vertical="center"/>
    </xf>
    <xf numFmtId="168" fontId="29" fillId="8" borderId="2" xfId="2" applyNumberFormat="1" applyFont="1" applyFill="1" applyBorder="1" applyAlignment="1">
      <alignment horizontal="center" vertical="center" wrapText="1"/>
    </xf>
    <xf numFmtId="168" fontId="29" fillId="8" borderId="3" xfId="2" applyNumberFormat="1" applyFont="1" applyFill="1" applyBorder="1" applyAlignment="1">
      <alignment horizontal="center" vertical="center" wrapText="1"/>
    </xf>
    <xf numFmtId="0" fontId="36" fillId="0" borderId="4" xfId="0" applyFont="1" applyBorder="1" applyAlignment="1">
      <alignment vertical="center" wrapText="1"/>
    </xf>
    <xf numFmtId="0" fontId="36" fillId="0" borderId="8" xfId="0" applyFont="1" applyBorder="1" applyAlignment="1">
      <alignment vertical="center" wrapText="1"/>
    </xf>
    <xf numFmtId="0" fontId="36" fillId="0" borderId="6" xfId="0" applyFont="1" applyBorder="1" applyAlignment="1">
      <alignment vertical="center" wrapText="1"/>
    </xf>
    <xf numFmtId="0" fontId="23" fillId="2" borderId="5" xfId="0" applyFont="1" applyFill="1" applyBorder="1" applyAlignment="1">
      <alignment vertical="center" wrapText="1"/>
    </xf>
    <xf numFmtId="0" fontId="38" fillId="2" borderId="5" xfId="3" applyNumberFormat="1" applyFont="1" applyFill="1" applyBorder="1" applyAlignment="1">
      <alignment vertical="center" wrapText="1"/>
    </xf>
    <xf numFmtId="168" fontId="20" fillId="2" borderId="1" xfId="2" applyNumberFormat="1" applyFont="1" applyFill="1" applyBorder="1" applyAlignment="1">
      <alignment horizontal="center" vertical="center" wrapText="1"/>
    </xf>
    <xf numFmtId="168" fontId="6" fillId="6" borderId="2" xfId="2" applyNumberFormat="1" applyFont="1" applyFill="1" applyBorder="1" applyAlignment="1">
      <alignment horizontal="center" vertical="center" wrapText="1"/>
    </xf>
    <xf numFmtId="168" fontId="6" fillId="6" borderId="3" xfId="2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49" fontId="28" fillId="0" borderId="2" xfId="0" applyNumberFormat="1" applyFont="1" applyBorder="1" applyAlignment="1">
      <alignment horizontal="center" vertical="center" wrapText="1"/>
    </xf>
    <xf numFmtId="49" fontId="28" fillId="0" borderId="3" xfId="0" applyNumberFormat="1" applyFont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center" vertical="center" wrapText="1"/>
    </xf>
    <xf numFmtId="170" fontId="29" fillId="0" borderId="1" xfId="1" applyNumberFormat="1" applyFont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/>
    </xf>
    <xf numFmtId="168" fontId="6" fillId="0" borderId="4" xfId="2" applyNumberFormat="1" applyFont="1" applyFill="1" applyBorder="1" applyAlignment="1">
      <alignment horizontal="center" vertical="center"/>
    </xf>
    <xf numFmtId="168" fontId="6" fillId="0" borderId="8" xfId="2" applyNumberFormat="1" applyFont="1" applyFill="1" applyBorder="1" applyAlignment="1">
      <alignment horizontal="center" vertical="center"/>
    </xf>
    <xf numFmtId="168" fontId="6" fillId="0" borderId="6" xfId="2" applyNumberFormat="1" applyFont="1" applyFill="1" applyBorder="1" applyAlignment="1">
      <alignment horizontal="center" vertical="center"/>
    </xf>
    <xf numFmtId="168" fontId="29" fillId="5" borderId="2" xfId="2" applyNumberFormat="1" applyFont="1" applyFill="1" applyBorder="1" applyAlignment="1">
      <alignment horizontal="center" vertical="center" wrapText="1"/>
    </xf>
    <xf numFmtId="168" fontId="29" fillId="5" borderId="3" xfId="2" applyNumberFormat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14" fontId="42" fillId="2" borderId="0" xfId="2" applyNumberFormat="1" applyFont="1" applyFill="1" applyAlignment="1">
      <alignment horizontal="center"/>
    </xf>
    <xf numFmtId="0" fontId="38" fillId="2" borderId="5" xfId="3" applyNumberFormat="1" applyFont="1" applyFill="1" applyBorder="1" applyAlignment="1">
      <alignment horizontal="center" vertical="center" wrapText="1"/>
    </xf>
    <xf numFmtId="168" fontId="28" fillId="6" borderId="1" xfId="2" applyNumberFormat="1" applyFont="1" applyFill="1" applyBorder="1" applyAlignment="1">
      <alignment horizontal="center" vertical="center" wrapText="1"/>
    </xf>
    <xf numFmtId="168" fontId="28" fillId="3" borderId="1" xfId="2" applyNumberFormat="1" applyFont="1" applyFill="1" applyBorder="1" applyAlignment="1">
      <alignment horizontal="center" vertical="center" wrapText="1"/>
    </xf>
    <xf numFmtId="168" fontId="28" fillId="0" borderId="1" xfId="2" applyNumberFormat="1" applyFont="1" applyFill="1" applyBorder="1" applyAlignment="1">
      <alignment horizontal="center" vertical="center" wrapText="1"/>
    </xf>
    <xf numFmtId="168" fontId="27" fillId="13" borderId="1" xfId="2" applyNumberFormat="1" applyFont="1" applyFill="1" applyBorder="1" applyAlignment="1">
      <alignment horizontal="center" vertical="center" wrapText="1"/>
    </xf>
    <xf numFmtId="168" fontId="29" fillId="8" borderId="1" xfId="2" applyNumberFormat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168" fontId="29" fillId="6" borderId="1" xfId="2" applyNumberFormat="1" applyFont="1" applyFill="1" applyBorder="1" applyAlignment="1">
      <alignment horizontal="center" vertical="center" wrapText="1"/>
    </xf>
    <xf numFmtId="168" fontId="29" fillId="8" borderId="2" xfId="2" applyNumberFormat="1" applyFont="1" applyFill="1" applyBorder="1" applyAlignment="1">
      <alignment horizontal="center" vertical="center" wrapText="1"/>
    </xf>
    <xf numFmtId="168" fontId="29" fillId="8" borderId="3" xfId="2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68" fontId="29" fillId="0" borderId="4" xfId="2" applyNumberFormat="1" applyFont="1" applyFill="1" applyBorder="1" applyAlignment="1">
      <alignment horizontal="center" vertical="center" wrapText="1"/>
    </xf>
    <xf numFmtId="168" fontId="29" fillId="0" borderId="6" xfId="2" applyNumberFormat="1" applyFont="1" applyFill="1" applyBorder="1" applyAlignment="1">
      <alignment horizontal="center" vertical="center" wrapText="1"/>
    </xf>
    <xf numFmtId="168" fontId="29" fillId="0" borderId="1" xfId="2" applyNumberFormat="1" applyFont="1" applyFill="1" applyBorder="1" applyAlignment="1">
      <alignment horizontal="center" vertical="center"/>
    </xf>
    <xf numFmtId="168" fontId="29" fillId="11" borderId="2" xfId="2" applyNumberFormat="1" applyFont="1" applyFill="1" applyBorder="1" applyAlignment="1">
      <alignment horizontal="center" vertical="center" wrapText="1"/>
    </xf>
    <xf numFmtId="168" fontId="29" fillId="11" borderId="3" xfId="2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168" fontId="29" fillId="2" borderId="1" xfId="2" applyNumberFormat="1" applyFont="1" applyFill="1" applyBorder="1" applyAlignment="1">
      <alignment horizontal="center" vertical="center" wrapText="1"/>
    </xf>
    <xf numFmtId="168" fontId="6" fillId="0" borderId="1" xfId="2" applyNumberFormat="1" applyFont="1" applyFill="1" applyBorder="1" applyAlignment="1">
      <alignment horizontal="center" vertical="center" wrapText="1"/>
    </xf>
    <xf numFmtId="0" fontId="50" fillId="0" borderId="0" xfId="14" applyFont="1" applyAlignment="1">
      <alignment horizontal="center"/>
    </xf>
    <xf numFmtId="0" fontId="2" fillId="0" borderId="1" xfId="14" applyBorder="1" applyAlignment="1">
      <alignment horizontal="center"/>
    </xf>
    <xf numFmtId="3" fontId="26" fillId="0" borderId="1" xfId="2" applyNumberFormat="1" applyFont="1" applyFill="1" applyBorder="1" applyAlignment="1">
      <alignment vertical="center"/>
    </xf>
    <xf numFmtId="3" fontId="26" fillId="2" borderId="1" xfId="2" applyNumberFormat="1" applyFont="1" applyFill="1" applyBorder="1" applyAlignment="1">
      <alignment vertical="center"/>
    </xf>
    <xf numFmtId="3" fontId="26" fillId="11" borderId="1" xfId="2" applyNumberFormat="1" applyFont="1" applyFill="1" applyBorder="1" applyAlignment="1">
      <alignment vertical="center"/>
    </xf>
    <xf numFmtId="3" fontId="32" fillId="0" borderId="1" xfId="2" applyNumberFormat="1" applyFont="1" applyFill="1" applyBorder="1" applyAlignment="1">
      <alignment vertical="center"/>
    </xf>
    <xf numFmtId="3" fontId="32" fillId="8" borderId="1" xfId="2" applyNumberFormat="1" applyFont="1" applyFill="1" applyBorder="1" applyAlignment="1">
      <alignment vertical="center"/>
    </xf>
    <xf numFmtId="3" fontId="26" fillId="2" borderId="1" xfId="2" applyNumberFormat="1" applyFont="1" applyFill="1" applyBorder="1" applyAlignment="1">
      <alignment horizontal="center" vertical="center" wrapText="1"/>
    </xf>
    <xf numFmtId="3" fontId="26" fillId="0" borderId="1" xfId="2" applyNumberFormat="1" applyFont="1" applyFill="1" applyBorder="1" applyAlignment="1">
      <alignment horizontal="center" vertical="center"/>
    </xf>
    <xf numFmtId="3" fontId="33" fillId="0" borderId="1" xfId="2" applyNumberFormat="1" applyFont="1" applyFill="1" applyBorder="1" applyAlignment="1">
      <alignment vertical="center"/>
    </xf>
    <xf numFmtId="3" fontId="26" fillId="8" borderId="1" xfId="2" applyNumberFormat="1" applyFont="1" applyFill="1" applyBorder="1" applyAlignment="1">
      <alignment vertical="center"/>
    </xf>
    <xf numFmtId="3" fontId="29" fillId="8" borderId="1" xfId="2" applyNumberFormat="1" applyFont="1" applyFill="1" applyBorder="1" applyAlignment="1">
      <alignment horizontal="center" vertical="center"/>
    </xf>
    <xf numFmtId="3" fontId="26" fillId="2" borderId="1" xfId="0" applyNumberFormat="1" applyFont="1" applyFill="1" applyBorder="1" applyAlignment="1">
      <alignment vertical="center"/>
    </xf>
    <xf numFmtId="3" fontId="33" fillId="0" borderId="1" xfId="2" applyNumberFormat="1" applyFont="1" applyFill="1" applyBorder="1" applyAlignment="1">
      <alignment horizontal="center" vertical="center" wrapText="1"/>
    </xf>
    <xf numFmtId="3" fontId="20" fillId="2" borderId="9" xfId="2" applyNumberFormat="1" applyFont="1" applyFill="1" applyBorder="1" applyAlignment="1">
      <alignment horizontal="center" vertical="center" wrapText="1"/>
    </xf>
  </cellXfs>
  <cellStyles count="20">
    <cellStyle name="20% - Accent1 2" xfId="11" xr:uid="{00000000-0005-0000-0000-000000000000}"/>
    <cellStyle name="Chuẩn 2 2" xfId="5" xr:uid="{00000000-0005-0000-0000-000006000000}"/>
    <cellStyle name="Comma" xfId="1" builtinId="3"/>
    <cellStyle name="Comma 2" xfId="12" xr:uid="{00000000-0005-0000-0000-000002000000}"/>
    <cellStyle name="Comma 3" xfId="2" xr:uid="{00000000-0005-0000-0000-000003000000}"/>
    <cellStyle name="Comma 4" xfId="15" xr:uid="{2E79C732-2D5C-4DE3-8D9A-68A83782E136}"/>
    <cellStyle name="Comma 5" xfId="17" xr:uid="{27E7E02A-099B-4AC7-96DE-61EC0071BE1F}"/>
    <cellStyle name="Comma 8" xfId="9" xr:uid="{00000000-0005-0000-0000-000004000000}"/>
    <cellStyle name="Comma 9" xfId="3" xr:uid="{00000000-0005-0000-0000-000005000000}"/>
    <cellStyle name="Normal" xfId="0" builtinId="0"/>
    <cellStyle name="Normal 2" xfId="7" xr:uid="{00000000-0005-0000-0000-000008000000}"/>
    <cellStyle name="Normal 2 2" xfId="8" xr:uid="{00000000-0005-0000-0000-000009000000}"/>
    <cellStyle name="Normal 3" xfId="6" xr:uid="{00000000-0005-0000-0000-00000A000000}"/>
    <cellStyle name="Normal 3 2" xfId="19" xr:uid="{1D5EC531-A7D7-463A-9A98-3CB1523FCEA1}"/>
    <cellStyle name="Normal 4" xfId="10" xr:uid="{00000000-0005-0000-0000-00000B000000}"/>
    <cellStyle name="Normal 5" xfId="14" xr:uid="{86398F25-74F6-4A84-9A5C-58F8B1ADE6A5}"/>
    <cellStyle name="Normal 6" xfId="13" xr:uid="{00000000-0005-0000-0000-00000C000000}"/>
    <cellStyle name="Normal 7" xfId="16" xr:uid="{C3923353-625D-4C6F-97EB-33EA53E4CF13}"/>
    <cellStyle name="Normal 8" xfId="18" xr:uid="{9C6CBE41-AB59-4553-9DE4-018C30603143}"/>
    <cellStyle name="Percent 2" xfId="4" xr:uid="{00000000-0005-0000-0000-00000D000000}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9</xdr:row>
      <xdr:rowOff>76200</xdr:rowOff>
    </xdr:from>
    <xdr:to>
      <xdr:col>7</xdr:col>
      <xdr:colOff>438150</xdr:colOff>
      <xdr:row>12</xdr:row>
      <xdr:rowOff>257175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0958F0-EF55-47F5-94A1-24DC26954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8925" y="4029075"/>
          <a:ext cx="3886200" cy="1152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DMIN/Desktop/T&#224;i%20li&#7879;u/mau-bia-so-sach-ke-toan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"/>
      <sheetName val="XXXXXXX0"/>
      <sheetName val="XXXXXXX1"/>
      <sheetName val="Calendar"/>
      <sheetName val="Thong tin"/>
      <sheetName val="Menu"/>
      <sheetName val="Thu-Chi"/>
      <sheetName val="So Sach"/>
      <sheetName val="So Cai"/>
      <sheetName val="So Cai (CTGS)"/>
      <sheetName val="NKC"/>
      <sheetName val="SO DKCTGS"/>
      <sheetName val="NVL"/>
      <sheetName val="SO NKSC"/>
      <sheetName val="NXT"/>
      <sheetName val="Quy Tien Mat"/>
      <sheetName val="Quy Tien Gui"/>
      <sheetName val="Z154"/>
      <sheetName val="Nhatkymay623"/>
      <sheetName val="CCDC"/>
      <sheetName val="BCTC"/>
      <sheetName val="HĐLĐ"/>
      <sheetName val="HĐKT"/>
      <sheetName val="Phiếu xuất kho"/>
      <sheetName val="Phiếu nhập kho"/>
      <sheetName val="Khung bia"/>
    </sheetNames>
    <sheetDataSet>
      <sheetData sheetId="0"/>
      <sheetData sheetId="1"/>
      <sheetData sheetId="2"/>
      <sheetData sheetId="3"/>
      <sheetData sheetId="4">
        <row r="10">
          <cell r="C10">
            <v>44927</v>
          </cell>
        </row>
        <row r="11">
          <cell r="C11">
            <v>45291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" defaultRowHeight="1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507F7-D6D7-435C-AB60-86F0078D482B}">
  <sheetPr>
    <tabColor rgb="FFFF0000"/>
    <outlinePr summaryBelow="0"/>
  </sheetPr>
  <dimension ref="A1:EO10"/>
  <sheetViews>
    <sheetView tabSelected="1" zoomScale="66" zoomScaleNormal="66" zoomScaleSheetLayoutView="46" workbookViewId="0">
      <pane xSplit="8" ySplit="7" topLeftCell="CM8" activePane="bottomRight" state="frozen"/>
      <selection activeCell="A190" sqref="A190:XFD190"/>
      <selection pane="topRight" activeCell="A190" sqref="A190:XFD190"/>
      <selection pane="bottomLeft" activeCell="A190" sqref="A190:XFD190"/>
      <selection pane="bottomRight" activeCell="B8" sqref="B8"/>
    </sheetView>
  </sheetViews>
  <sheetFormatPr baseColWidth="10" defaultColWidth="9.19921875" defaultRowHeight="19" outlineLevelCol="4"/>
  <cols>
    <col min="1" max="1" width="11.3984375" style="4" customWidth="1"/>
    <col min="2" max="2" width="49" style="3" customWidth="1"/>
    <col min="3" max="3" width="26.19921875" style="7" customWidth="1" outlineLevel="1"/>
    <col min="4" max="4" width="21.3984375" style="6" hidden="1" customWidth="1" outlineLevel="1"/>
    <col min="5" max="5" width="24.19921875" style="6" hidden="1" customWidth="1" outlineLevel="1"/>
    <col min="6" max="6" width="31.796875" style="7" customWidth="1" outlineLevel="1"/>
    <col min="7" max="7" width="18.796875" style="4" customWidth="1"/>
    <col min="8" max="8" width="27.796875" style="8" customWidth="1"/>
    <col min="9" max="39" width="11.19921875" style="1" customWidth="1" outlineLevel="1"/>
    <col min="40" max="42" width="15.796875" style="2" customWidth="1" outlineLevel="1"/>
    <col min="43" max="43" width="19.59765625" style="1" customWidth="1" outlineLevel="1"/>
    <col min="44" max="44" width="19.59765625" style="5" customWidth="1" outlineLevel="1"/>
    <col min="45" max="47" width="10.796875" style="1" customWidth="1" outlineLevel="1"/>
    <col min="48" max="53" width="11.19921875" style="1" customWidth="1" outlineLevel="1"/>
    <col min="54" max="54" width="11.19921875" style="9" customWidth="1" outlineLevel="1"/>
    <col min="55" max="75" width="11.19921875" style="1" customWidth="1" outlineLevel="1"/>
    <col min="76" max="76" width="16.19921875" style="91" customWidth="1" outlineLevel="1"/>
    <col min="77" max="82" width="13.3984375" style="91" customWidth="1" outlineLevel="1"/>
    <col min="83" max="83" width="14" style="127" customWidth="1"/>
    <col min="84" max="84" width="14" style="91" customWidth="1"/>
    <col min="85" max="86" width="14" style="127" customWidth="1"/>
    <col min="87" max="92" width="14" style="91" customWidth="1"/>
    <col min="93" max="93" width="14" style="91" customWidth="1" outlineLevel="1"/>
    <col min="94" max="94" width="26.19921875" style="1" customWidth="1" outlineLevel="1"/>
    <col min="95" max="95" width="26.19921875" style="9" customWidth="1" outlineLevel="1"/>
    <col min="96" max="96" width="26.19921875" style="10" customWidth="1" outlineLevel="1"/>
    <col min="97" max="97" width="24.19921875" style="1" customWidth="1" outlineLevel="1"/>
    <col min="98" max="98" width="22.3984375" style="91" customWidth="1"/>
    <col min="99" max="99" width="19.19921875" style="91" customWidth="1"/>
    <col min="100" max="100" width="21.19921875" style="91" customWidth="1"/>
    <col min="101" max="101" width="18.59765625" style="91" customWidth="1"/>
    <col min="102" max="102" width="16.19921875" style="91" customWidth="1"/>
    <col min="103" max="103" width="18.59765625" style="91" customWidth="1"/>
    <col min="104" max="104" width="16.19921875" style="91" customWidth="1"/>
    <col min="105" max="106" width="16.3984375" style="91" customWidth="1"/>
    <col min="107" max="107" width="23.3984375" style="91" customWidth="1"/>
    <col min="108" max="108" width="23.3984375" style="274" customWidth="1"/>
    <col min="109" max="109" width="22.3984375" style="104" customWidth="1"/>
    <col min="110" max="110" width="19.796875" style="9" customWidth="1"/>
    <col min="111" max="111" width="24.796875" style="9" customWidth="1"/>
    <col min="112" max="112" width="26.796875" style="9" customWidth="1"/>
    <col min="113" max="116" width="25.796875" style="9" customWidth="1"/>
    <col min="117" max="119" width="25.796875" style="112" customWidth="1"/>
    <col min="120" max="120" width="25.796875" style="9" customWidth="1"/>
    <col min="121" max="121" width="18.19921875" style="9" customWidth="1"/>
    <col min="122" max="125" width="19.796875" style="265" hidden="1" customWidth="1" outlineLevel="2"/>
    <col min="126" max="128" width="24.3984375" style="9" customWidth="1" outlineLevel="4"/>
    <col min="129" max="129" width="24.3984375" style="5" customWidth="1" outlineLevel="4"/>
    <col min="130" max="130" width="24.3984375" style="9" customWidth="1" outlineLevel="4"/>
    <col min="131" max="131" width="23.59765625" style="3" customWidth="1" outlineLevel="4"/>
    <col min="132" max="133" width="20.19921875" style="3" customWidth="1" outlineLevel="4"/>
    <col min="134" max="134" width="24.19921875" style="3" customWidth="1" outlineLevel="4"/>
    <col min="135" max="136" width="19.796875" style="3" customWidth="1" outlineLevel="4"/>
    <col min="137" max="137" width="23.796875" style="3" customWidth="1" outlineLevel="4"/>
    <col min="138" max="138" width="23.796875" style="9" customWidth="1" outlineLevel="4"/>
    <col min="139" max="139" width="17.19921875" style="3" customWidth="1" outlineLevel="4"/>
    <col min="140" max="140" width="25.3984375" style="3" customWidth="1" outlineLevel="4"/>
    <col min="141" max="141" width="24.19921875" style="3" customWidth="1" outlineLevel="4"/>
    <col min="142" max="142" width="19" style="3" customWidth="1" outlineLevel="4"/>
    <col min="143" max="143" width="21.59765625" style="3" customWidth="1" outlineLevel="4"/>
    <col min="144" max="145" width="23.796875" style="3" customWidth="1" outlineLevel="4"/>
    <col min="146" max="146" width="9.19921875" style="3"/>
    <col min="147" max="147" width="32" style="3" customWidth="1"/>
    <col min="148" max="148" width="23.796875" style="3" customWidth="1"/>
    <col min="149" max="149" width="22.59765625" style="3" customWidth="1"/>
    <col min="150" max="150" width="47.796875" style="3" customWidth="1"/>
    <col min="151" max="151" width="21" style="3" customWidth="1"/>
    <col min="152" max="152" width="34.59765625" style="3" customWidth="1"/>
    <col min="153" max="16384" width="9.19921875" style="3"/>
  </cols>
  <sheetData>
    <row r="1" spans="1:145" s="82" customFormat="1" ht="45.75" customHeight="1">
      <c r="A1" s="72" t="s">
        <v>48</v>
      </c>
      <c r="B1" s="72"/>
      <c r="C1" s="72"/>
      <c r="D1" s="72"/>
      <c r="E1" s="72"/>
      <c r="F1" s="72"/>
      <c r="G1" s="72"/>
      <c r="H1" s="72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302"/>
      <c r="AO1" s="302"/>
      <c r="AP1" s="302"/>
      <c r="AQ1" s="302"/>
      <c r="AR1" s="302"/>
      <c r="AS1" s="74"/>
      <c r="AT1" s="74"/>
      <c r="AU1" s="74"/>
      <c r="AV1" s="74"/>
      <c r="AW1" s="74"/>
      <c r="AX1" s="74"/>
      <c r="AY1" s="74"/>
      <c r="AZ1" s="74"/>
      <c r="BA1" s="74"/>
      <c r="BB1" s="75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87"/>
      <c r="BY1" s="87"/>
      <c r="BZ1" s="87"/>
      <c r="CA1" s="87"/>
      <c r="CB1" s="87"/>
      <c r="CC1" s="87"/>
      <c r="CD1" s="87"/>
      <c r="CE1" s="122"/>
      <c r="CF1" s="87"/>
      <c r="CG1" s="122"/>
      <c r="CH1" s="122"/>
      <c r="CI1" s="87"/>
      <c r="CJ1" s="87"/>
      <c r="CK1" s="87"/>
      <c r="CL1" s="87"/>
      <c r="CM1" s="87"/>
      <c r="CN1" s="87"/>
      <c r="CO1" s="92"/>
      <c r="CP1" s="76"/>
      <c r="CQ1" s="76"/>
      <c r="CR1" s="77"/>
      <c r="CS1" s="74"/>
      <c r="CT1" s="99"/>
      <c r="CU1" s="99"/>
      <c r="CV1" s="99"/>
      <c r="CW1" s="99"/>
      <c r="CX1" s="99"/>
      <c r="CY1" s="99"/>
      <c r="CZ1" s="99"/>
      <c r="DA1" s="99"/>
      <c r="DB1" s="99"/>
      <c r="DC1" s="99"/>
      <c r="DD1" s="269"/>
      <c r="DE1" s="100"/>
      <c r="DF1" s="74"/>
      <c r="DG1" s="76"/>
      <c r="DH1" s="74"/>
      <c r="DI1" s="74"/>
      <c r="DJ1" s="74"/>
      <c r="DK1" s="74"/>
      <c r="DL1" s="74"/>
      <c r="DM1" s="109"/>
      <c r="DN1" s="109"/>
      <c r="DO1" s="109"/>
      <c r="DP1" s="74"/>
      <c r="DQ1" s="76"/>
      <c r="DR1" s="276"/>
      <c r="DS1" s="276"/>
      <c r="DT1" s="276"/>
      <c r="DU1" s="276"/>
      <c r="DV1" s="74"/>
      <c r="DW1" s="78"/>
      <c r="DX1" s="79"/>
      <c r="DY1" s="79"/>
      <c r="DZ1" s="79"/>
      <c r="EA1" s="80"/>
      <c r="EB1" s="81"/>
      <c r="EC1" s="78"/>
      <c r="ED1" s="81"/>
      <c r="EH1" s="74"/>
    </row>
    <row r="2" spans="1:145" s="82" customFormat="1" ht="45.75" customHeight="1">
      <c r="A2" s="83" t="s">
        <v>181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7"/>
      <c r="BY2" s="87"/>
      <c r="BZ2" s="87"/>
      <c r="CA2" s="87"/>
      <c r="CB2" s="87"/>
      <c r="CC2" s="87"/>
      <c r="CD2" s="87"/>
      <c r="CE2" s="123"/>
      <c r="CF2" s="88"/>
      <c r="CG2" s="123"/>
      <c r="CH2" s="123"/>
      <c r="CI2" s="88"/>
      <c r="CJ2" s="88"/>
      <c r="CK2" s="88"/>
      <c r="CL2" s="88"/>
      <c r="CM2" s="88"/>
      <c r="CN2" s="88"/>
      <c r="CO2" s="93"/>
      <c r="CP2" s="83"/>
      <c r="CQ2" s="83"/>
      <c r="CR2" s="108"/>
      <c r="CS2" s="83"/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270"/>
      <c r="DE2" s="101"/>
      <c r="DF2" s="83"/>
      <c r="DG2" s="83"/>
      <c r="DH2" s="83"/>
      <c r="DI2" s="83"/>
      <c r="DJ2" s="83"/>
      <c r="DK2" s="83"/>
      <c r="DL2" s="83"/>
      <c r="DM2" s="110"/>
      <c r="DN2" s="110"/>
      <c r="DO2" s="110"/>
      <c r="DP2" s="83"/>
      <c r="DQ2" s="83"/>
      <c r="DR2" s="276"/>
      <c r="DS2" s="276"/>
      <c r="DT2" s="276"/>
      <c r="DU2" s="276"/>
      <c r="DV2" s="74"/>
      <c r="DW2" s="78"/>
      <c r="DX2" s="79"/>
      <c r="DY2" s="79"/>
      <c r="DZ2" s="79"/>
      <c r="EA2" s="80"/>
      <c r="EB2" s="81"/>
      <c r="EC2" s="78"/>
      <c r="ED2" s="81"/>
      <c r="EH2" s="74"/>
    </row>
    <row r="3" spans="1:145" s="82" customFormat="1" ht="45.75" customHeight="1">
      <c r="A3" s="83" t="s">
        <v>749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8"/>
      <c r="BY3" s="88"/>
      <c r="BZ3" s="88"/>
      <c r="CA3" s="89"/>
      <c r="CB3" s="89"/>
      <c r="CC3" s="88"/>
      <c r="CD3" s="88"/>
      <c r="CE3" s="124"/>
      <c r="CF3" s="90"/>
      <c r="CG3" s="124"/>
      <c r="CH3" s="124"/>
      <c r="CI3" s="90"/>
      <c r="CJ3" s="90"/>
      <c r="CK3" s="90"/>
      <c r="CL3" s="90"/>
      <c r="CM3" s="90"/>
      <c r="CN3" s="94"/>
      <c r="CO3" s="95"/>
      <c r="CP3" s="83"/>
      <c r="CQ3" s="83"/>
      <c r="CR3" s="108"/>
      <c r="CS3" s="83"/>
      <c r="CT3" s="95"/>
      <c r="CU3" s="95"/>
      <c r="CV3" s="95"/>
      <c r="CW3" s="95"/>
      <c r="CX3" s="95"/>
      <c r="CY3" s="95"/>
      <c r="CZ3" s="95"/>
      <c r="DA3" s="95"/>
      <c r="DB3" s="95"/>
      <c r="DC3" s="95"/>
      <c r="DD3" s="271"/>
      <c r="DE3" s="102"/>
      <c r="DF3" s="83"/>
      <c r="DG3" s="83"/>
      <c r="DH3" s="83"/>
      <c r="DI3" s="83"/>
      <c r="DJ3" s="83"/>
      <c r="DK3" s="83"/>
      <c r="DL3" s="83"/>
      <c r="DM3" s="110"/>
      <c r="DN3" s="110"/>
      <c r="DO3" s="110"/>
      <c r="DP3" s="83"/>
      <c r="DQ3" s="83"/>
      <c r="DR3" s="137"/>
      <c r="DS3" s="137"/>
      <c r="DT3" s="137"/>
      <c r="DU3" s="137"/>
      <c r="DV3" s="83"/>
      <c r="DW3" s="83"/>
      <c r="DX3" s="83"/>
      <c r="DY3" s="84"/>
      <c r="DZ3" s="83"/>
      <c r="EA3" s="85"/>
      <c r="EB3" s="85"/>
      <c r="EC3" s="85"/>
      <c r="EE3" s="86"/>
      <c r="EF3" s="86"/>
      <c r="EG3" s="86"/>
      <c r="EH3" s="74"/>
    </row>
    <row r="4" spans="1:145" s="13" customFormat="1" ht="52.5" customHeight="1">
      <c r="A4" s="22"/>
      <c r="B4" s="24"/>
      <c r="C4" s="23"/>
      <c r="D4" s="24"/>
      <c r="E4" s="22" t="s">
        <v>314</v>
      </c>
      <c r="F4" s="23">
        <v>0</v>
      </c>
      <c r="G4" s="25"/>
      <c r="H4" s="266"/>
      <c r="I4" s="303" t="s">
        <v>46</v>
      </c>
      <c r="J4" s="303"/>
      <c r="K4" s="284">
        <v>1</v>
      </c>
      <c r="L4" s="284"/>
      <c r="M4" s="303" t="s">
        <v>47</v>
      </c>
      <c r="N4" s="303"/>
      <c r="O4" s="285">
        <v>2025</v>
      </c>
      <c r="P4" s="285"/>
      <c r="Q4" s="26"/>
      <c r="R4" s="303"/>
      <c r="S4" s="303"/>
      <c r="T4" s="303"/>
      <c r="U4" s="26"/>
      <c r="V4" s="303"/>
      <c r="W4" s="303"/>
      <c r="X4" s="303"/>
      <c r="Y4" s="303"/>
      <c r="Z4" s="303"/>
      <c r="AA4" s="303"/>
      <c r="AB4" s="303"/>
      <c r="AC4" s="303"/>
      <c r="AD4" s="26"/>
      <c r="AE4" s="27"/>
      <c r="AF4" s="303"/>
      <c r="AG4" s="303"/>
      <c r="AH4" s="303"/>
      <c r="AI4" s="26"/>
      <c r="AJ4" s="26"/>
      <c r="AK4" s="26"/>
      <c r="AL4" s="28"/>
      <c r="AM4" s="29"/>
      <c r="AN4" s="30"/>
      <c r="AO4" s="30"/>
      <c r="AP4" s="30"/>
      <c r="AQ4" s="31"/>
      <c r="AR4" s="32"/>
      <c r="AS4" s="303" t="s">
        <v>46</v>
      </c>
      <c r="AT4" s="303"/>
      <c r="AU4" s="324">
        <f>K4</f>
        <v>1</v>
      </c>
      <c r="AV4" s="324"/>
      <c r="AW4" s="303" t="s">
        <v>47</v>
      </c>
      <c r="AX4" s="303"/>
      <c r="AY4" s="303">
        <v>2025</v>
      </c>
      <c r="AZ4" s="303"/>
      <c r="BA4" s="26"/>
      <c r="BB4" s="303"/>
      <c r="BC4" s="303"/>
      <c r="BD4" s="303"/>
      <c r="BE4" s="26"/>
      <c r="BF4" s="303"/>
      <c r="BG4" s="303"/>
      <c r="BH4" s="303"/>
      <c r="BI4" s="303"/>
      <c r="BJ4" s="303"/>
      <c r="BK4" s="303"/>
      <c r="BL4" s="303"/>
      <c r="BM4" s="303"/>
      <c r="BN4" s="26"/>
      <c r="BO4" s="27"/>
      <c r="BP4" s="303"/>
      <c r="BQ4" s="303"/>
      <c r="BR4" s="303"/>
      <c r="BS4" s="33"/>
      <c r="BT4" s="33" t="str">
        <f>IF(WEEKDAY(BT5,1)=1,"CN","")</f>
        <v/>
      </c>
      <c r="BU4" s="33" t="str">
        <f>IF(WEEKDAY(BU5,1)=1,"CN","")</f>
        <v/>
      </c>
      <c r="BV4" s="33" t="str">
        <f>IF(WEEKDAY(BV5,1)=1,"CN","")</f>
        <v/>
      </c>
      <c r="BW4" s="33" t="str">
        <f>IF(WEEKDAY(BW5,1)=1,"CN","")</f>
        <v/>
      </c>
      <c r="BX4" s="90"/>
      <c r="BY4" s="90"/>
      <c r="BZ4" s="90"/>
      <c r="CA4" s="90"/>
      <c r="CB4" s="90"/>
      <c r="CC4" s="90"/>
      <c r="CD4" s="90"/>
      <c r="CE4" s="125"/>
      <c r="CF4" s="96"/>
      <c r="CG4" s="125"/>
      <c r="CH4" s="125"/>
      <c r="CI4" s="96"/>
      <c r="CJ4" s="96"/>
      <c r="CK4" s="96"/>
      <c r="CL4" s="96"/>
      <c r="CM4" s="96"/>
      <c r="CN4" s="96"/>
      <c r="CO4" s="97"/>
      <c r="CP4" s="34"/>
      <c r="CQ4" s="34"/>
      <c r="CR4" s="35"/>
      <c r="CS4" s="34"/>
      <c r="CT4" s="97"/>
      <c r="CU4" s="97"/>
      <c r="CV4" s="97"/>
      <c r="CW4" s="97"/>
      <c r="CX4" s="97"/>
      <c r="CY4" s="97"/>
      <c r="CZ4" s="97"/>
      <c r="DA4" s="97"/>
      <c r="DB4" s="97"/>
      <c r="DC4" s="97"/>
      <c r="DD4" s="272"/>
      <c r="DE4" s="103"/>
      <c r="DF4" s="34"/>
      <c r="DG4" s="34"/>
      <c r="DH4" s="34" t="e">
        <f>+DH10</f>
        <v>#REF!</v>
      </c>
      <c r="DI4" s="34"/>
      <c r="DJ4" s="34" t="e">
        <f>+DJ10</f>
        <v>#REF!</v>
      </c>
      <c r="DK4" s="34" t="e">
        <f>+DK10</f>
        <v>#REF!</v>
      </c>
      <c r="DL4" s="34" t="e">
        <f>+DL10</f>
        <v>#REF!</v>
      </c>
      <c r="DM4" s="111"/>
      <c r="DN4" s="111"/>
      <c r="DO4" s="111"/>
      <c r="DP4" s="34" t="e">
        <f>+DP10</f>
        <v>#REF!</v>
      </c>
      <c r="DQ4" s="34"/>
      <c r="DR4" s="229"/>
      <c r="DS4" s="229"/>
      <c r="DT4" s="229"/>
      <c r="DU4" s="229"/>
      <c r="DV4" s="34" t="e">
        <f>+$DV$10</f>
        <v>#REF!</v>
      </c>
      <c r="DW4" s="34" t="e">
        <f>+DW10</f>
        <v>#REF!</v>
      </c>
      <c r="DX4" s="34" t="e">
        <f>+$DX$10</f>
        <v>#REF!</v>
      </c>
      <c r="DY4" s="34" t="e">
        <f>+DY10</f>
        <v>#REF!</v>
      </c>
      <c r="DZ4" s="34" t="e">
        <f>+DZ10</f>
        <v>#REF!</v>
      </c>
      <c r="EA4" s="36"/>
      <c r="EB4" s="37"/>
      <c r="EC4" s="11"/>
      <c r="ED4" s="34" t="e">
        <f>+ED10</f>
        <v>#REF!</v>
      </c>
      <c r="EH4" s="12"/>
    </row>
    <row r="5" spans="1:145" s="14" customFormat="1" ht="43.5" customHeight="1">
      <c r="A5" s="289" t="s">
        <v>0</v>
      </c>
      <c r="B5" s="289" t="s">
        <v>1</v>
      </c>
      <c r="C5" s="322" t="s">
        <v>2</v>
      </c>
      <c r="D5" s="290" t="s">
        <v>326</v>
      </c>
      <c r="E5" s="289" t="s">
        <v>180</v>
      </c>
      <c r="F5" s="289" t="s">
        <v>750</v>
      </c>
      <c r="G5" s="289" t="s">
        <v>3</v>
      </c>
      <c r="H5" s="294" t="s">
        <v>4</v>
      </c>
      <c r="I5" s="38">
        <f>+DATE(O4,K4,1)</f>
        <v>45658</v>
      </c>
      <c r="J5" s="38">
        <f>I5+1</f>
        <v>45659</v>
      </c>
      <c r="K5" s="38">
        <f t="shared" ref="K5:AM5" si="0">J5+1</f>
        <v>45660</v>
      </c>
      <c r="L5" s="39">
        <f>K5+1</f>
        <v>45661</v>
      </c>
      <c r="M5" s="39">
        <f t="shared" si="0"/>
        <v>45662</v>
      </c>
      <c r="N5" s="39">
        <f t="shared" si="0"/>
        <v>45663</v>
      </c>
      <c r="O5" s="39">
        <f t="shared" si="0"/>
        <v>45664</v>
      </c>
      <c r="P5" s="39">
        <f t="shared" si="0"/>
        <v>45665</v>
      </c>
      <c r="Q5" s="39">
        <f t="shared" si="0"/>
        <v>45666</v>
      </c>
      <c r="R5" s="39">
        <f t="shared" si="0"/>
        <v>45667</v>
      </c>
      <c r="S5" s="39">
        <f t="shared" si="0"/>
        <v>45668</v>
      </c>
      <c r="T5" s="39">
        <f t="shared" si="0"/>
        <v>45669</v>
      </c>
      <c r="U5" s="39">
        <f t="shared" si="0"/>
        <v>45670</v>
      </c>
      <c r="V5" s="39">
        <f t="shared" si="0"/>
        <v>45671</v>
      </c>
      <c r="W5" s="39">
        <f t="shared" si="0"/>
        <v>45672</v>
      </c>
      <c r="X5" s="39">
        <f t="shared" si="0"/>
        <v>45673</v>
      </c>
      <c r="Y5" s="39">
        <f t="shared" si="0"/>
        <v>45674</v>
      </c>
      <c r="Z5" s="39">
        <f t="shared" si="0"/>
        <v>45675</v>
      </c>
      <c r="AA5" s="39">
        <f t="shared" si="0"/>
        <v>45676</v>
      </c>
      <c r="AB5" s="39">
        <f t="shared" si="0"/>
        <v>45677</v>
      </c>
      <c r="AC5" s="39">
        <f t="shared" si="0"/>
        <v>45678</v>
      </c>
      <c r="AD5" s="39">
        <f t="shared" si="0"/>
        <v>45679</v>
      </c>
      <c r="AE5" s="40">
        <f t="shared" si="0"/>
        <v>45680</v>
      </c>
      <c r="AF5" s="40">
        <f t="shared" si="0"/>
        <v>45681</v>
      </c>
      <c r="AG5" s="40">
        <f t="shared" si="0"/>
        <v>45682</v>
      </c>
      <c r="AH5" s="40">
        <f t="shared" si="0"/>
        <v>45683</v>
      </c>
      <c r="AI5" s="40">
        <f t="shared" si="0"/>
        <v>45684</v>
      </c>
      <c r="AJ5" s="40">
        <f t="shared" si="0"/>
        <v>45685</v>
      </c>
      <c r="AK5" s="40">
        <f t="shared" si="0"/>
        <v>45686</v>
      </c>
      <c r="AL5" s="40">
        <f t="shared" si="0"/>
        <v>45687</v>
      </c>
      <c r="AM5" s="40">
        <f t="shared" si="0"/>
        <v>45688</v>
      </c>
      <c r="AN5" s="293" t="s">
        <v>348</v>
      </c>
      <c r="AO5" s="293" t="s">
        <v>349</v>
      </c>
      <c r="AP5" s="293" t="s">
        <v>350</v>
      </c>
      <c r="AQ5" s="292" t="s">
        <v>5</v>
      </c>
      <c r="AR5" s="292" t="s">
        <v>6</v>
      </c>
      <c r="AS5" s="41">
        <f>+I5</f>
        <v>45658</v>
      </c>
      <c r="AT5" s="41">
        <f>+AS5+1</f>
        <v>45659</v>
      </c>
      <c r="AU5" s="41">
        <f t="shared" ref="AU5:BW5" si="1">+AT5+1</f>
        <v>45660</v>
      </c>
      <c r="AV5" s="41">
        <f t="shared" si="1"/>
        <v>45661</v>
      </c>
      <c r="AW5" s="41">
        <f t="shared" si="1"/>
        <v>45662</v>
      </c>
      <c r="AX5" s="41">
        <f t="shared" si="1"/>
        <v>45663</v>
      </c>
      <c r="AY5" s="41">
        <f t="shared" si="1"/>
        <v>45664</v>
      </c>
      <c r="AZ5" s="41">
        <f t="shared" si="1"/>
        <v>45665</v>
      </c>
      <c r="BA5" s="41">
        <f t="shared" si="1"/>
        <v>45666</v>
      </c>
      <c r="BB5" s="42">
        <f t="shared" si="1"/>
        <v>45667</v>
      </c>
      <c r="BC5" s="41">
        <f t="shared" si="1"/>
        <v>45668</v>
      </c>
      <c r="BD5" s="41">
        <f t="shared" si="1"/>
        <v>45669</v>
      </c>
      <c r="BE5" s="41">
        <f t="shared" si="1"/>
        <v>45670</v>
      </c>
      <c r="BF5" s="41">
        <f t="shared" si="1"/>
        <v>45671</v>
      </c>
      <c r="BG5" s="41">
        <f t="shared" si="1"/>
        <v>45672</v>
      </c>
      <c r="BH5" s="41">
        <f t="shared" si="1"/>
        <v>45673</v>
      </c>
      <c r="BI5" s="41">
        <f t="shared" si="1"/>
        <v>45674</v>
      </c>
      <c r="BJ5" s="41">
        <f t="shared" si="1"/>
        <v>45675</v>
      </c>
      <c r="BK5" s="41">
        <f t="shared" si="1"/>
        <v>45676</v>
      </c>
      <c r="BL5" s="41">
        <f t="shared" si="1"/>
        <v>45677</v>
      </c>
      <c r="BM5" s="41">
        <f t="shared" si="1"/>
        <v>45678</v>
      </c>
      <c r="BN5" s="41">
        <f t="shared" si="1"/>
        <v>45679</v>
      </c>
      <c r="BO5" s="41">
        <f t="shared" si="1"/>
        <v>45680</v>
      </c>
      <c r="BP5" s="41">
        <f t="shared" si="1"/>
        <v>45681</v>
      </c>
      <c r="BQ5" s="41">
        <f t="shared" si="1"/>
        <v>45682</v>
      </c>
      <c r="BR5" s="41">
        <f t="shared" si="1"/>
        <v>45683</v>
      </c>
      <c r="BS5" s="41">
        <f t="shared" si="1"/>
        <v>45684</v>
      </c>
      <c r="BT5" s="41">
        <f t="shared" si="1"/>
        <v>45685</v>
      </c>
      <c r="BU5" s="41">
        <f t="shared" si="1"/>
        <v>45686</v>
      </c>
      <c r="BV5" s="41">
        <f t="shared" si="1"/>
        <v>45687</v>
      </c>
      <c r="BW5" s="41">
        <f t="shared" si="1"/>
        <v>45688</v>
      </c>
      <c r="BX5" s="296" t="s">
        <v>393</v>
      </c>
      <c r="BY5" s="297"/>
      <c r="BZ5" s="297"/>
      <c r="CA5" s="297"/>
      <c r="CB5" s="297"/>
      <c r="CC5" s="297"/>
      <c r="CD5" s="298"/>
      <c r="CE5" s="295" t="s">
        <v>33</v>
      </c>
      <c r="CF5" s="295"/>
      <c r="CG5" s="295"/>
      <c r="CH5" s="295"/>
      <c r="CI5" s="295"/>
      <c r="CJ5" s="295"/>
      <c r="CK5" s="295"/>
      <c r="CL5" s="295"/>
      <c r="CM5" s="295"/>
      <c r="CN5" s="295"/>
      <c r="CO5" s="295"/>
      <c r="CP5" s="319" t="s">
        <v>36</v>
      </c>
      <c r="CQ5" s="319"/>
      <c r="CR5" s="320" t="s">
        <v>35</v>
      </c>
      <c r="CS5" s="325" t="s">
        <v>37</v>
      </c>
      <c r="CT5" s="326" t="s">
        <v>372</v>
      </c>
      <c r="CU5" s="326"/>
      <c r="CV5" s="326"/>
      <c r="CW5" s="326"/>
      <c r="CX5" s="326"/>
      <c r="CY5" s="326"/>
      <c r="CZ5" s="326"/>
      <c r="DA5" s="326"/>
      <c r="DB5" s="326"/>
      <c r="DC5" s="326"/>
      <c r="DD5" s="273"/>
      <c r="DE5" s="299" t="s">
        <v>382</v>
      </c>
      <c r="DF5" s="317" t="s">
        <v>346</v>
      </c>
      <c r="DG5" s="318"/>
      <c r="DH5" s="304" t="s">
        <v>38</v>
      </c>
      <c r="DI5" s="305" t="s">
        <v>8</v>
      </c>
      <c r="DJ5" s="306" t="s">
        <v>175</v>
      </c>
      <c r="DK5" s="306"/>
      <c r="DL5" s="306"/>
      <c r="DM5" s="306"/>
      <c r="DN5" s="306"/>
      <c r="DO5" s="306"/>
      <c r="DP5" s="307" t="s">
        <v>12</v>
      </c>
      <c r="DQ5" s="306" t="s">
        <v>14</v>
      </c>
      <c r="DR5" s="308" t="s">
        <v>747</v>
      </c>
      <c r="DS5" s="313" t="s">
        <v>745</v>
      </c>
      <c r="DT5" s="279"/>
      <c r="DU5" s="313" t="s">
        <v>745</v>
      </c>
      <c r="DV5" s="306" t="s">
        <v>13</v>
      </c>
      <c r="DW5" s="309" t="s">
        <v>15</v>
      </c>
      <c r="DX5" s="310" t="s">
        <v>41</v>
      </c>
      <c r="DY5" s="311"/>
      <c r="DZ5" s="310"/>
      <c r="EA5" s="301" t="s">
        <v>40</v>
      </c>
      <c r="EB5" s="301"/>
      <c r="EC5" s="301"/>
      <c r="ED5" s="301"/>
      <c r="EE5" s="312" t="s">
        <v>391</v>
      </c>
      <c r="EF5" s="287" t="s">
        <v>392</v>
      </c>
      <c r="EG5" s="306" t="s">
        <v>7</v>
      </c>
      <c r="EH5" s="316" t="s">
        <v>43</v>
      </c>
      <c r="EI5" s="316"/>
      <c r="EJ5" s="316" t="s">
        <v>44</v>
      </c>
      <c r="EK5" s="316" t="s">
        <v>45</v>
      </c>
      <c r="EL5" s="316" t="s">
        <v>176</v>
      </c>
      <c r="EM5" s="315" t="s">
        <v>327</v>
      </c>
      <c r="EN5" s="315" t="s">
        <v>329</v>
      </c>
      <c r="EO5" s="315" t="s">
        <v>328</v>
      </c>
    </row>
    <row r="6" spans="1:145" s="16" customFormat="1" ht="147.75" customHeight="1">
      <c r="A6" s="289"/>
      <c r="B6" s="289"/>
      <c r="C6" s="323"/>
      <c r="D6" s="291"/>
      <c r="E6" s="289"/>
      <c r="F6" s="289"/>
      <c r="G6" s="289"/>
      <c r="H6" s="294"/>
      <c r="I6" s="45">
        <f>IF(WEEKDAY(I5)=1,"CN",WEEKDAY(I5))</f>
        <v>4</v>
      </c>
      <c r="J6" s="45">
        <f>IF(WEEKDAY(J5)=1,"CN",WEEKDAY(J5))</f>
        <v>5</v>
      </c>
      <c r="K6" s="45">
        <f t="shared" ref="K6:AM6" si="2">IF(WEEKDAY(K5)=1,"CN",WEEKDAY(K5))</f>
        <v>6</v>
      </c>
      <c r="L6" s="46">
        <f t="shared" si="2"/>
        <v>7</v>
      </c>
      <c r="M6" s="46" t="str">
        <f t="shared" si="2"/>
        <v>CN</v>
      </c>
      <c r="N6" s="46">
        <f t="shared" si="2"/>
        <v>2</v>
      </c>
      <c r="O6" s="46">
        <f t="shared" si="2"/>
        <v>3</v>
      </c>
      <c r="P6" s="46">
        <f t="shared" si="2"/>
        <v>4</v>
      </c>
      <c r="Q6" s="46">
        <f t="shared" si="2"/>
        <v>5</v>
      </c>
      <c r="R6" s="46">
        <f t="shared" si="2"/>
        <v>6</v>
      </c>
      <c r="S6" s="46">
        <f t="shared" si="2"/>
        <v>7</v>
      </c>
      <c r="T6" s="46" t="str">
        <f t="shared" si="2"/>
        <v>CN</v>
      </c>
      <c r="U6" s="46">
        <f t="shared" si="2"/>
        <v>2</v>
      </c>
      <c r="V6" s="46">
        <f t="shared" si="2"/>
        <v>3</v>
      </c>
      <c r="W6" s="46">
        <f t="shared" si="2"/>
        <v>4</v>
      </c>
      <c r="X6" s="46">
        <f t="shared" si="2"/>
        <v>5</v>
      </c>
      <c r="Y6" s="46">
        <f t="shared" si="2"/>
        <v>6</v>
      </c>
      <c r="Z6" s="46">
        <f t="shared" si="2"/>
        <v>7</v>
      </c>
      <c r="AA6" s="46" t="str">
        <f t="shared" si="2"/>
        <v>CN</v>
      </c>
      <c r="AB6" s="46">
        <f t="shared" si="2"/>
        <v>2</v>
      </c>
      <c r="AC6" s="46">
        <f t="shared" si="2"/>
        <v>3</v>
      </c>
      <c r="AD6" s="46">
        <f t="shared" si="2"/>
        <v>4</v>
      </c>
      <c r="AE6" s="46">
        <f t="shared" si="2"/>
        <v>5</v>
      </c>
      <c r="AF6" s="46">
        <f t="shared" si="2"/>
        <v>6</v>
      </c>
      <c r="AG6" s="46">
        <f t="shared" si="2"/>
        <v>7</v>
      </c>
      <c r="AH6" s="46" t="str">
        <f t="shared" si="2"/>
        <v>CN</v>
      </c>
      <c r="AI6" s="46">
        <f t="shared" si="2"/>
        <v>2</v>
      </c>
      <c r="AJ6" s="46">
        <f t="shared" si="2"/>
        <v>3</v>
      </c>
      <c r="AK6" s="46">
        <f t="shared" si="2"/>
        <v>4</v>
      </c>
      <c r="AL6" s="46">
        <f t="shared" si="2"/>
        <v>5</v>
      </c>
      <c r="AM6" s="46">
        <f t="shared" si="2"/>
        <v>6</v>
      </c>
      <c r="AN6" s="293"/>
      <c r="AO6" s="293"/>
      <c r="AP6" s="293"/>
      <c r="AQ6" s="292"/>
      <c r="AR6" s="292"/>
      <c r="AS6" s="47">
        <f>+I6</f>
        <v>4</v>
      </c>
      <c r="AT6" s="47">
        <f t="shared" ref="AT6:BW6" si="3">+J6</f>
        <v>5</v>
      </c>
      <c r="AU6" s="47">
        <f t="shared" si="3"/>
        <v>6</v>
      </c>
      <c r="AV6" s="47">
        <f t="shared" si="3"/>
        <v>7</v>
      </c>
      <c r="AW6" s="47" t="str">
        <f>+M6</f>
        <v>CN</v>
      </c>
      <c r="AX6" s="47">
        <f t="shared" si="3"/>
        <v>2</v>
      </c>
      <c r="AY6" s="47">
        <f t="shared" si="3"/>
        <v>3</v>
      </c>
      <c r="AZ6" s="47">
        <f t="shared" si="3"/>
        <v>4</v>
      </c>
      <c r="BA6" s="47">
        <f t="shared" si="3"/>
        <v>5</v>
      </c>
      <c r="BB6" s="48">
        <f t="shared" si="3"/>
        <v>6</v>
      </c>
      <c r="BC6" s="47">
        <f t="shared" si="3"/>
        <v>7</v>
      </c>
      <c r="BD6" s="47" t="str">
        <f t="shared" si="3"/>
        <v>CN</v>
      </c>
      <c r="BE6" s="47">
        <f t="shared" si="3"/>
        <v>2</v>
      </c>
      <c r="BF6" s="47">
        <f t="shared" si="3"/>
        <v>3</v>
      </c>
      <c r="BG6" s="47">
        <f t="shared" si="3"/>
        <v>4</v>
      </c>
      <c r="BH6" s="47">
        <f t="shared" si="3"/>
        <v>5</v>
      </c>
      <c r="BI6" s="47">
        <f t="shared" si="3"/>
        <v>6</v>
      </c>
      <c r="BJ6" s="47">
        <f t="shared" si="3"/>
        <v>7</v>
      </c>
      <c r="BK6" s="47" t="str">
        <f t="shared" si="3"/>
        <v>CN</v>
      </c>
      <c r="BL6" s="47">
        <f t="shared" si="3"/>
        <v>2</v>
      </c>
      <c r="BM6" s="47">
        <f t="shared" si="3"/>
        <v>3</v>
      </c>
      <c r="BN6" s="47">
        <f t="shared" si="3"/>
        <v>4</v>
      </c>
      <c r="BO6" s="47">
        <f t="shared" si="3"/>
        <v>5</v>
      </c>
      <c r="BP6" s="47">
        <f t="shared" si="3"/>
        <v>6</v>
      </c>
      <c r="BQ6" s="47">
        <f t="shared" si="3"/>
        <v>7</v>
      </c>
      <c r="BR6" s="47" t="str">
        <f t="shared" si="3"/>
        <v>CN</v>
      </c>
      <c r="BS6" s="47">
        <f t="shared" si="3"/>
        <v>2</v>
      </c>
      <c r="BT6" s="47">
        <f t="shared" si="3"/>
        <v>3</v>
      </c>
      <c r="BU6" s="47">
        <f t="shared" si="3"/>
        <v>4</v>
      </c>
      <c r="BV6" s="47">
        <f t="shared" si="3"/>
        <v>5</v>
      </c>
      <c r="BW6" s="47">
        <f t="shared" si="3"/>
        <v>6</v>
      </c>
      <c r="BX6" s="121" t="s">
        <v>355</v>
      </c>
      <c r="BY6" s="121" t="s">
        <v>356</v>
      </c>
      <c r="BZ6" s="121" t="s">
        <v>357</v>
      </c>
      <c r="CA6" s="121" t="s">
        <v>358</v>
      </c>
      <c r="CB6" s="121" t="s">
        <v>359</v>
      </c>
      <c r="CC6" s="121" t="s">
        <v>360</v>
      </c>
      <c r="CD6" s="121" t="s">
        <v>361</v>
      </c>
      <c r="CE6" s="113" t="s">
        <v>362</v>
      </c>
      <c r="CF6" s="113" t="s">
        <v>363</v>
      </c>
      <c r="CG6" s="113" t="s">
        <v>34</v>
      </c>
      <c r="CH6" s="114" t="s">
        <v>364</v>
      </c>
      <c r="CI6" s="115" t="s">
        <v>365</v>
      </c>
      <c r="CJ6" s="116" t="s">
        <v>366</v>
      </c>
      <c r="CK6" s="117" t="s">
        <v>367</v>
      </c>
      <c r="CL6" s="98" t="s">
        <v>368</v>
      </c>
      <c r="CM6" s="118" t="s">
        <v>369</v>
      </c>
      <c r="CN6" s="119" t="s">
        <v>370</v>
      </c>
      <c r="CO6" s="120" t="s">
        <v>371</v>
      </c>
      <c r="CP6" s="21" t="s">
        <v>16</v>
      </c>
      <c r="CQ6" s="21" t="s">
        <v>17</v>
      </c>
      <c r="CR6" s="321"/>
      <c r="CS6" s="325"/>
      <c r="CT6" s="113" t="s">
        <v>373</v>
      </c>
      <c r="CU6" s="129" t="s">
        <v>374</v>
      </c>
      <c r="CV6" s="115" t="s">
        <v>375</v>
      </c>
      <c r="CW6" s="130" t="s">
        <v>376</v>
      </c>
      <c r="CX6" s="131" t="s">
        <v>377</v>
      </c>
      <c r="CY6" s="132" t="s">
        <v>378</v>
      </c>
      <c r="CZ6" s="133" t="s">
        <v>379</v>
      </c>
      <c r="DA6" s="134" t="s">
        <v>380</v>
      </c>
      <c r="DB6" s="135" t="s">
        <v>381</v>
      </c>
      <c r="DC6" s="133" t="s">
        <v>35</v>
      </c>
      <c r="DD6" s="267" t="s">
        <v>746</v>
      </c>
      <c r="DE6" s="300"/>
      <c r="DF6" s="21" t="s">
        <v>16</v>
      </c>
      <c r="DG6" s="21" t="s">
        <v>17</v>
      </c>
      <c r="DH6" s="304"/>
      <c r="DI6" s="305"/>
      <c r="DJ6" s="43" t="s">
        <v>9</v>
      </c>
      <c r="DK6" s="43" t="s">
        <v>10</v>
      </c>
      <c r="DL6" s="43" t="s">
        <v>11</v>
      </c>
      <c r="DM6" s="43" t="s">
        <v>383</v>
      </c>
      <c r="DN6" s="43" t="s">
        <v>384</v>
      </c>
      <c r="DO6" s="43" t="s">
        <v>385</v>
      </c>
      <c r="DP6" s="307"/>
      <c r="DQ6" s="306"/>
      <c r="DR6" s="308"/>
      <c r="DS6" s="314"/>
      <c r="DT6" s="280" t="s">
        <v>748</v>
      </c>
      <c r="DU6" s="314"/>
      <c r="DV6" s="306"/>
      <c r="DW6" s="309"/>
      <c r="DX6" s="49">
        <v>0.17499999999999999</v>
      </c>
      <c r="DY6" s="50">
        <v>0.03</v>
      </c>
      <c r="DZ6" s="49">
        <v>0.01</v>
      </c>
      <c r="EA6" s="15" t="s">
        <v>18</v>
      </c>
      <c r="EB6" s="15" t="s">
        <v>19</v>
      </c>
      <c r="EC6" s="21" t="s">
        <v>20</v>
      </c>
      <c r="ED6" s="21" t="s">
        <v>39</v>
      </c>
      <c r="EE6" s="312"/>
      <c r="EF6" s="288"/>
      <c r="EG6" s="306"/>
      <c r="EH6" s="44" t="s">
        <v>177</v>
      </c>
      <c r="EI6" s="44" t="s">
        <v>178</v>
      </c>
      <c r="EJ6" s="316"/>
      <c r="EK6" s="316"/>
      <c r="EL6" s="316"/>
      <c r="EM6" s="315"/>
      <c r="EN6" s="315"/>
      <c r="EO6" s="315"/>
    </row>
    <row r="7" spans="1:145" s="16" customFormat="1" ht="51.75" customHeight="1">
      <c r="A7" s="281"/>
      <c r="B7" s="282"/>
      <c r="C7" s="282"/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  <c r="AC7" s="282"/>
      <c r="AD7" s="282"/>
      <c r="AE7" s="282"/>
      <c r="AF7" s="282"/>
      <c r="AG7" s="282"/>
      <c r="AH7" s="282"/>
      <c r="AI7" s="282"/>
      <c r="AJ7" s="282"/>
      <c r="AK7" s="282"/>
      <c r="AL7" s="282"/>
      <c r="AM7" s="282"/>
      <c r="AN7" s="282"/>
      <c r="AO7" s="282"/>
      <c r="AP7" s="282"/>
      <c r="AQ7" s="282"/>
      <c r="AR7" s="282"/>
      <c r="AS7" s="282"/>
      <c r="AT7" s="282"/>
      <c r="AU7" s="282"/>
      <c r="AV7" s="282"/>
      <c r="AW7" s="282"/>
      <c r="AX7" s="282"/>
      <c r="AY7" s="282"/>
      <c r="AZ7" s="282"/>
      <c r="BA7" s="282"/>
      <c r="BB7" s="282"/>
      <c r="BC7" s="282"/>
      <c r="BD7" s="282"/>
      <c r="BE7" s="282"/>
      <c r="BF7" s="282"/>
      <c r="BG7" s="282"/>
      <c r="BH7" s="282"/>
      <c r="BI7" s="282"/>
      <c r="BJ7" s="282"/>
      <c r="BK7" s="282"/>
      <c r="BL7" s="282"/>
      <c r="BM7" s="282"/>
      <c r="BN7" s="282"/>
      <c r="BO7" s="282"/>
      <c r="BP7" s="282"/>
      <c r="BQ7" s="282"/>
      <c r="BR7" s="282"/>
      <c r="BS7" s="282"/>
      <c r="BT7" s="282"/>
      <c r="BU7" s="282"/>
      <c r="BV7" s="282"/>
      <c r="BW7" s="282"/>
      <c r="BX7" s="282"/>
      <c r="BY7" s="282"/>
      <c r="BZ7" s="282"/>
      <c r="CA7" s="282"/>
      <c r="CB7" s="282"/>
      <c r="CC7" s="282"/>
      <c r="CD7" s="282"/>
      <c r="CE7" s="282"/>
      <c r="CF7" s="282"/>
      <c r="CG7" s="282"/>
      <c r="CH7" s="282"/>
      <c r="CI7" s="282"/>
      <c r="CJ7" s="282"/>
      <c r="CK7" s="282"/>
      <c r="CL7" s="282"/>
      <c r="CM7" s="282"/>
      <c r="CN7" s="282"/>
      <c r="CO7" s="282"/>
      <c r="CP7" s="282"/>
      <c r="CQ7" s="282"/>
      <c r="CR7" s="282"/>
      <c r="CS7" s="282"/>
      <c r="CT7" s="282"/>
      <c r="CU7" s="282"/>
      <c r="CV7" s="282"/>
      <c r="CW7" s="282"/>
      <c r="CX7" s="282"/>
      <c r="CY7" s="282"/>
      <c r="CZ7" s="282"/>
      <c r="DA7" s="282"/>
      <c r="DB7" s="282"/>
      <c r="DC7" s="282"/>
      <c r="DD7" s="282"/>
      <c r="DE7" s="282"/>
      <c r="DF7" s="282"/>
      <c r="DG7" s="282"/>
      <c r="DH7" s="282"/>
      <c r="DI7" s="282"/>
      <c r="DJ7" s="282"/>
      <c r="DK7" s="282"/>
      <c r="DL7" s="282"/>
      <c r="DM7" s="282"/>
      <c r="DN7" s="282"/>
      <c r="DO7" s="282"/>
      <c r="DP7" s="282"/>
      <c r="DQ7" s="282"/>
      <c r="DR7" s="282"/>
      <c r="DS7" s="282"/>
      <c r="DT7" s="282"/>
      <c r="DU7" s="282"/>
      <c r="DV7" s="282"/>
      <c r="DW7" s="282"/>
      <c r="DX7" s="282"/>
      <c r="DY7" s="282"/>
      <c r="DZ7" s="282"/>
      <c r="EA7" s="282"/>
      <c r="EB7" s="282"/>
      <c r="EC7" s="282"/>
      <c r="ED7" s="282"/>
      <c r="EE7" s="282"/>
      <c r="EF7" s="282"/>
      <c r="EG7" s="282"/>
      <c r="EH7" s="282"/>
      <c r="EI7" s="282"/>
      <c r="EJ7" s="282"/>
      <c r="EK7" s="282"/>
      <c r="EL7" s="282"/>
      <c r="EM7" s="282"/>
      <c r="EN7" s="282"/>
      <c r="EO7" s="283"/>
    </row>
    <row r="8" spans="1:145" s="17" customFormat="1" ht="63" customHeight="1">
      <c r="A8" s="20">
        <v>1</v>
      </c>
      <c r="B8" s="51"/>
      <c r="C8" s="18" t="e">
        <f>VLOOKUP(B8,#REF!,2,0)</f>
        <v>#REF!</v>
      </c>
      <c r="D8" s="51" t="e">
        <f>VLOOKUP(C8,#REF!,8,0)</f>
        <v>#REF!</v>
      </c>
      <c r="E8" s="18" t="e">
        <f>VLOOKUP(C8,#REF!,2,0)</f>
        <v>#REF!</v>
      </c>
      <c r="F8" s="51" t="e">
        <f>VLOOKUP(C8,#REF!,3,0)</f>
        <v>#REF!</v>
      </c>
      <c r="G8" s="18" t="e">
        <f>VLOOKUP(C8,#REF!,4,0)</f>
        <v>#REF!</v>
      </c>
      <c r="H8" s="52">
        <v>0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53">
        <f>COUNTIF(I8:AM8,"N")+(COUNTIF(I8:AM8,"N/2")/2)</f>
        <v>0</v>
      </c>
      <c r="AO8" s="53">
        <f>COUNTIF(J8:AM8,"Đ")</f>
        <v>0</v>
      </c>
      <c r="AP8" s="53">
        <f>AN8+AO8</f>
        <v>0</v>
      </c>
      <c r="AQ8" s="54">
        <f>COUNTIF(I8:AM8,"PL")</f>
        <v>0</v>
      </c>
      <c r="AR8" s="55"/>
      <c r="AS8" s="55">
        <f t="shared" ref="AS8:BW8" si="4">+IF(I8="N","0.5N",IF(I8="Đ","0.5Đ",0))</f>
        <v>0</v>
      </c>
      <c r="AT8" s="55">
        <f t="shared" si="4"/>
        <v>0</v>
      </c>
      <c r="AU8" s="55">
        <f t="shared" si="4"/>
        <v>0</v>
      </c>
      <c r="AV8" s="55">
        <f t="shared" si="4"/>
        <v>0</v>
      </c>
      <c r="AW8" s="55">
        <f t="shared" si="4"/>
        <v>0</v>
      </c>
      <c r="AX8" s="55">
        <f t="shared" si="4"/>
        <v>0</v>
      </c>
      <c r="AY8" s="55">
        <f t="shared" si="4"/>
        <v>0</v>
      </c>
      <c r="AZ8" s="55">
        <f t="shared" si="4"/>
        <v>0</v>
      </c>
      <c r="BA8" s="55">
        <f t="shared" si="4"/>
        <v>0</v>
      </c>
      <c r="BB8" s="55">
        <f t="shared" si="4"/>
        <v>0</v>
      </c>
      <c r="BC8" s="55">
        <f t="shared" si="4"/>
        <v>0</v>
      </c>
      <c r="BD8" s="55">
        <f t="shared" si="4"/>
        <v>0</v>
      </c>
      <c r="BE8" s="55">
        <f t="shared" si="4"/>
        <v>0</v>
      </c>
      <c r="BF8" s="55">
        <f t="shared" si="4"/>
        <v>0</v>
      </c>
      <c r="BG8" s="55">
        <f t="shared" si="4"/>
        <v>0</v>
      </c>
      <c r="BH8" s="55">
        <f t="shared" si="4"/>
        <v>0</v>
      </c>
      <c r="BI8" s="55">
        <f t="shared" si="4"/>
        <v>0</v>
      </c>
      <c r="BJ8" s="55">
        <f t="shared" si="4"/>
        <v>0</v>
      </c>
      <c r="BK8" s="55">
        <f t="shared" si="4"/>
        <v>0</v>
      </c>
      <c r="BL8" s="55">
        <f t="shared" si="4"/>
        <v>0</v>
      </c>
      <c r="BM8" s="55">
        <f t="shared" si="4"/>
        <v>0</v>
      </c>
      <c r="BN8" s="55">
        <f t="shared" si="4"/>
        <v>0</v>
      </c>
      <c r="BO8" s="55">
        <f t="shared" si="4"/>
        <v>0</v>
      </c>
      <c r="BP8" s="55">
        <f t="shared" si="4"/>
        <v>0</v>
      </c>
      <c r="BQ8" s="55">
        <f t="shared" si="4"/>
        <v>0</v>
      </c>
      <c r="BR8" s="55">
        <f t="shared" si="4"/>
        <v>0</v>
      </c>
      <c r="BS8" s="55">
        <f t="shared" si="4"/>
        <v>0</v>
      </c>
      <c r="BT8" s="55">
        <f t="shared" si="4"/>
        <v>0</v>
      </c>
      <c r="BU8" s="55">
        <f t="shared" si="4"/>
        <v>0</v>
      </c>
      <c r="BV8" s="55">
        <f t="shared" si="4"/>
        <v>0</v>
      </c>
      <c r="BW8" s="55">
        <f t="shared" si="4"/>
        <v>0</v>
      </c>
      <c r="BX8" s="61">
        <f t="shared" ref="BX8" si="5">+BY8+BZ8+CA8*8+CB8*8+CC8*8+CD8*8</f>
        <v>0</v>
      </c>
      <c r="BY8" s="61">
        <f t="shared" ref="BY8" si="6">COUNTIF(AS8:BW8,"1Đ")+(COUNTIF(AS8:BW8,"2Đ")*2)+(COUNTIF(AS8:BW8,"0.5Đ")/2)</f>
        <v>0</v>
      </c>
      <c r="BZ8" s="61">
        <f t="shared" ref="BZ8" si="7">COUNTIF(AS8:BW8,"1N")+(COUNTIF(AS8:BW8,"2N")*2)+(COUNTIF(AS8:BW8,"0.5N")/2)</f>
        <v>0</v>
      </c>
      <c r="CA8" s="53">
        <f t="shared" ref="CA8" si="8">COUNTIF(AS8:BW8,"1LN")</f>
        <v>0</v>
      </c>
      <c r="CB8" s="53">
        <f t="shared" ref="CB8" si="9">COUNTIF(AS8:BW8,"1LĐ")</f>
        <v>0</v>
      </c>
      <c r="CC8" s="57">
        <f t="shared" ref="CC8" si="10">COUNTIF(AS8:BW8,"CNN")+(COUNTIF(AS8:BW8,"CNN/2")/2)</f>
        <v>0</v>
      </c>
      <c r="CD8" s="57">
        <f t="shared" ref="CD8" si="11">COUNTIF(AS8:BW8,"CNĐ")+(COUNTIF(AS8:BW8,"CNĐ/2")/2)</f>
        <v>0</v>
      </c>
      <c r="CE8" s="62">
        <f t="shared" ref="CE8" si="12">+AN8</f>
        <v>0</v>
      </c>
      <c r="CF8" s="62">
        <f t="shared" ref="CF8" si="13">+AO8*8*0.3125</f>
        <v>0</v>
      </c>
      <c r="CG8" s="62">
        <f t="shared" ref="CG8" si="14">+AQ8+AR8</f>
        <v>0</v>
      </c>
      <c r="CH8" s="62">
        <f t="shared" ref="CH8" si="15">+BZ8</f>
        <v>0</v>
      </c>
      <c r="CI8" s="62">
        <f t="shared" ref="CI8" si="16">+AO8*8*0.6875</f>
        <v>0</v>
      </c>
      <c r="CJ8" s="62">
        <f t="shared" ref="CJ8" si="17">+BY8</f>
        <v>0</v>
      </c>
      <c r="CK8" s="62"/>
      <c r="CL8" s="62">
        <f t="shared" ref="CL8" si="18">+CD8</f>
        <v>0</v>
      </c>
      <c r="CM8" s="62">
        <f t="shared" ref="CM8" si="19">+CC8</f>
        <v>0</v>
      </c>
      <c r="CN8" s="56">
        <f t="shared" ref="CN8" si="20">+CA8</f>
        <v>0</v>
      </c>
      <c r="CO8" s="63">
        <f t="shared" ref="CO8" si="21">+CB8</f>
        <v>0</v>
      </c>
      <c r="CP8" s="329">
        <v>0</v>
      </c>
      <c r="CQ8" s="330">
        <v>0</v>
      </c>
      <c r="CR8" s="331">
        <f t="shared" ref="CR8" si="22">IF($F$4&lt;20000000000,0,IF($F$4&lt;=30000000000,2000000,IF($F$4&lt;=50000000000,2300000,IF($F$4&lt;=50000000000,2000000,IF($F$4&lt;=70000000000,3000000,IF($F$4&gt;70000000000,3500000,0))))))</f>
        <v>0</v>
      </c>
      <c r="CS8" s="330">
        <f t="shared" ref="CS8" si="23">+H8+CP8+CQ8+CR8</f>
        <v>0</v>
      </c>
      <c r="CT8" s="64">
        <f t="shared" ref="CT8" si="24">+H8/26*(CE8+(CF8/8)+CG8)</f>
        <v>0</v>
      </c>
      <c r="CU8" s="64">
        <f t="shared" ref="CU8" si="25">+(H8/26/8)*150%*CH8</f>
        <v>0</v>
      </c>
      <c r="CV8" s="64">
        <f t="shared" ref="CV8" si="26">+(H8/26/8)*130%*CI8</f>
        <v>0</v>
      </c>
      <c r="CW8" s="64">
        <f t="shared" ref="CW8" si="27">+(H8/26/8)*200%*CJ8</f>
        <v>0</v>
      </c>
      <c r="CX8" s="64">
        <f t="shared" ref="CX8" si="28">+(H8/26/8)*210%*CK8</f>
        <v>0</v>
      </c>
      <c r="CY8" s="64">
        <f t="shared" ref="CY8" si="29">+(H8/26/8)*270%*CL8</f>
        <v>0</v>
      </c>
      <c r="CZ8" s="64">
        <f t="shared" ref="CZ8" si="30">+(H8/3.25)*200%*CM8</f>
        <v>0</v>
      </c>
      <c r="DA8" s="64">
        <f t="shared" ref="DA8" si="31">+(H8/3.25)*300%*CN8</f>
        <v>0</v>
      </c>
      <c r="DB8" s="64">
        <f t="shared" ref="DB8" si="32">+(H8/26/8)*390%*CO8</f>
        <v>0</v>
      </c>
      <c r="DC8" s="332">
        <f t="shared" ref="DC8" si="33">+CR8/26*(CE8+(CF8+CI8)/8)</f>
        <v>0</v>
      </c>
      <c r="DD8" s="333">
        <v>0</v>
      </c>
      <c r="DE8" s="128">
        <f t="shared" ref="DE8" si="34">+CT8+CU8+CV8+CW8+CX8+CY8+CZ8+DA8+DB8+DC8+DD8</f>
        <v>0</v>
      </c>
      <c r="DF8" s="59">
        <f t="shared" ref="DF8" si="35">+CP8/26*AP8</f>
        <v>0</v>
      </c>
      <c r="DG8" s="59">
        <f t="shared" ref="DG8" si="36">+CQ8/26*AP8</f>
        <v>0</v>
      </c>
      <c r="DH8" s="59">
        <f t="shared" ref="DH8" si="37">+SUM(DE8:DG8)</f>
        <v>0</v>
      </c>
      <c r="DI8" s="334">
        <f t="shared" ref="DI8" si="38">H8</f>
        <v>0</v>
      </c>
      <c r="DJ8" s="330">
        <f t="shared" ref="DJ8" si="39">DI8*8%</f>
        <v>0</v>
      </c>
      <c r="DK8" s="330">
        <f t="shared" ref="DK8" si="40">DI8*1.5%</f>
        <v>0</v>
      </c>
      <c r="DL8" s="330">
        <f t="shared" ref="DL8" si="41">DI8*1%</f>
        <v>0</v>
      </c>
      <c r="DM8" s="335" t="str">
        <f ca="1">IFERROR(EL8,"-")</f>
        <v>-</v>
      </c>
      <c r="DN8" s="329">
        <f ca="1">+SUM(DJ8:DM8)</f>
        <v>0</v>
      </c>
      <c r="DO8" s="336">
        <f t="shared" ref="DO8" si="42">SUM(DJ8:DL8)</f>
        <v>0</v>
      </c>
      <c r="DP8" s="329">
        <f t="shared" ref="DP8" ca="1" si="43">ROUNDDOWN(DH8-DN8,-3)</f>
        <v>0</v>
      </c>
      <c r="DQ8" s="329"/>
      <c r="DR8" s="337">
        <v>9114000</v>
      </c>
      <c r="DS8" s="337">
        <f t="shared" ref="DS8" ca="1" si="44">+DP8-DR8</f>
        <v>-9114000</v>
      </c>
      <c r="DT8" s="337">
        <v>9523491.586538462</v>
      </c>
      <c r="DU8" s="338">
        <v>0</v>
      </c>
      <c r="DV8" s="330">
        <f t="shared" ref="DV8" si="45">ROUND(400000/26*AN8,-3)</f>
        <v>0</v>
      </c>
      <c r="DW8" s="330">
        <f t="shared" ref="DW8" si="46">+DI8*2%</f>
        <v>0</v>
      </c>
      <c r="DX8" s="330">
        <f t="shared" ref="DX8" si="47">DI8*$DX$6</f>
        <v>0</v>
      </c>
      <c r="DY8" s="330">
        <f t="shared" ref="DY8" si="48">DI8*$DY$6</f>
        <v>0</v>
      </c>
      <c r="DZ8" s="330">
        <f t="shared" ref="DZ8" si="49">DI8*$DZ$6</f>
        <v>0</v>
      </c>
      <c r="EA8" s="339">
        <f t="shared" ref="EA8" si="50">+DJ8+DX8</f>
        <v>0</v>
      </c>
      <c r="EB8" s="339">
        <f t="shared" ref="EB8" si="51">+DK8+DY8</f>
        <v>0</v>
      </c>
      <c r="EC8" s="330">
        <f t="shared" ref="EC8" si="52">DL8+DZ8</f>
        <v>0</v>
      </c>
      <c r="ED8" s="339">
        <f t="shared" ref="ED8" si="53">EA8+EB8+EC8</f>
        <v>0</v>
      </c>
      <c r="EE8" s="59"/>
      <c r="EF8" s="136"/>
      <c r="EG8" s="334">
        <f t="shared" ref="EG8" si="54">+DH8-DG8+EE8+EF8</f>
        <v>0</v>
      </c>
      <c r="EH8" s="334" t="e">
        <f t="shared" ref="EH8" ca="1" si="55">11000000+EE8+EI8*4400000</f>
        <v>#REF!</v>
      </c>
      <c r="EI8" s="340" t="e">
        <f t="shared" ref="EI8" ca="1" si="56">SUMIF(INDIRECT("'QTTTNCN'!$D$7:$D$500"),$C8,INDIRECT("'QTTTNCN'!$S$7:$S$500"))</f>
        <v>#REF!</v>
      </c>
      <c r="EJ8" s="334" t="e">
        <f t="shared" ref="EJ8" ca="1" si="57">+EG8-EH8</f>
        <v>#REF!</v>
      </c>
      <c r="EK8" s="334" t="e">
        <f t="shared" ref="EK8" ca="1" si="58">IF(EJ8&lt;=5000000,EJ8*5/100,IF(EJ8&lt;=10000000,EJ8*10/100-250000,IF(EJ8&lt;=18000000,EJ8*15/100-750000,IF(EJ8&lt;=32000000,EJ8*20/100-1650000,IF(EJ8&lt;=52000000,EJ8*25/100-3250000,IF(EJ8&lt;=80000000,EJ8*30%-5850000,EJ8*35%-9850000))))))</f>
        <v>#REF!</v>
      </c>
      <c r="EL8" s="334" t="e">
        <f t="shared" ref="EL8" ca="1" si="59">+IF(EK8&lt;0,0,EK8)</f>
        <v>#REF!</v>
      </c>
      <c r="EM8" s="341" t="b">
        <f t="shared" ref="EM8" si="60">+IF(AP8&gt;0,H8/26)</f>
        <v>0</v>
      </c>
      <c r="EN8" s="341" t="b">
        <f t="shared" ref="EN8" si="61">+IF(AP8&gt;0,EG8*6%)</f>
        <v>0</v>
      </c>
      <c r="EO8" s="334">
        <f t="shared" ref="EO8" si="62">+EM8+EN8</f>
        <v>0</v>
      </c>
    </row>
    <row r="9" spans="1:145" s="17" customFormat="1" ht="63" customHeight="1">
      <c r="A9" s="20"/>
      <c r="B9" s="51"/>
      <c r="C9" s="18"/>
      <c r="D9" s="51"/>
      <c r="E9" s="18"/>
      <c r="F9" s="51"/>
      <c r="G9" s="18"/>
      <c r="H9" s="52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53"/>
      <c r="AO9" s="53"/>
      <c r="AP9" s="53"/>
      <c r="AQ9" s="54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61"/>
      <c r="BY9" s="61"/>
      <c r="BZ9" s="61"/>
      <c r="CA9" s="53"/>
      <c r="CB9" s="53"/>
      <c r="CC9" s="57"/>
      <c r="CD9" s="57"/>
      <c r="CE9" s="62"/>
      <c r="CF9" s="62"/>
      <c r="CG9" s="62"/>
      <c r="CH9" s="62"/>
      <c r="CI9" s="62"/>
      <c r="CJ9" s="62"/>
      <c r="CK9" s="62"/>
      <c r="CL9" s="62"/>
      <c r="CM9" s="62"/>
      <c r="CN9" s="56"/>
      <c r="CO9" s="63"/>
      <c r="CP9" s="58"/>
      <c r="CQ9" s="54"/>
      <c r="CR9" s="70"/>
      <c r="CS9" s="54"/>
      <c r="CT9" s="64"/>
      <c r="CU9" s="64"/>
      <c r="CV9" s="64"/>
      <c r="CW9" s="64"/>
      <c r="CX9" s="64"/>
      <c r="CY9" s="64"/>
      <c r="CZ9" s="64"/>
      <c r="DA9" s="64"/>
      <c r="DB9" s="64"/>
      <c r="DC9" s="71"/>
      <c r="DD9" s="268"/>
      <c r="DE9" s="128"/>
      <c r="DF9" s="59"/>
      <c r="DG9" s="59"/>
      <c r="DH9" s="59"/>
      <c r="DI9" s="60"/>
      <c r="DJ9" s="54"/>
      <c r="DK9" s="54"/>
      <c r="DL9" s="54"/>
      <c r="DM9" s="58"/>
      <c r="DN9" s="58"/>
      <c r="DO9" s="63"/>
      <c r="DP9" s="66"/>
      <c r="DQ9" s="58"/>
      <c r="DR9" s="138"/>
      <c r="DS9" s="138"/>
      <c r="DT9" s="138"/>
      <c r="DU9" s="277"/>
      <c r="DV9" s="54"/>
      <c r="DW9" s="54"/>
      <c r="DX9" s="54"/>
      <c r="DY9" s="54"/>
      <c r="DZ9" s="54"/>
      <c r="EA9" s="19"/>
      <c r="EB9" s="19"/>
      <c r="EC9" s="54"/>
      <c r="ED9" s="19"/>
      <c r="EE9" s="59"/>
      <c r="EF9" s="136"/>
      <c r="EG9" s="60"/>
      <c r="EH9" s="60"/>
      <c r="EI9" s="65"/>
      <c r="EJ9" s="60"/>
      <c r="EK9" s="60"/>
      <c r="EL9" s="60"/>
      <c r="EM9" s="286"/>
      <c r="EN9" s="286"/>
      <c r="EO9" s="60"/>
    </row>
    <row r="10" spans="1:145" s="107" customFormat="1" ht="60.75" customHeight="1">
      <c r="A10" s="68"/>
      <c r="B10" s="105" t="s">
        <v>32</v>
      </c>
      <c r="C10" s="68"/>
      <c r="D10" s="68"/>
      <c r="E10" s="106"/>
      <c r="F10" s="68"/>
      <c r="G10" s="68"/>
      <c r="H10" s="67" t="e">
        <f>#REF!+#REF!+#REF!+#REF!+#REF!+#REF!</f>
        <v>#REF!</v>
      </c>
      <c r="I10" s="67" t="e">
        <f>#REF!+#REF!+#REF!+#REF!+#REF!+#REF!</f>
        <v>#REF!</v>
      </c>
      <c r="J10" s="67" t="e">
        <f>#REF!+#REF!+#REF!+#REF!+#REF!+#REF!</f>
        <v>#REF!</v>
      </c>
      <c r="K10" s="67" t="e">
        <f>#REF!+#REF!+#REF!+#REF!+#REF!+#REF!</f>
        <v>#REF!</v>
      </c>
      <c r="L10" s="67" t="e">
        <f>#REF!+#REF!+#REF!+#REF!+#REF!+#REF!</f>
        <v>#REF!</v>
      </c>
      <c r="M10" s="67" t="e">
        <f>#REF!+#REF!+#REF!+#REF!+#REF!+#REF!</f>
        <v>#REF!</v>
      </c>
      <c r="N10" s="67" t="e">
        <f>#REF!+#REF!+#REF!+#REF!+#REF!+#REF!</f>
        <v>#REF!</v>
      </c>
      <c r="O10" s="67" t="e">
        <f>#REF!+#REF!+#REF!+#REF!+#REF!+#REF!</f>
        <v>#REF!</v>
      </c>
      <c r="P10" s="67" t="e">
        <f>#REF!+#REF!+#REF!+#REF!+#REF!+#REF!</f>
        <v>#REF!</v>
      </c>
      <c r="Q10" s="67" t="e">
        <f>#REF!+#REF!+#REF!+#REF!+#REF!+#REF!</f>
        <v>#REF!</v>
      </c>
      <c r="R10" s="67" t="e">
        <f>#REF!+#REF!+#REF!+#REF!+#REF!+#REF!</f>
        <v>#REF!</v>
      </c>
      <c r="S10" s="67" t="e">
        <f>#REF!+#REF!+#REF!+#REF!+#REF!+#REF!</f>
        <v>#REF!</v>
      </c>
      <c r="T10" s="67" t="e">
        <f>#REF!+#REF!+#REF!+#REF!+#REF!+#REF!</f>
        <v>#REF!</v>
      </c>
      <c r="U10" s="67" t="e">
        <f>#REF!+#REF!+#REF!+#REF!+#REF!+#REF!</f>
        <v>#REF!</v>
      </c>
      <c r="V10" s="67" t="e">
        <f>#REF!+#REF!+#REF!+#REF!+#REF!+#REF!</f>
        <v>#REF!</v>
      </c>
      <c r="W10" s="67" t="e">
        <f>#REF!+#REF!+#REF!+#REF!+#REF!+#REF!</f>
        <v>#REF!</v>
      </c>
      <c r="X10" s="67" t="e">
        <f>#REF!+#REF!+#REF!+#REF!+#REF!+#REF!</f>
        <v>#REF!</v>
      </c>
      <c r="Y10" s="67" t="e">
        <f>#REF!+#REF!+#REF!+#REF!+#REF!+#REF!</f>
        <v>#REF!</v>
      </c>
      <c r="Z10" s="67" t="e">
        <f>#REF!+#REF!+#REF!+#REF!+#REF!+#REF!</f>
        <v>#REF!</v>
      </c>
      <c r="AA10" s="67" t="e">
        <f>#REF!+#REF!+#REF!+#REF!+#REF!+#REF!</f>
        <v>#REF!</v>
      </c>
      <c r="AB10" s="67" t="e">
        <f>#REF!+#REF!+#REF!+#REF!+#REF!+#REF!</f>
        <v>#REF!</v>
      </c>
      <c r="AC10" s="67" t="e">
        <f>#REF!+#REF!+#REF!+#REF!+#REF!+#REF!</f>
        <v>#REF!</v>
      </c>
      <c r="AD10" s="67" t="e">
        <f>#REF!+#REF!+#REF!+#REF!+#REF!+#REF!</f>
        <v>#REF!</v>
      </c>
      <c r="AE10" s="67" t="e">
        <f>#REF!+#REF!+#REF!+#REF!+#REF!+#REF!</f>
        <v>#REF!</v>
      </c>
      <c r="AF10" s="67" t="e">
        <f>#REF!+#REF!+#REF!+#REF!+#REF!+#REF!</f>
        <v>#REF!</v>
      </c>
      <c r="AG10" s="67" t="e">
        <f>#REF!+#REF!+#REF!+#REF!+#REF!+#REF!</f>
        <v>#REF!</v>
      </c>
      <c r="AH10" s="67" t="e">
        <f>#REF!+#REF!+#REF!+#REF!+#REF!+#REF!</f>
        <v>#REF!</v>
      </c>
      <c r="AI10" s="67" t="e">
        <f>#REF!+#REF!+#REF!+#REF!+#REF!+#REF!</f>
        <v>#REF!</v>
      </c>
      <c r="AJ10" s="67" t="e">
        <f>#REF!+#REF!+#REF!+#REF!+#REF!+#REF!</f>
        <v>#REF!</v>
      </c>
      <c r="AK10" s="67" t="e">
        <f>#REF!+#REF!+#REF!+#REF!+#REF!+#REF!</f>
        <v>#REF!</v>
      </c>
      <c r="AL10" s="67" t="e">
        <f>#REF!+#REF!+#REF!+#REF!+#REF!+#REF!</f>
        <v>#REF!</v>
      </c>
      <c r="AM10" s="67" t="e">
        <f>#REF!+#REF!+#REF!+#REF!+#REF!+#REF!</f>
        <v>#REF!</v>
      </c>
      <c r="AN10" s="69" t="e">
        <f>#REF!+#REF!+#REF!+#REF!+#REF!+#REF!</f>
        <v>#REF!</v>
      </c>
      <c r="AO10" s="69" t="e">
        <f>#REF!+#REF!+#REF!+#REF!+#REF!+#REF!</f>
        <v>#REF!</v>
      </c>
      <c r="AP10" s="69" t="e">
        <f>#REF!+#REF!+#REF!+#REF!+#REF!+#REF!</f>
        <v>#REF!</v>
      </c>
      <c r="AQ10" s="69" t="e">
        <f>#REF!+#REF!+#REF!+#REF!+#REF!+#REF!</f>
        <v>#REF!</v>
      </c>
      <c r="AR10" s="67" t="e">
        <f>#REF!+#REF!+#REF!+#REF!+#REF!+#REF!</f>
        <v>#REF!</v>
      </c>
      <c r="AS10" s="67" t="e">
        <f>#REF!+#REF!+#REF!+#REF!+#REF!+#REF!</f>
        <v>#REF!</v>
      </c>
      <c r="AT10" s="67" t="e">
        <f>#REF!+#REF!+#REF!+#REF!+#REF!+#REF!</f>
        <v>#REF!</v>
      </c>
      <c r="AU10" s="67" t="e">
        <f>#REF!+#REF!+#REF!+#REF!+#REF!+#REF!</f>
        <v>#REF!</v>
      </c>
      <c r="AV10" s="67" t="e">
        <f>#REF!+#REF!+#REF!+#REF!+#REF!+#REF!</f>
        <v>#REF!</v>
      </c>
      <c r="AW10" s="67" t="e">
        <f>#REF!+#REF!+#REF!+#REF!+#REF!+#REF!</f>
        <v>#REF!</v>
      </c>
      <c r="AX10" s="67" t="e">
        <f>#REF!+#REF!+#REF!+#REF!+#REF!+#REF!</f>
        <v>#REF!</v>
      </c>
      <c r="AY10" s="67" t="e">
        <f>#REF!+#REF!+#REF!+#REF!+#REF!+#REF!</f>
        <v>#REF!</v>
      </c>
      <c r="AZ10" s="67" t="e">
        <f>#REF!+#REF!+#REF!+#REF!+#REF!+#REF!</f>
        <v>#REF!</v>
      </c>
      <c r="BA10" s="67" t="e">
        <f>#REF!+#REF!+#REF!+#REF!+#REF!+#REF!</f>
        <v>#REF!</v>
      </c>
      <c r="BB10" s="67" t="e">
        <f>#REF!+#REF!+#REF!+#REF!+#REF!+#REF!</f>
        <v>#REF!</v>
      </c>
      <c r="BC10" s="67" t="e">
        <f>#REF!+#REF!+#REF!+#REF!+#REF!+#REF!</f>
        <v>#REF!</v>
      </c>
      <c r="BD10" s="67" t="e">
        <f>#REF!+#REF!+#REF!+#REF!+#REF!+#REF!</f>
        <v>#REF!</v>
      </c>
      <c r="BE10" s="67" t="e">
        <f>#REF!+#REF!+#REF!+#REF!+#REF!+#REF!</f>
        <v>#REF!</v>
      </c>
      <c r="BF10" s="67" t="e">
        <f>#REF!+#REF!+#REF!+#REF!+#REF!+#REF!</f>
        <v>#REF!</v>
      </c>
      <c r="BG10" s="67" t="e">
        <f>#REF!+#REF!+#REF!+#REF!+#REF!+#REF!</f>
        <v>#REF!</v>
      </c>
      <c r="BH10" s="67" t="e">
        <f>#REF!+#REF!+#REF!+#REF!+#REF!+#REF!</f>
        <v>#REF!</v>
      </c>
      <c r="BI10" s="67" t="e">
        <f>#REF!+#REF!+#REF!+#REF!+#REF!+#REF!</f>
        <v>#REF!</v>
      </c>
      <c r="BJ10" s="67" t="e">
        <f>#REF!+#REF!+#REF!+#REF!+#REF!+#REF!</f>
        <v>#REF!</v>
      </c>
      <c r="BK10" s="67" t="e">
        <f>#REF!+#REF!+#REF!+#REF!+#REF!+#REF!</f>
        <v>#REF!</v>
      </c>
      <c r="BL10" s="67" t="e">
        <f>#REF!+#REF!+#REF!+#REF!+#REF!+#REF!</f>
        <v>#REF!</v>
      </c>
      <c r="BM10" s="67" t="e">
        <f>#REF!+#REF!+#REF!+#REF!+#REF!+#REF!</f>
        <v>#REF!</v>
      </c>
      <c r="BN10" s="67" t="e">
        <f>#REF!+#REF!+#REF!+#REF!+#REF!+#REF!</f>
        <v>#REF!</v>
      </c>
      <c r="BO10" s="67" t="e">
        <f>#REF!+#REF!+#REF!+#REF!+#REF!+#REF!</f>
        <v>#REF!</v>
      </c>
      <c r="BP10" s="67" t="e">
        <f>#REF!+#REF!+#REF!+#REF!+#REF!+#REF!</f>
        <v>#REF!</v>
      </c>
      <c r="BQ10" s="67" t="e">
        <f>#REF!+#REF!+#REF!+#REF!+#REF!+#REF!</f>
        <v>#REF!</v>
      </c>
      <c r="BR10" s="67" t="e">
        <f>#REF!+#REF!+#REF!+#REF!+#REF!+#REF!</f>
        <v>#REF!</v>
      </c>
      <c r="BS10" s="67" t="e">
        <f>#REF!+#REF!+#REF!+#REF!+#REF!+#REF!</f>
        <v>#REF!</v>
      </c>
      <c r="BT10" s="67" t="e">
        <f>#REF!+#REF!+#REF!+#REF!+#REF!+#REF!</f>
        <v>#REF!</v>
      </c>
      <c r="BU10" s="67" t="e">
        <f>#REF!+#REF!+#REF!+#REF!+#REF!+#REF!</f>
        <v>#REF!</v>
      </c>
      <c r="BV10" s="67" t="e">
        <f>#REF!+#REF!+#REF!+#REF!+#REF!+#REF!</f>
        <v>#REF!</v>
      </c>
      <c r="BW10" s="67" t="e">
        <f>#REF!+#REF!+#REF!+#REF!+#REF!+#REF!</f>
        <v>#REF!</v>
      </c>
      <c r="BX10" s="69" t="e">
        <f>#REF!+#REF!+#REF!+#REF!+#REF!+#REF!</f>
        <v>#REF!</v>
      </c>
      <c r="BY10" s="69" t="e">
        <f>#REF!+#REF!+#REF!+#REF!+#REF!+#REF!</f>
        <v>#REF!</v>
      </c>
      <c r="BZ10" s="69" t="e">
        <f>#REF!+#REF!+#REF!+#REF!+#REF!+#REF!</f>
        <v>#REF!</v>
      </c>
      <c r="CA10" s="67" t="e">
        <f>#REF!+#REF!+#REF!+#REF!+#REF!+#REF!</f>
        <v>#REF!</v>
      </c>
      <c r="CB10" s="67" t="e">
        <f>#REF!+#REF!+#REF!+#REF!+#REF!+#REF!</f>
        <v>#REF!</v>
      </c>
      <c r="CC10" s="67" t="e">
        <f>#REF!+#REF!+#REF!+#REF!+#REF!+#REF!</f>
        <v>#REF!</v>
      </c>
      <c r="CD10" s="67" t="e">
        <f>#REF!+#REF!+#REF!+#REF!+#REF!+#REF!</f>
        <v>#REF!</v>
      </c>
      <c r="CE10" s="126" t="e">
        <f>#REF!+#REF!+#REF!+#REF!+#REF!+#REF!</f>
        <v>#REF!</v>
      </c>
      <c r="CF10" s="69" t="e">
        <f>#REF!+#REF!+#REF!+#REF!+#REF!+#REF!</f>
        <v>#REF!</v>
      </c>
      <c r="CG10" s="126" t="e">
        <f>#REF!+#REF!+#REF!+#REF!+#REF!+#REF!</f>
        <v>#REF!</v>
      </c>
      <c r="CH10" s="126" t="e">
        <f>#REF!+#REF!+#REF!+#REF!+#REF!+#REF!</f>
        <v>#REF!</v>
      </c>
      <c r="CI10" s="69" t="e">
        <f>#REF!+#REF!+#REF!+#REF!+#REF!+#REF!</f>
        <v>#REF!</v>
      </c>
      <c r="CJ10" s="69" t="e">
        <f>#REF!+#REF!+#REF!+#REF!+#REF!+#REF!</f>
        <v>#REF!</v>
      </c>
      <c r="CK10" s="67" t="e">
        <f>#REF!+#REF!+#REF!+#REF!+#REF!+#REF!</f>
        <v>#REF!</v>
      </c>
      <c r="CL10" s="67" t="e">
        <f>#REF!+#REF!+#REF!+#REF!+#REF!+#REF!</f>
        <v>#REF!</v>
      </c>
      <c r="CM10" s="67" t="e">
        <f>#REF!+#REF!+#REF!+#REF!+#REF!+#REF!</f>
        <v>#REF!</v>
      </c>
      <c r="CN10" s="67" t="e">
        <f>#REF!+#REF!+#REF!+#REF!+#REF!+#REF!</f>
        <v>#REF!</v>
      </c>
      <c r="CO10" s="67" t="e">
        <f>#REF!+#REF!+#REF!+#REF!+#REF!+#REF!</f>
        <v>#REF!</v>
      </c>
      <c r="CP10" s="67" t="e">
        <f>#REF!+#REF!+#REF!+#REF!+#REF!+#REF!</f>
        <v>#REF!</v>
      </c>
      <c r="CQ10" s="67" t="e">
        <f>#REF!+#REF!+#REF!+#REF!+#REF!+#REF!</f>
        <v>#REF!</v>
      </c>
      <c r="CR10" s="67" t="e">
        <f>#REF!+#REF!+#REF!+#REF!+#REF!+#REF!</f>
        <v>#REF!</v>
      </c>
      <c r="CS10" s="67" t="e">
        <f>#REF!+#REF!+#REF!+#REF!+#REF!+#REF!</f>
        <v>#REF!</v>
      </c>
      <c r="CT10" s="67" t="e">
        <f>#REF!+#REF!+#REF!+#REF!+#REF!+#REF!</f>
        <v>#REF!</v>
      </c>
      <c r="CU10" s="67" t="e">
        <f>#REF!+#REF!+#REF!+#REF!+#REF!+#REF!</f>
        <v>#REF!</v>
      </c>
      <c r="CV10" s="67" t="e">
        <f>#REF!+#REF!+#REF!+#REF!+#REF!+#REF!</f>
        <v>#REF!</v>
      </c>
      <c r="CW10" s="67" t="e">
        <f>#REF!+#REF!+#REF!+#REF!+#REF!+#REF!</f>
        <v>#REF!</v>
      </c>
      <c r="CX10" s="67" t="e">
        <f>#REF!+#REF!+#REF!+#REF!+#REF!+#REF!</f>
        <v>#REF!</v>
      </c>
      <c r="CY10" s="67" t="e">
        <f>#REF!+#REF!+#REF!+#REF!+#REF!+#REF!</f>
        <v>#REF!</v>
      </c>
      <c r="CZ10" s="67" t="e">
        <f>#REF!+#REF!+#REF!+#REF!+#REF!+#REF!</f>
        <v>#REF!</v>
      </c>
      <c r="DA10" s="67" t="e">
        <f>#REF!+#REF!+#REF!+#REF!+#REF!+#REF!</f>
        <v>#REF!</v>
      </c>
      <c r="DB10" s="67" t="e">
        <f>#REF!+#REF!+#REF!+#REF!+#REF!+#REF!</f>
        <v>#REF!</v>
      </c>
      <c r="DC10" s="67" t="e">
        <f>#REF!+#REF!+#REF!+#REF!+#REF!+#REF!</f>
        <v>#REF!</v>
      </c>
      <c r="DD10" s="67" t="e">
        <f>#REF!+#REF!+#REF!+#REF!+#REF!+#REF!</f>
        <v>#REF!</v>
      </c>
      <c r="DE10" s="275" t="e">
        <f t="shared" ref="DE10:DF10" si="63">+CT10+CU10+CV10+CW10+CX10+CY10+CZ10+DA10+DB10+DC10+DD10</f>
        <v>#REF!</v>
      </c>
      <c r="DF10" s="275" t="e">
        <f t="shared" si="63"/>
        <v>#REF!</v>
      </c>
      <c r="DG10" s="67" t="e">
        <f>#REF!+#REF!+#REF!+#REF!+#REF!+#REF!</f>
        <v>#REF!</v>
      </c>
      <c r="DH10" s="67" t="e">
        <f>#REF!+#REF!+#REF!+#REF!+#REF!+#REF!+1</f>
        <v>#REF!</v>
      </c>
      <c r="DI10" s="67" t="e">
        <f>#REF!+#REF!+#REF!+#REF!+#REF!+#REF!</f>
        <v>#REF!</v>
      </c>
      <c r="DJ10" s="67" t="e">
        <f>#REF!+#REF!+#REF!+#REF!+#REF!+#REF!</f>
        <v>#REF!</v>
      </c>
      <c r="DK10" s="67" t="e">
        <f>#REF!+#REF!+#REF!+#REF!+#REF!+#REF!</f>
        <v>#REF!</v>
      </c>
      <c r="DL10" s="67" t="e">
        <f>#REF!+#REF!+#REF!+#REF!+#REF!+#REF!</f>
        <v>#REF!</v>
      </c>
      <c r="DM10" s="67" t="e">
        <f>#REF!+#REF!+#REF!+#REF!+#REF!+#REF!</f>
        <v>#REF!</v>
      </c>
      <c r="DN10" s="67" t="e">
        <f>#REF!+#REF!+#REF!+#REF!+#REF!+#REF!</f>
        <v>#REF!</v>
      </c>
      <c r="DO10" s="67" t="e">
        <f>#REF!+#REF!+#REF!+#REF!+#REF!+#REF!</f>
        <v>#REF!</v>
      </c>
      <c r="DP10" s="67" t="e">
        <f>#REF!+#REF!+#REF!+#REF!+#REF!+#REF!</f>
        <v>#REF!</v>
      </c>
      <c r="DQ10" s="67" t="e">
        <f>#REF!+#REF!+#REF!+#REF!+#REF!+#REF!</f>
        <v>#REF!</v>
      </c>
      <c r="DR10" s="278">
        <v>2557306000</v>
      </c>
      <c r="DS10" s="138" t="e">
        <f t="shared" ref="DS10" si="64">+DP10-DR10</f>
        <v>#REF!</v>
      </c>
      <c r="DT10" s="278" t="e">
        <f>#REF!+#REF!+#REF!+#REF!+#REF!+#REF!</f>
        <v>#REF!</v>
      </c>
      <c r="DU10" s="278" t="e">
        <f>#REF!+#REF!+#REF!+#REF!+#REF!+#REF!</f>
        <v>#REF!</v>
      </c>
      <c r="DV10" s="67" t="e">
        <f>#REF!+#REF!+#REF!+#REF!+#REF!+#REF!</f>
        <v>#REF!</v>
      </c>
      <c r="DW10" s="67" t="e">
        <f>#REF!+#REF!+#REF!+#REF!+#REF!+#REF!</f>
        <v>#REF!</v>
      </c>
      <c r="DX10" s="67" t="e">
        <f>#REF!+#REF!+#REF!+#REF!+#REF!+#REF!</f>
        <v>#REF!</v>
      </c>
      <c r="DY10" s="67" t="e">
        <f>#REF!+#REF!+#REF!+#REF!+#REF!+#REF!</f>
        <v>#REF!</v>
      </c>
      <c r="DZ10" s="67" t="e">
        <f>#REF!+#REF!+#REF!+#REF!+#REF!+#REF!</f>
        <v>#REF!</v>
      </c>
      <c r="EA10" s="67" t="e">
        <f>#REF!+#REF!+#REF!+#REF!+#REF!+#REF!</f>
        <v>#REF!</v>
      </c>
      <c r="EB10" s="67" t="e">
        <f>#REF!+#REF!+#REF!+#REF!+#REF!+#REF!</f>
        <v>#REF!</v>
      </c>
      <c r="EC10" s="67" t="e">
        <f>#REF!+#REF!+#REF!+#REF!+#REF!+#REF!</f>
        <v>#REF!</v>
      </c>
      <c r="ED10" s="67" t="e">
        <f>#REF!+#REF!+#REF!+#REF!+#REF!+#REF!</f>
        <v>#REF!</v>
      </c>
      <c r="EE10" s="67" t="e">
        <f>#REF!+#REF!+#REF!+#REF!+#REF!+#REF!</f>
        <v>#REF!</v>
      </c>
      <c r="EF10" s="67"/>
      <c r="EG10" s="67" t="e">
        <f>#REF!+#REF!+#REF!+#REF!+#REF!+#REF!</f>
        <v>#REF!</v>
      </c>
      <c r="EH10" s="67" t="e">
        <f>#REF!+#REF!+#REF!+#REF!+#REF!+#REF!</f>
        <v>#REF!</v>
      </c>
      <c r="EI10" s="67" t="e">
        <f>#REF!+#REF!+#REF!+#REF!+#REF!+#REF!</f>
        <v>#REF!</v>
      </c>
      <c r="EJ10" s="67" t="e">
        <f>#REF!+#REF!+#REF!+#REF!+#REF!+#REF!</f>
        <v>#REF!</v>
      </c>
      <c r="EK10" s="67" t="e">
        <f>#REF!+#REF!+#REF!+#REF!+#REF!+#REF!</f>
        <v>#REF!</v>
      </c>
      <c r="EL10" s="67" t="e">
        <f>#REF!+#REF!+#REF!+#REF!+#REF!+#REF!</f>
        <v>#REF!</v>
      </c>
      <c r="EM10" s="67" t="e">
        <f>#REF!+#REF!+#REF!+#REF!+#REF!+#REF!</f>
        <v>#REF!</v>
      </c>
      <c r="EN10" s="67" t="e">
        <f>#REF!+#REF!+#REF!+#REF!+#REF!+#REF!</f>
        <v>#REF!</v>
      </c>
      <c r="EO10" s="67" t="e">
        <f>#REF!+#REF!+#REF!+#REF!+#REF!+#REF!+1</f>
        <v>#REF!</v>
      </c>
    </row>
  </sheetData>
  <autoFilter ref="A6:EM10" xr:uid="{00000000-0009-0000-0000-000014000000}"/>
  <mergeCells count="60">
    <mergeCell ref="DF5:DG5"/>
    <mergeCell ref="CP5:CQ5"/>
    <mergeCell ref="CR5:CR6"/>
    <mergeCell ref="C5:C6"/>
    <mergeCell ref="BF4:BH4"/>
    <mergeCell ref="BI4:BJ4"/>
    <mergeCell ref="BK4:BM4"/>
    <mergeCell ref="BP4:BR4"/>
    <mergeCell ref="AS4:AT4"/>
    <mergeCell ref="AU4:AV4"/>
    <mergeCell ref="AW4:AX4"/>
    <mergeCell ref="AY4:AZ4"/>
    <mergeCell ref="BB4:BD4"/>
    <mergeCell ref="AR5:AR6"/>
    <mergeCell ref="CS5:CS6"/>
    <mergeCell ref="CT5:DC5"/>
    <mergeCell ref="EN5:EN6"/>
    <mergeCell ref="EO5:EO6"/>
    <mergeCell ref="EG5:EG6"/>
    <mergeCell ref="EH5:EI5"/>
    <mergeCell ref="EJ5:EJ6"/>
    <mergeCell ref="EK5:EK6"/>
    <mergeCell ref="EL5:EL6"/>
    <mergeCell ref="EM5:EM6"/>
    <mergeCell ref="DR5:DR6"/>
    <mergeCell ref="DV5:DV6"/>
    <mergeCell ref="DW5:DW6"/>
    <mergeCell ref="DX5:DZ5"/>
    <mergeCell ref="EE5:EE6"/>
    <mergeCell ref="DS5:DS6"/>
    <mergeCell ref="DU5:DU6"/>
    <mergeCell ref="DH5:DH6"/>
    <mergeCell ref="DI5:DI6"/>
    <mergeCell ref="DJ5:DO5"/>
    <mergeCell ref="DP5:DP6"/>
    <mergeCell ref="DQ5:DQ6"/>
    <mergeCell ref="AN1:AR1"/>
    <mergeCell ref="I4:J4"/>
    <mergeCell ref="M4:N4"/>
    <mergeCell ref="R4:T4"/>
    <mergeCell ref="V4:X4"/>
    <mergeCell ref="Y4:Z4"/>
    <mergeCell ref="AA4:AC4"/>
    <mergeCell ref="AF4:AH4"/>
    <mergeCell ref="EF5:EF6"/>
    <mergeCell ref="A5:A6"/>
    <mergeCell ref="B5:B6"/>
    <mergeCell ref="D5:D6"/>
    <mergeCell ref="E5:E6"/>
    <mergeCell ref="F5:F6"/>
    <mergeCell ref="AQ5:AQ6"/>
    <mergeCell ref="AO5:AO6"/>
    <mergeCell ref="AP5:AP6"/>
    <mergeCell ref="G5:G6"/>
    <mergeCell ref="H5:H6"/>
    <mergeCell ref="AN5:AN6"/>
    <mergeCell ref="CE5:CO5"/>
    <mergeCell ref="BX5:CD5"/>
    <mergeCell ref="DE5:DE6"/>
    <mergeCell ref="EA5:ED5"/>
  </mergeCells>
  <phoneticPr fontId="40" type="noConversion"/>
  <conditionalFormatting sqref="A8:A10 A5">
    <cfRule type="duplicateValues" dxfId="33" priority="10487"/>
  </conditionalFormatting>
  <conditionalFormatting sqref="B5:B6 B8:B9">
    <cfRule type="duplicateValues" dxfId="32" priority="10495"/>
  </conditionalFormatting>
  <conditionalFormatting sqref="B8:B9">
    <cfRule type="duplicateValues" dxfId="31" priority="10497"/>
    <cfRule type="duplicateValues" dxfId="30" priority="10498" stopIfTrue="1"/>
  </conditionalFormatting>
  <conditionalFormatting sqref="B10">
    <cfRule type="duplicateValues" dxfId="29" priority="201" stopIfTrue="1"/>
    <cfRule type="duplicateValues" dxfId="28" priority="202" stopIfTrue="1"/>
  </conditionalFormatting>
  <conditionalFormatting sqref="B11:B64933">
    <cfRule type="duplicateValues" dxfId="27" priority="10500" stopIfTrue="1"/>
  </conditionalFormatting>
  <conditionalFormatting sqref="E5">
    <cfRule type="duplicateValues" dxfId="26" priority="195"/>
  </conditionalFormatting>
  <conditionalFormatting sqref="F5 B5">
    <cfRule type="duplicateValues" dxfId="25" priority="196"/>
  </conditionalFormatting>
  <conditionalFormatting sqref="G5">
    <cfRule type="duplicateValues" dxfId="24" priority="194"/>
  </conditionalFormatting>
  <conditionalFormatting sqref="I8:AL9">
    <cfRule type="expression" dxfId="23" priority="5">
      <formula>I8="CÔ"</formula>
    </cfRule>
    <cfRule type="expression" dxfId="22" priority="6">
      <formula>I8="Ô"</formula>
    </cfRule>
    <cfRule type="expression" dxfId="21" priority="7">
      <formula>I8="KP"</formula>
    </cfRule>
    <cfRule type="expression" dxfId="20" priority="8">
      <formula>I8="CP"</formula>
    </cfRule>
  </conditionalFormatting>
  <conditionalFormatting sqref="I5:AM6">
    <cfRule type="expression" dxfId="19" priority="4">
      <formula>I5="cn"</formula>
    </cfRule>
  </conditionalFormatting>
  <conditionalFormatting sqref="AS5:BW6">
    <cfRule type="expression" dxfId="18" priority="3">
      <formula>AS5="CN"</formula>
    </cfRule>
  </conditionalFormatting>
  <dataValidations count="1">
    <dataValidation allowBlank="1" showInputMessage="1" showErrorMessage="1" promptTitle="Thông báo" prompt="Không nhập các ký tự đặc biệt sau: ~ ` #  ^  |" sqref="C8:C9" xr:uid="{771E593D-C8D3-4FFC-988A-2D00BF24BCC6}"/>
  </dataValidations>
  <pageMargins left="0.24" right="0.16" top="0.25" bottom="0.2" header="0.2" footer="0.2"/>
  <pageSetup paperSize="9" scale="75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98D4-A871-487B-9DB9-A82EDE34A0C0}">
  <sheetPr filterMode="1"/>
  <dimension ref="A2:I459"/>
  <sheetViews>
    <sheetView topLeftCell="A98" workbookViewId="0">
      <selection activeCell="C16" sqref="C16"/>
    </sheetView>
  </sheetViews>
  <sheetFormatPr baseColWidth="10" defaultColWidth="9.19921875" defaultRowHeight="14"/>
  <cols>
    <col min="1" max="1" width="9.19921875" style="183"/>
    <col min="2" max="2" width="32.19921875" style="183" customWidth="1"/>
    <col min="3" max="3" width="17.59765625" style="183" customWidth="1"/>
    <col min="4" max="4" width="14.19921875" style="203" bestFit="1" customWidth="1"/>
    <col min="5" max="6" width="14.19921875" style="203" customWidth="1"/>
    <col min="7" max="7" width="9.19921875" style="183"/>
    <col min="8" max="8" width="13.19921875" style="204" bestFit="1" customWidth="1"/>
    <col min="9" max="16384" width="9.19921875" style="183"/>
  </cols>
  <sheetData>
    <row r="2" spans="1:8">
      <c r="A2" s="183" t="s">
        <v>0</v>
      </c>
      <c r="B2" s="183" t="s">
        <v>524</v>
      </c>
      <c r="C2" s="183" t="s">
        <v>474</v>
      </c>
      <c r="D2" s="203" t="s">
        <v>525</v>
      </c>
      <c r="F2" s="203" t="s">
        <v>481</v>
      </c>
      <c r="G2" s="183" t="s">
        <v>526</v>
      </c>
      <c r="H2" s="204" t="s">
        <v>609</v>
      </c>
    </row>
    <row r="3" spans="1:8" s="139" customFormat="1" ht="15" hidden="1">
      <c r="A3" s="139">
        <v>1</v>
      </c>
      <c r="B3" s="139" t="s">
        <v>69</v>
      </c>
      <c r="C3" s="139" t="s">
        <v>527</v>
      </c>
      <c r="D3" s="199">
        <v>12897000</v>
      </c>
      <c r="E3" s="199" t="e">
        <f>VLOOKUP(B3,#REF!,151,0)</f>
        <v>#REF!</v>
      </c>
      <c r="F3" s="199" t="e">
        <f>+D3-E3</f>
        <v>#REF!</v>
      </c>
      <c r="G3" s="139" t="s">
        <v>528</v>
      </c>
      <c r="H3" s="182">
        <v>461000</v>
      </c>
    </row>
    <row r="4" spans="1:8" s="139" customFormat="1" ht="15" hidden="1">
      <c r="A4" s="139">
        <v>2</v>
      </c>
      <c r="B4" s="139" t="s">
        <v>529</v>
      </c>
      <c r="C4" s="139" t="s">
        <v>530</v>
      </c>
      <c r="D4" s="199">
        <v>13476000</v>
      </c>
      <c r="E4" s="199" t="e">
        <f>VLOOKUP(B4,#REF!,151,0)</f>
        <v>#REF!</v>
      </c>
      <c r="F4" s="199" t="e">
        <f t="shared" ref="F4:F67" si="0">+D4-E4</f>
        <v>#REF!</v>
      </c>
      <c r="G4" s="139" t="s">
        <v>528</v>
      </c>
      <c r="H4" s="182">
        <v>461000</v>
      </c>
    </row>
    <row r="5" spans="1:8" s="139" customFormat="1" ht="15" hidden="1">
      <c r="A5" s="139">
        <v>3</v>
      </c>
      <c r="B5" s="139" t="s">
        <v>140</v>
      </c>
      <c r="C5" s="139" t="s">
        <v>530</v>
      </c>
      <c r="D5" s="199">
        <v>15230000</v>
      </c>
      <c r="E5" s="199" t="e">
        <f>VLOOKUP(B5,#REF!,151,0)</f>
        <v>#REF!</v>
      </c>
      <c r="F5" s="199" t="e">
        <f t="shared" si="0"/>
        <v>#REF!</v>
      </c>
      <c r="G5" s="139" t="s">
        <v>528</v>
      </c>
      <c r="H5" s="182">
        <v>461000</v>
      </c>
    </row>
    <row r="6" spans="1:8" s="139" customFormat="1" ht="15" hidden="1">
      <c r="A6" s="139">
        <v>4</v>
      </c>
      <c r="B6" s="139" t="s">
        <v>531</v>
      </c>
      <c r="C6" s="139" t="s">
        <v>532</v>
      </c>
      <c r="D6" s="199">
        <v>10503000</v>
      </c>
      <c r="E6" s="199" t="e">
        <f>VLOOKUP(B6,#REF!,151,0)</f>
        <v>#REF!</v>
      </c>
      <c r="F6" s="199" t="e">
        <f t="shared" si="0"/>
        <v>#REF!</v>
      </c>
      <c r="G6" s="139" t="s">
        <v>528</v>
      </c>
      <c r="H6" s="182">
        <v>461000</v>
      </c>
    </row>
    <row r="7" spans="1:8" s="139" customFormat="1" ht="15" hidden="1">
      <c r="A7" s="139">
        <v>5</v>
      </c>
      <c r="B7" s="139" t="s">
        <v>533</v>
      </c>
      <c r="C7" s="139" t="s">
        <v>534</v>
      </c>
      <c r="D7" s="199">
        <v>13650000</v>
      </c>
      <c r="E7" s="199" t="e">
        <f>VLOOKUP(B7,#REF!,151,0)</f>
        <v>#REF!</v>
      </c>
      <c r="F7" s="199" t="e">
        <f t="shared" si="0"/>
        <v>#REF!</v>
      </c>
      <c r="G7" s="139" t="s">
        <v>528</v>
      </c>
      <c r="H7" s="182">
        <v>461000</v>
      </c>
    </row>
    <row r="8" spans="1:8" s="139" customFormat="1" ht="14.25" hidden="1" customHeight="1">
      <c r="A8" s="139">
        <v>6</v>
      </c>
      <c r="B8" s="139" t="s">
        <v>100</v>
      </c>
      <c r="C8" s="139" t="s">
        <v>535</v>
      </c>
      <c r="D8" s="199">
        <v>11317000</v>
      </c>
      <c r="E8" s="199" t="e">
        <f>VLOOKUP(B8,#REF!,151,0)</f>
        <v>#REF!</v>
      </c>
      <c r="F8" s="199" t="e">
        <f t="shared" si="0"/>
        <v>#REF!</v>
      </c>
      <c r="G8" s="139" t="s">
        <v>528</v>
      </c>
      <c r="H8" s="182">
        <v>461000</v>
      </c>
    </row>
    <row r="9" spans="1:8" s="139" customFormat="1" ht="15" hidden="1">
      <c r="A9" s="139">
        <v>7</v>
      </c>
      <c r="B9" s="139" t="s">
        <v>536</v>
      </c>
      <c r="C9" s="139" t="s">
        <v>25</v>
      </c>
      <c r="D9" s="199">
        <v>7501000</v>
      </c>
      <c r="E9" s="199" t="e">
        <f>VLOOKUP(B9,#REF!,151,0)</f>
        <v>#REF!</v>
      </c>
      <c r="F9" s="199" t="e">
        <f t="shared" si="0"/>
        <v>#REF!</v>
      </c>
      <c r="G9" s="139" t="s">
        <v>528</v>
      </c>
      <c r="H9" s="182">
        <v>409000</v>
      </c>
    </row>
    <row r="10" spans="1:8" s="139" customFormat="1" ht="15" hidden="1">
      <c r="A10" s="139">
        <v>8</v>
      </c>
      <c r="B10" s="139" t="s">
        <v>537</v>
      </c>
      <c r="C10" s="139" t="s">
        <v>25</v>
      </c>
      <c r="D10" s="199">
        <v>6560000</v>
      </c>
      <c r="E10" s="199" t="e">
        <f>VLOOKUP(B10,#REF!,151,0)</f>
        <v>#REF!</v>
      </c>
      <c r="F10" s="199" t="e">
        <f t="shared" si="0"/>
        <v>#REF!</v>
      </c>
      <c r="G10" s="139" t="s">
        <v>528</v>
      </c>
      <c r="H10" s="182"/>
    </row>
    <row r="11" spans="1:8" s="139" customFormat="1" ht="15" hidden="1">
      <c r="A11" s="139">
        <v>9</v>
      </c>
      <c r="B11" s="139" t="s">
        <v>538</v>
      </c>
      <c r="C11" s="139" t="s">
        <v>25</v>
      </c>
      <c r="D11" s="199">
        <v>4549000</v>
      </c>
      <c r="E11" s="199" t="e">
        <f>VLOOKUP(B11,#REF!,151,0)</f>
        <v>#REF!</v>
      </c>
      <c r="F11" s="199" t="e">
        <f t="shared" si="0"/>
        <v>#REF!</v>
      </c>
      <c r="G11" s="139" t="s">
        <v>528</v>
      </c>
      <c r="H11" s="182">
        <v>409000</v>
      </c>
    </row>
    <row r="12" spans="1:8" s="139" customFormat="1" ht="15" hidden="1">
      <c r="A12" s="139">
        <v>10</v>
      </c>
      <c r="B12" s="139" t="s">
        <v>539</v>
      </c>
      <c r="C12" s="139" t="s">
        <v>25</v>
      </c>
      <c r="D12" s="199">
        <v>7240000</v>
      </c>
      <c r="E12" s="199" t="e">
        <f>VLOOKUP(B12,#REF!,151,0)</f>
        <v>#REF!</v>
      </c>
      <c r="F12" s="199" t="e">
        <f t="shared" si="0"/>
        <v>#REF!</v>
      </c>
      <c r="G12" s="139" t="s">
        <v>528</v>
      </c>
      <c r="H12" s="182"/>
    </row>
    <row r="13" spans="1:8" s="139" customFormat="1" ht="15" hidden="1">
      <c r="A13" s="139">
        <v>11</v>
      </c>
      <c r="B13" s="139" t="s">
        <v>540</v>
      </c>
      <c r="C13" s="139" t="s">
        <v>25</v>
      </c>
      <c r="D13" s="199">
        <v>6850000</v>
      </c>
      <c r="E13" s="199" t="e">
        <f>VLOOKUP(B13,#REF!,151,0)</f>
        <v>#REF!</v>
      </c>
      <c r="F13" s="199" t="e">
        <f t="shared" si="0"/>
        <v>#REF!</v>
      </c>
      <c r="G13" s="139" t="s">
        <v>528</v>
      </c>
      <c r="H13" s="182"/>
    </row>
    <row r="14" spans="1:8">
      <c r="A14" s="183">
        <v>12</v>
      </c>
      <c r="B14" s="183" t="s">
        <v>541</v>
      </c>
      <c r="C14" s="183" t="s">
        <v>25</v>
      </c>
      <c r="D14" s="203">
        <v>7351000</v>
      </c>
      <c r="E14" s="203" t="e">
        <f>VLOOKUP(B14,#REF!,151,0)</f>
        <v>#REF!</v>
      </c>
      <c r="F14" s="203" t="e">
        <f t="shared" si="0"/>
        <v>#REF!</v>
      </c>
      <c r="G14" s="183" t="s">
        <v>528</v>
      </c>
      <c r="H14" s="204">
        <v>409000</v>
      </c>
    </row>
    <row r="15" spans="1:8" s="139" customFormat="1" ht="15" hidden="1">
      <c r="A15" s="139">
        <v>13</v>
      </c>
      <c r="B15" s="139" t="s">
        <v>542</v>
      </c>
      <c r="C15" s="139" t="s">
        <v>25</v>
      </c>
      <c r="D15" s="199">
        <v>10842000</v>
      </c>
      <c r="E15" s="199" t="e">
        <f>VLOOKUP(B15,#REF!,151,0)</f>
        <v>#REF!</v>
      </c>
      <c r="F15" s="199" t="e">
        <f t="shared" si="0"/>
        <v>#REF!</v>
      </c>
      <c r="G15" s="139" t="s">
        <v>528</v>
      </c>
      <c r="H15" s="182">
        <v>409000</v>
      </c>
    </row>
    <row r="16" spans="1:8">
      <c r="A16" s="183">
        <v>14</v>
      </c>
      <c r="B16" s="183" t="s">
        <v>543</v>
      </c>
      <c r="C16" s="183" t="s">
        <v>25</v>
      </c>
      <c r="D16" s="203">
        <v>7806000</v>
      </c>
      <c r="E16" s="203" t="e">
        <f>VLOOKUP(B16,#REF!,151,0)</f>
        <v>#REF!</v>
      </c>
      <c r="F16" s="203" t="e">
        <f t="shared" si="0"/>
        <v>#REF!</v>
      </c>
      <c r="G16" s="183" t="s">
        <v>528</v>
      </c>
      <c r="H16" s="204">
        <v>409000</v>
      </c>
    </row>
    <row r="17" spans="1:8">
      <c r="A17" s="183">
        <v>15</v>
      </c>
      <c r="B17" s="183" t="s">
        <v>544</v>
      </c>
      <c r="C17" s="183" t="s">
        <v>25</v>
      </c>
      <c r="D17" s="203">
        <v>7766000</v>
      </c>
      <c r="E17" s="203" t="e">
        <f>VLOOKUP(B17,#REF!,151,0)</f>
        <v>#REF!</v>
      </c>
      <c r="F17" s="203" t="e">
        <f t="shared" si="0"/>
        <v>#REF!</v>
      </c>
      <c r="G17" s="183" t="s">
        <v>528</v>
      </c>
      <c r="H17" s="204">
        <v>409000</v>
      </c>
    </row>
    <row r="18" spans="1:8" s="139" customFormat="1" ht="15" hidden="1">
      <c r="A18" s="139">
        <v>16</v>
      </c>
      <c r="B18" s="139" t="s">
        <v>545</v>
      </c>
      <c r="C18" s="139" t="s">
        <v>25</v>
      </c>
      <c r="D18" s="199">
        <v>11186000</v>
      </c>
      <c r="E18" s="199" t="e">
        <f>VLOOKUP(B18,#REF!,151,0)</f>
        <v>#REF!</v>
      </c>
      <c r="F18" s="199" t="e">
        <f t="shared" si="0"/>
        <v>#REF!</v>
      </c>
      <c r="G18" s="139" t="s">
        <v>528</v>
      </c>
      <c r="H18" s="182"/>
    </row>
    <row r="19" spans="1:8" s="139" customFormat="1" ht="15" hidden="1">
      <c r="A19" s="139">
        <v>17</v>
      </c>
      <c r="B19" s="139" t="s">
        <v>98</v>
      </c>
      <c r="C19" s="139" t="s">
        <v>25</v>
      </c>
      <c r="D19" s="199">
        <v>8022000</v>
      </c>
      <c r="E19" s="199" t="e">
        <f>VLOOKUP(B19,#REF!,151,0)</f>
        <v>#REF!</v>
      </c>
      <c r="F19" s="199" t="e">
        <f t="shared" si="0"/>
        <v>#REF!</v>
      </c>
      <c r="G19" s="139" t="s">
        <v>528</v>
      </c>
      <c r="H19" s="182">
        <v>409000</v>
      </c>
    </row>
    <row r="20" spans="1:8" s="139" customFormat="1" ht="15" hidden="1">
      <c r="A20" s="139">
        <v>18</v>
      </c>
      <c r="B20" s="139" t="s">
        <v>546</v>
      </c>
      <c r="C20" s="139" t="s">
        <v>25</v>
      </c>
      <c r="D20" s="199">
        <v>0</v>
      </c>
      <c r="E20" s="199" t="e">
        <f>VLOOKUP(B20,#REF!,151,0)</f>
        <v>#REF!</v>
      </c>
      <c r="F20" s="199" t="e">
        <f t="shared" si="0"/>
        <v>#REF!</v>
      </c>
      <c r="G20" s="139" t="s">
        <v>528</v>
      </c>
      <c r="H20" s="182"/>
    </row>
    <row r="21" spans="1:8" s="139" customFormat="1" ht="15" hidden="1">
      <c r="A21" s="139">
        <v>19</v>
      </c>
      <c r="B21" s="139" t="s">
        <v>547</v>
      </c>
      <c r="C21" s="139" t="s">
        <v>25</v>
      </c>
      <c r="D21" s="199">
        <v>7747000</v>
      </c>
      <c r="E21" s="199" t="e">
        <f>VLOOKUP(B21,#REF!,151,0)</f>
        <v>#REF!</v>
      </c>
      <c r="F21" s="199" t="e">
        <f t="shared" si="0"/>
        <v>#REF!</v>
      </c>
      <c r="G21" s="139" t="s">
        <v>528</v>
      </c>
      <c r="H21" s="182"/>
    </row>
    <row r="22" spans="1:8" s="139" customFormat="1" ht="15" hidden="1">
      <c r="A22" s="139">
        <v>20</v>
      </c>
      <c r="B22" s="139" t="s">
        <v>548</v>
      </c>
      <c r="C22" s="139" t="s">
        <v>25</v>
      </c>
      <c r="D22" s="199">
        <v>9018000</v>
      </c>
      <c r="E22" s="199" t="e">
        <f>VLOOKUP(B22,#REF!,151,0)</f>
        <v>#REF!</v>
      </c>
      <c r="F22" s="199" t="e">
        <f t="shared" si="0"/>
        <v>#REF!</v>
      </c>
      <c r="G22" s="139" t="s">
        <v>528</v>
      </c>
      <c r="H22" s="182"/>
    </row>
    <row r="23" spans="1:8" s="139" customFormat="1" ht="15" hidden="1">
      <c r="A23" s="139">
        <v>21</v>
      </c>
      <c r="B23" s="139" t="s">
        <v>549</v>
      </c>
      <c r="C23" s="139" t="s">
        <v>25</v>
      </c>
      <c r="D23" s="199">
        <v>9213000</v>
      </c>
      <c r="E23" s="199" t="e">
        <f>VLOOKUP(B23,#REF!,151,0)</f>
        <v>#REF!</v>
      </c>
      <c r="F23" s="199" t="e">
        <f t="shared" si="0"/>
        <v>#REF!</v>
      </c>
      <c r="G23" s="139" t="s">
        <v>528</v>
      </c>
      <c r="H23" s="182"/>
    </row>
    <row r="24" spans="1:8" s="139" customFormat="1" ht="15" hidden="1">
      <c r="A24" s="139">
        <v>22</v>
      </c>
      <c r="B24" s="139" t="s">
        <v>550</v>
      </c>
      <c r="C24" s="139" t="s">
        <v>25</v>
      </c>
      <c r="D24" s="199">
        <v>8857000</v>
      </c>
      <c r="E24" s="199" t="e">
        <f>VLOOKUP(B24,#REF!,151,0)</f>
        <v>#REF!</v>
      </c>
      <c r="F24" s="199" t="e">
        <f t="shared" si="0"/>
        <v>#REF!</v>
      </c>
      <c r="G24" s="139" t="s">
        <v>528</v>
      </c>
      <c r="H24" s="182">
        <v>409000</v>
      </c>
    </row>
    <row r="25" spans="1:8" s="139" customFormat="1" ht="15" hidden="1">
      <c r="A25" s="139">
        <v>23</v>
      </c>
      <c r="B25" s="139" t="s">
        <v>551</v>
      </c>
      <c r="C25" s="139" t="s">
        <v>25</v>
      </c>
      <c r="D25" s="199">
        <v>7553000</v>
      </c>
      <c r="E25" s="199" t="e">
        <f>VLOOKUP(B25,#REF!,151,0)</f>
        <v>#REF!</v>
      </c>
      <c r="F25" s="199" t="e">
        <f t="shared" si="0"/>
        <v>#REF!</v>
      </c>
      <c r="G25" s="139" t="s">
        <v>528</v>
      </c>
      <c r="H25" s="182"/>
    </row>
    <row r="26" spans="1:8" s="139" customFormat="1" ht="15" hidden="1">
      <c r="A26" s="139">
        <v>24</v>
      </c>
      <c r="B26" s="139" t="s">
        <v>552</v>
      </c>
      <c r="C26" s="139" t="s">
        <v>25</v>
      </c>
      <c r="D26" s="199">
        <v>8759000</v>
      </c>
      <c r="E26" s="199" t="e">
        <f>VLOOKUP(B26,#REF!,151,0)</f>
        <v>#REF!</v>
      </c>
      <c r="F26" s="199" t="e">
        <f t="shared" si="0"/>
        <v>#REF!</v>
      </c>
      <c r="G26" s="139" t="s">
        <v>528</v>
      </c>
      <c r="H26" s="182">
        <v>409000</v>
      </c>
    </row>
    <row r="27" spans="1:8" s="139" customFormat="1" ht="15" hidden="1">
      <c r="A27" s="139">
        <v>25</v>
      </c>
      <c r="B27" s="139" t="s">
        <v>553</v>
      </c>
      <c r="C27" s="139" t="s">
        <v>25</v>
      </c>
      <c r="D27" s="199">
        <v>10935000</v>
      </c>
      <c r="E27" s="199" t="e">
        <f>VLOOKUP(B27,#REF!,151,0)</f>
        <v>#REF!</v>
      </c>
      <c r="F27" s="199" t="e">
        <f t="shared" si="0"/>
        <v>#REF!</v>
      </c>
      <c r="G27" s="139" t="s">
        <v>528</v>
      </c>
      <c r="H27" s="182">
        <v>409000</v>
      </c>
    </row>
    <row r="28" spans="1:8" s="139" customFormat="1" ht="15" hidden="1">
      <c r="A28" s="139">
        <v>26</v>
      </c>
      <c r="B28" s="139" t="s">
        <v>554</v>
      </c>
      <c r="C28" s="139" t="s">
        <v>25</v>
      </c>
      <c r="D28" s="199">
        <v>11344000</v>
      </c>
      <c r="E28" s="199" t="e">
        <f>VLOOKUP(B28,#REF!,151,0)</f>
        <v>#REF!</v>
      </c>
      <c r="F28" s="199" t="e">
        <f t="shared" si="0"/>
        <v>#REF!</v>
      </c>
      <c r="G28" s="139" t="s">
        <v>528</v>
      </c>
      <c r="H28" s="182"/>
    </row>
    <row r="29" spans="1:8">
      <c r="A29" s="183">
        <v>27</v>
      </c>
      <c r="B29" s="183" t="s">
        <v>555</v>
      </c>
      <c r="C29" s="183" t="s">
        <v>25</v>
      </c>
      <c r="D29" s="203">
        <v>8424000</v>
      </c>
      <c r="E29" s="203" t="e">
        <f>VLOOKUP(B29,#REF!,151,0)</f>
        <v>#REF!</v>
      </c>
      <c r="F29" s="203" t="e">
        <f t="shared" si="0"/>
        <v>#REF!</v>
      </c>
      <c r="G29" s="183" t="s">
        <v>528</v>
      </c>
      <c r="H29" s="204">
        <v>409000</v>
      </c>
    </row>
    <row r="30" spans="1:8" s="139" customFormat="1" ht="15" hidden="1">
      <c r="A30" s="139">
        <v>28</v>
      </c>
      <c r="B30" s="139" t="s">
        <v>556</v>
      </c>
      <c r="C30" s="139" t="s">
        <v>25</v>
      </c>
      <c r="D30" s="199">
        <v>11370000</v>
      </c>
      <c r="E30" s="199" t="e">
        <f>VLOOKUP(B30,#REF!,151,0)</f>
        <v>#REF!</v>
      </c>
      <c r="F30" s="199" t="e">
        <f t="shared" si="0"/>
        <v>#REF!</v>
      </c>
      <c r="G30" s="139" t="s">
        <v>528</v>
      </c>
      <c r="H30" s="182">
        <v>409000</v>
      </c>
    </row>
    <row r="31" spans="1:8" s="139" customFormat="1" ht="15" hidden="1">
      <c r="A31" s="139">
        <v>29</v>
      </c>
      <c r="B31" s="139" t="s">
        <v>557</v>
      </c>
      <c r="C31" s="139" t="s">
        <v>25</v>
      </c>
      <c r="D31" s="199">
        <v>1991000</v>
      </c>
      <c r="E31" s="199" t="e">
        <f>VLOOKUP(B31,#REF!,151,0)</f>
        <v>#REF!</v>
      </c>
      <c r="F31" s="199" t="e">
        <f t="shared" si="0"/>
        <v>#REF!</v>
      </c>
      <c r="G31" s="139" t="s">
        <v>528</v>
      </c>
      <c r="H31" s="182"/>
    </row>
    <row r="32" spans="1:8" s="139" customFormat="1" ht="15" hidden="1">
      <c r="A32" s="139">
        <v>30</v>
      </c>
      <c r="B32" s="139" t="s">
        <v>65</v>
      </c>
      <c r="C32" s="139" t="s">
        <v>25</v>
      </c>
      <c r="D32" s="199">
        <v>2590000</v>
      </c>
      <c r="E32" s="199" t="e">
        <f>VLOOKUP(B32,#REF!,151,0)</f>
        <v>#REF!</v>
      </c>
      <c r="F32" s="199" t="e">
        <f t="shared" si="0"/>
        <v>#REF!</v>
      </c>
      <c r="G32" s="139" t="s">
        <v>528</v>
      </c>
      <c r="H32" s="182"/>
    </row>
    <row r="33" spans="1:8" s="139" customFormat="1" ht="15" hidden="1">
      <c r="A33" s="139">
        <v>31</v>
      </c>
      <c r="B33" s="139" t="s">
        <v>558</v>
      </c>
      <c r="C33" s="139" t="s">
        <v>167</v>
      </c>
      <c r="D33" s="199">
        <v>8599000</v>
      </c>
      <c r="E33" s="199" t="e">
        <f>VLOOKUP(B33,#REF!,151,0)</f>
        <v>#REF!</v>
      </c>
      <c r="F33" s="199" t="e">
        <f t="shared" si="0"/>
        <v>#REF!</v>
      </c>
      <c r="G33" s="139" t="s">
        <v>528</v>
      </c>
      <c r="H33" s="182">
        <v>461000</v>
      </c>
    </row>
    <row r="34" spans="1:8" s="139" customFormat="1" ht="15" hidden="1">
      <c r="A34" s="139">
        <v>32</v>
      </c>
      <c r="B34" s="139" t="s">
        <v>207</v>
      </c>
      <c r="C34" s="139" t="s">
        <v>167</v>
      </c>
      <c r="D34" s="199">
        <v>8949000</v>
      </c>
      <c r="E34" s="199" t="e">
        <f>VLOOKUP(B34,#REF!,151,0)</f>
        <v>#REF!</v>
      </c>
      <c r="F34" s="199" t="e">
        <f t="shared" si="0"/>
        <v>#REF!</v>
      </c>
      <c r="G34" s="139" t="s">
        <v>528</v>
      </c>
      <c r="H34" s="182">
        <v>461000</v>
      </c>
    </row>
    <row r="35" spans="1:8" s="139" customFormat="1" ht="15" hidden="1">
      <c r="A35" s="139">
        <v>33</v>
      </c>
      <c r="B35" s="139" t="s">
        <v>345</v>
      </c>
      <c r="C35" s="139" t="s">
        <v>167</v>
      </c>
      <c r="D35" s="199">
        <v>7229000</v>
      </c>
      <c r="E35" s="199" t="e">
        <f>VLOOKUP(B35,#REF!,151,0)</f>
        <v>#REF!</v>
      </c>
      <c r="F35" s="199" t="e">
        <f t="shared" si="0"/>
        <v>#REF!</v>
      </c>
      <c r="G35" s="139" t="s">
        <v>528</v>
      </c>
      <c r="H35" s="182">
        <v>409000</v>
      </c>
    </row>
    <row r="36" spans="1:8" s="139" customFormat="1" ht="15" hidden="1">
      <c r="A36" s="139">
        <v>34</v>
      </c>
      <c r="B36" s="139" t="s">
        <v>330</v>
      </c>
      <c r="C36" s="139" t="s">
        <v>167</v>
      </c>
      <c r="D36" s="199">
        <v>9801000</v>
      </c>
      <c r="E36" s="199" t="e">
        <f>VLOOKUP(B36,#REF!,151,0)</f>
        <v>#REF!</v>
      </c>
      <c r="F36" s="199" t="e">
        <f t="shared" si="0"/>
        <v>#REF!</v>
      </c>
      <c r="G36" s="139" t="s">
        <v>528</v>
      </c>
      <c r="H36" s="182">
        <v>409000</v>
      </c>
    </row>
    <row r="37" spans="1:8" s="139" customFormat="1" ht="15" hidden="1">
      <c r="A37" s="139">
        <v>35</v>
      </c>
      <c r="B37" s="139" t="s">
        <v>335</v>
      </c>
      <c r="C37" s="139" t="s">
        <v>167</v>
      </c>
      <c r="D37" s="199">
        <v>7310000</v>
      </c>
      <c r="E37" s="199" t="e">
        <f>VLOOKUP(B37,#REF!,151,0)</f>
        <v>#REF!</v>
      </c>
      <c r="F37" s="199" t="e">
        <f t="shared" si="0"/>
        <v>#REF!</v>
      </c>
      <c r="G37" s="139" t="s">
        <v>528</v>
      </c>
      <c r="H37" s="182">
        <v>409000</v>
      </c>
    </row>
    <row r="38" spans="1:8" s="139" customFormat="1" ht="15" hidden="1">
      <c r="A38" s="139">
        <v>36</v>
      </c>
      <c r="B38" s="139" t="s">
        <v>61</v>
      </c>
      <c r="C38" s="139" t="s">
        <v>167</v>
      </c>
      <c r="D38" s="199">
        <v>9017000</v>
      </c>
      <c r="E38" s="199" t="e">
        <f>VLOOKUP(B38,#REF!,151,0)</f>
        <v>#REF!</v>
      </c>
      <c r="F38" s="199" t="e">
        <f t="shared" si="0"/>
        <v>#REF!</v>
      </c>
      <c r="G38" s="139" t="s">
        <v>528</v>
      </c>
      <c r="H38" s="182">
        <v>461000</v>
      </c>
    </row>
    <row r="39" spans="1:8" s="139" customFormat="1" ht="15" hidden="1">
      <c r="A39" s="139">
        <v>37</v>
      </c>
      <c r="B39" s="139" t="s">
        <v>261</v>
      </c>
      <c r="C39" s="139" t="s">
        <v>167</v>
      </c>
      <c r="D39" s="199">
        <v>5233000</v>
      </c>
      <c r="E39" s="199" t="e">
        <f>VLOOKUP(B39,#REF!,151,0)</f>
        <v>#REF!</v>
      </c>
      <c r="F39" s="199" t="e">
        <f t="shared" si="0"/>
        <v>#REF!</v>
      </c>
      <c r="G39" s="139" t="s">
        <v>528</v>
      </c>
      <c r="H39" s="182">
        <v>409000</v>
      </c>
    </row>
    <row r="40" spans="1:8" s="139" customFormat="1" ht="15" hidden="1">
      <c r="A40" s="139">
        <v>38</v>
      </c>
      <c r="B40" s="139" t="s">
        <v>559</v>
      </c>
      <c r="C40" s="139" t="s">
        <v>167</v>
      </c>
      <c r="D40" s="199">
        <v>7854000</v>
      </c>
      <c r="E40" s="199" t="e">
        <f>VLOOKUP(B40,#REF!,151,0)</f>
        <v>#REF!</v>
      </c>
      <c r="F40" s="199" t="e">
        <f t="shared" si="0"/>
        <v>#REF!</v>
      </c>
      <c r="G40" s="139" t="s">
        <v>528</v>
      </c>
      <c r="H40" s="182"/>
    </row>
    <row r="41" spans="1:8" s="139" customFormat="1" ht="15" hidden="1">
      <c r="A41" s="139">
        <v>39</v>
      </c>
      <c r="B41" s="139" t="s">
        <v>459</v>
      </c>
      <c r="C41" s="139" t="s">
        <v>167</v>
      </c>
      <c r="D41" s="199">
        <v>2840000</v>
      </c>
      <c r="E41" s="199" t="e">
        <f>VLOOKUP(B41,#REF!,151,0)</f>
        <v>#REF!</v>
      </c>
      <c r="F41" s="199" t="e">
        <f t="shared" si="0"/>
        <v>#REF!</v>
      </c>
      <c r="G41" s="139" t="s">
        <v>528</v>
      </c>
      <c r="H41" s="182">
        <v>409000</v>
      </c>
    </row>
    <row r="42" spans="1:8" s="139" customFormat="1" ht="15" hidden="1">
      <c r="A42" s="139">
        <v>40</v>
      </c>
      <c r="B42" s="139" t="s">
        <v>84</v>
      </c>
      <c r="C42" s="139" t="s">
        <v>167</v>
      </c>
      <c r="D42" s="199">
        <v>9788000</v>
      </c>
      <c r="E42" s="199" t="e">
        <f>VLOOKUP(B42,#REF!,151,0)</f>
        <v>#REF!</v>
      </c>
      <c r="F42" s="199" t="e">
        <f t="shared" si="0"/>
        <v>#REF!</v>
      </c>
      <c r="G42" s="139" t="s">
        <v>528</v>
      </c>
      <c r="H42" s="182"/>
    </row>
    <row r="43" spans="1:8">
      <c r="A43" s="183">
        <v>41</v>
      </c>
      <c r="B43" s="183" t="s">
        <v>560</v>
      </c>
      <c r="C43" s="183" t="s">
        <v>167</v>
      </c>
      <c r="D43" s="203">
        <v>7725000</v>
      </c>
      <c r="E43" s="203" t="e">
        <f>VLOOKUP(B43,#REF!,151,0)</f>
        <v>#REF!</v>
      </c>
      <c r="F43" s="203" t="e">
        <f t="shared" si="0"/>
        <v>#REF!</v>
      </c>
      <c r="G43" s="183" t="s">
        <v>528</v>
      </c>
      <c r="H43" s="204">
        <v>409000</v>
      </c>
    </row>
    <row r="44" spans="1:8" s="200" customFormat="1" ht="15" hidden="1">
      <c r="A44" s="139">
        <v>42</v>
      </c>
      <c r="B44" s="200" t="s">
        <v>51</v>
      </c>
      <c r="C44" s="200" t="s">
        <v>167</v>
      </c>
      <c r="D44" s="201">
        <v>10626000</v>
      </c>
      <c r="E44" s="201" t="e">
        <f>VLOOKUP(B44,#REF!,151,0)</f>
        <v>#REF!</v>
      </c>
      <c r="F44" s="201" t="e">
        <f t="shared" si="0"/>
        <v>#REF!</v>
      </c>
      <c r="G44" s="200" t="s">
        <v>528</v>
      </c>
      <c r="H44" s="202">
        <v>514000</v>
      </c>
    </row>
    <row r="45" spans="1:8" s="139" customFormat="1" ht="15" hidden="1">
      <c r="A45" s="139">
        <v>43</v>
      </c>
      <c r="B45" s="139" t="s">
        <v>561</v>
      </c>
      <c r="C45" s="139" t="s">
        <v>167</v>
      </c>
      <c r="D45" s="199">
        <v>9525000</v>
      </c>
      <c r="E45" s="199" t="e">
        <f>VLOOKUP(B45,#REF!,151,0)</f>
        <v>#REF!</v>
      </c>
      <c r="F45" s="199" t="e">
        <f t="shared" si="0"/>
        <v>#REF!</v>
      </c>
      <c r="G45" s="139" t="s">
        <v>528</v>
      </c>
      <c r="H45" s="182">
        <v>461000</v>
      </c>
    </row>
    <row r="46" spans="1:8" s="139" customFormat="1" ht="15" hidden="1">
      <c r="A46" s="139">
        <v>44</v>
      </c>
      <c r="B46" s="139" t="s">
        <v>441</v>
      </c>
      <c r="C46" s="139" t="s">
        <v>167</v>
      </c>
      <c r="D46" s="199">
        <v>8712000</v>
      </c>
      <c r="E46" s="199" t="e">
        <f>VLOOKUP(B46,#REF!,151,0)</f>
        <v>#REF!</v>
      </c>
      <c r="F46" s="199" t="e">
        <f t="shared" si="0"/>
        <v>#REF!</v>
      </c>
      <c r="G46" s="139" t="s">
        <v>528</v>
      </c>
      <c r="H46" s="182">
        <v>409000</v>
      </c>
    </row>
    <row r="47" spans="1:8" s="139" customFormat="1" ht="15" hidden="1">
      <c r="A47" s="139">
        <v>45</v>
      </c>
      <c r="B47" s="139" t="s">
        <v>282</v>
      </c>
      <c r="C47" s="139" t="s">
        <v>167</v>
      </c>
      <c r="D47" s="199">
        <v>0</v>
      </c>
      <c r="E47" s="199" t="e">
        <f>VLOOKUP(B47,#REF!,151,0)</f>
        <v>#REF!</v>
      </c>
      <c r="F47" s="199" t="e">
        <f t="shared" si="0"/>
        <v>#REF!</v>
      </c>
      <c r="G47" s="139" t="s">
        <v>528</v>
      </c>
      <c r="H47" s="182"/>
    </row>
    <row r="48" spans="1:8" s="139" customFormat="1" ht="15" hidden="1">
      <c r="A48" s="139">
        <v>46</v>
      </c>
      <c r="B48" s="139" t="s">
        <v>562</v>
      </c>
      <c r="C48" s="139" t="s">
        <v>167</v>
      </c>
      <c r="D48" s="199">
        <v>4835000</v>
      </c>
      <c r="E48" s="199" t="e">
        <f>VLOOKUP(B48,#REF!,151,0)</f>
        <v>#REF!</v>
      </c>
      <c r="F48" s="199" t="e">
        <f t="shared" si="0"/>
        <v>#REF!</v>
      </c>
      <c r="G48" s="139" t="s">
        <v>528</v>
      </c>
      <c r="H48" s="182"/>
    </row>
    <row r="49" spans="1:9" s="139" customFormat="1" ht="15" hidden="1">
      <c r="A49" s="139">
        <v>47</v>
      </c>
      <c r="B49" s="139" t="s">
        <v>563</v>
      </c>
      <c r="C49" s="139" t="s">
        <v>564</v>
      </c>
      <c r="D49" s="199">
        <v>6149000</v>
      </c>
      <c r="E49" s="199" t="e">
        <f>VLOOKUP(B49,#REF!,151,0)</f>
        <v>#REF!</v>
      </c>
      <c r="F49" s="199" t="e">
        <f t="shared" si="0"/>
        <v>#REF!</v>
      </c>
      <c r="G49" s="139" t="s">
        <v>528</v>
      </c>
      <c r="H49" s="182">
        <v>409000</v>
      </c>
    </row>
    <row r="50" spans="1:9" s="139" customFormat="1" ht="15" hidden="1">
      <c r="A50" s="139">
        <v>48</v>
      </c>
      <c r="B50" s="139" t="s">
        <v>565</v>
      </c>
      <c r="C50" s="139" t="s">
        <v>564</v>
      </c>
      <c r="D50" s="199">
        <v>6951000</v>
      </c>
      <c r="E50" s="199" t="e">
        <f>VLOOKUP(B50,#REF!,151,0)</f>
        <v>#REF!</v>
      </c>
      <c r="F50" s="199" t="e">
        <f t="shared" si="0"/>
        <v>#REF!</v>
      </c>
      <c r="G50" s="139" t="s">
        <v>528</v>
      </c>
      <c r="H50" s="182">
        <v>429000</v>
      </c>
    </row>
    <row r="51" spans="1:9" s="139" customFormat="1" ht="15" hidden="1">
      <c r="A51" s="139">
        <v>49</v>
      </c>
      <c r="B51" s="139" t="s">
        <v>566</v>
      </c>
      <c r="C51" s="139" t="s">
        <v>564</v>
      </c>
      <c r="D51" s="199">
        <v>6706000</v>
      </c>
      <c r="E51" s="199" t="e">
        <f>VLOOKUP(B51,#REF!,151,0)</f>
        <v>#REF!</v>
      </c>
      <c r="F51" s="199" t="e">
        <f t="shared" si="0"/>
        <v>#REF!</v>
      </c>
      <c r="G51" s="139" t="s">
        <v>528</v>
      </c>
      <c r="H51" s="182">
        <v>409000</v>
      </c>
    </row>
    <row r="52" spans="1:9" s="200" customFormat="1" ht="15" hidden="1">
      <c r="A52" s="139">
        <v>50</v>
      </c>
      <c r="B52" s="200" t="s">
        <v>81</v>
      </c>
      <c r="C52" s="200" t="s">
        <v>564</v>
      </c>
      <c r="D52" s="201">
        <v>7320000</v>
      </c>
      <c r="E52" s="201" t="e">
        <f>VLOOKUP(B52,#REF!,151,0)</f>
        <v>#REF!</v>
      </c>
      <c r="F52" s="201" t="e">
        <f t="shared" si="0"/>
        <v>#REF!</v>
      </c>
      <c r="G52" s="200" t="s">
        <v>528</v>
      </c>
      <c r="H52" s="202"/>
      <c r="I52" s="200" t="s">
        <v>722</v>
      </c>
    </row>
    <row r="53" spans="1:9" s="139" customFormat="1" ht="15" hidden="1">
      <c r="A53" s="139">
        <v>51</v>
      </c>
      <c r="B53" s="139" t="s">
        <v>567</v>
      </c>
      <c r="C53" s="139" t="s">
        <v>568</v>
      </c>
      <c r="D53" s="199">
        <v>9570000</v>
      </c>
      <c r="E53" s="199" t="e">
        <f>VLOOKUP(B53,#REF!,151,0)</f>
        <v>#REF!</v>
      </c>
      <c r="F53" s="199" t="e">
        <f t="shared" si="0"/>
        <v>#REF!</v>
      </c>
      <c r="G53" s="139" t="s">
        <v>528</v>
      </c>
      <c r="H53" s="182"/>
    </row>
    <row r="54" spans="1:9" s="139" customFormat="1" ht="15" hidden="1">
      <c r="A54" s="139">
        <v>52</v>
      </c>
      <c r="B54" s="139" t="s">
        <v>569</v>
      </c>
      <c r="C54" s="139" t="s">
        <v>568</v>
      </c>
      <c r="D54" s="199">
        <v>8827000</v>
      </c>
      <c r="E54" s="199" t="e">
        <f>VLOOKUP(B54,#REF!,151,0)</f>
        <v>#REF!</v>
      </c>
      <c r="F54" s="199" t="e">
        <f t="shared" si="0"/>
        <v>#REF!</v>
      </c>
      <c r="G54" s="139" t="s">
        <v>528</v>
      </c>
      <c r="H54" s="182">
        <v>409000</v>
      </c>
    </row>
    <row r="55" spans="1:9" s="139" customFormat="1" ht="15" hidden="1">
      <c r="A55" s="139">
        <v>53</v>
      </c>
      <c r="B55" s="139" t="s">
        <v>570</v>
      </c>
      <c r="C55" s="139" t="s">
        <v>571</v>
      </c>
      <c r="D55" s="199">
        <v>4813000</v>
      </c>
      <c r="E55" s="199" t="e">
        <f>VLOOKUP(B55,#REF!,151,0)</f>
        <v>#REF!</v>
      </c>
      <c r="F55" s="199" t="e">
        <f t="shared" si="0"/>
        <v>#REF!</v>
      </c>
      <c r="G55" s="139" t="s">
        <v>528</v>
      </c>
      <c r="H55" s="182"/>
    </row>
    <row r="56" spans="1:9" s="139" customFormat="1" ht="15" hidden="1">
      <c r="A56" s="139">
        <v>54</v>
      </c>
      <c r="B56" s="139" t="s">
        <v>572</v>
      </c>
      <c r="C56" s="139" t="s">
        <v>571</v>
      </c>
      <c r="D56" s="199">
        <v>8993000</v>
      </c>
      <c r="E56" s="199" t="e">
        <f>VLOOKUP(B56,#REF!,151,0)</f>
        <v>#REF!</v>
      </c>
      <c r="F56" s="199" t="e">
        <f t="shared" si="0"/>
        <v>#REF!</v>
      </c>
      <c r="G56" s="139" t="s">
        <v>528</v>
      </c>
      <c r="H56" s="182"/>
    </row>
    <row r="57" spans="1:9" s="139" customFormat="1" ht="15" hidden="1">
      <c r="A57" s="139">
        <v>55</v>
      </c>
      <c r="B57" s="139" t="s">
        <v>573</v>
      </c>
      <c r="C57" s="139" t="s">
        <v>571</v>
      </c>
      <c r="D57" s="199">
        <v>8705000</v>
      </c>
      <c r="E57" s="199" t="e">
        <f>VLOOKUP(B57,#REF!,151,0)</f>
        <v>#REF!</v>
      </c>
      <c r="F57" s="199" t="e">
        <f t="shared" si="0"/>
        <v>#REF!</v>
      </c>
      <c r="G57" s="139" t="s">
        <v>528</v>
      </c>
      <c r="H57" s="182"/>
    </row>
    <row r="58" spans="1:9" s="139" customFormat="1" ht="15" hidden="1">
      <c r="A58" s="139">
        <v>56</v>
      </c>
      <c r="B58" s="139" t="s">
        <v>574</v>
      </c>
      <c r="C58" s="139" t="s">
        <v>571</v>
      </c>
      <c r="D58" s="199">
        <v>11547000</v>
      </c>
      <c r="E58" s="199" t="e">
        <f>VLOOKUP(B58,#REF!,151,0)</f>
        <v>#REF!</v>
      </c>
      <c r="F58" s="199" t="e">
        <f t="shared" si="0"/>
        <v>#REF!</v>
      </c>
      <c r="G58" s="139" t="s">
        <v>528</v>
      </c>
      <c r="H58" s="182"/>
    </row>
    <row r="59" spans="1:9" s="139" customFormat="1" ht="15" hidden="1">
      <c r="A59" s="139">
        <v>57</v>
      </c>
      <c r="B59" s="139" t="s">
        <v>575</v>
      </c>
      <c r="C59" s="139" t="s">
        <v>571</v>
      </c>
      <c r="D59" s="199">
        <v>0</v>
      </c>
      <c r="E59" s="199" t="e">
        <f>VLOOKUP(B59,#REF!,151,0)</f>
        <v>#REF!</v>
      </c>
      <c r="F59" s="199" t="e">
        <f t="shared" si="0"/>
        <v>#REF!</v>
      </c>
      <c r="G59" s="139" t="s">
        <v>528</v>
      </c>
      <c r="H59" s="182"/>
    </row>
    <row r="60" spans="1:9" s="139" customFormat="1" ht="15" hidden="1">
      <c r="A60" s="139">
        <v>58</v>
      </c>
      <c r="B60" s="139" t="s">
        <v>576</v>
      </c>
      <c r="C60" s="139" t="s">
        <v>571</v>
      </c>
      <c r="D60" s="199">
        <v>6900000</v>
      </c>
      <c r="E60" s="199" t="e">
        <f>VLOOKUP(B60,#REF!,151,0)</f>
        <v>#REF!</v>
      </c>
      <c r="F60" s="199" t="e">
        <f t="shared" si="0"/>
        <v>#REF!</v>
      </c>
      <c r="G60" s="139" t="s">
        <v>528</v>
      </c>
      <c r="H60" s="182"/>
    </row>
    <row r="61" spans="1:9" s="139" customFormat="1" ht="15" hidden="1">
      <c r="A61" s="139">
        <v>59</v>
      </c>
      <c r="B61" s="139" t="s">
        <v>577</v>
      </c>
      <c r="C61" s="139" t="s">
        <v>571</v>
      </c>
      <c r="D61" s="199">
        <v>6685000</v>
      </c>
      <c r="E61" s="199" t="e">
        <f>VLOOKUP(B61,#REF!,151,0)</f>
        <v>#REF!</v>
      </c>
      <c r="F61" s="199" t="e">
        <f t="shared" si="0"/>
        <v>#REF!</v>
      </c>
      <c r="G61" s="139" t="s">
        <v>528</v>
      </c>
      <c r="H61" s="182"/>
    </row>
    <row r="62" spans="1:9" s="139" customFormat="1" ht="15" hidden="1">
      <c r="A62" s="139">
        <v>60</v>
      </c>
      <c r="B62" s="139" t="s">
        <v>578</v>
      </c>
      <c r="C62" s="139" t="s">
        <v>571</v>
      </c>
      <c r="D62" s="199">
        <v>6190000</v>
      </c>
      <c r="E62" s="199" t="e">
        <f>VLOOKUP(B62,#REF!,151,0)</f>
        <v>#REF!</v>
      </c>
      <c r="F62" s="199" t="e">
        <f t="shared" si="0"/>
        <v>#REF!</v>
      </c>
      <c r="G62" s="139" t="s">
        <v>528</v>
      </c>
      <c r="H62" s="182"/>
    </row>
    <row r="63" spans="1:9">
      <c r="A63" s="183">
        <v>61</v>
      </c>
      <c r="B63" s="183" t="s">
        <v>579</v>
      </c>
      <c r="C63" s="183" t="s">
        <v>571</v>
      </c>
      <c r="D63" s="203">
        <v>7562000</v>
      </c>
      <c r="E63" s="203" t="e">
        <f>VLOOKUP(B63,#REF!,151,0)</f>
        <v>#REF!</v>
      </c>
      <c r="F63" s="203" t="e">
        <f t="shared" si="0"/>
        <v>#REF!</v>
      </c>
      <c r="G63" s="183" t="s">
        <v>528</v>
      </c>
      <c r="H63" s="204">
        <v>463050</v>
      </c>
      <c r="I63" s="183" t="s">
        <v>727</v>
      </c>
    </row>
    <row r="64" spans="1:9" s="139" customFormat="1" ht="15" hidden="1">
      <c r="A64" s="139">
        <v>62</v>
      </c>
      <c r="B64" s="139" t="s">
        <v>580</v>
      </c>
      <c r="C64" s="139" t="s">
        <v>310</v>
      </c>
      <c r="D64" s="199">
        <v>5400000</v>
      </c>
      <c r="E64" s="199" t="e">
        <f>VLOOKUP(B64,#REF!,151,0)</f>
        <v>#REF!</v>
      </c>
      <c r="F64" s="199" t="e">
        <f t="shared" si="0"/>
        <v>#REF!</v>
      </c>
      <c r="G64" s="139" t="s">
        <v>528</v>
      </c>
      <c r="H64" s="182"/>
    </row>
    <row r="65" spans="1:9" s="139" customFormat="1" ht="15" hidden="1">
      <c r="A65" s="139">
        <v>63</v>
      </c>
      <c r="B65" s="139" t="s">
        <v>581</v>
      </c>
      <c r="C65" s="139" t="s">
        <v>310</v>
      </c>
      <c r="D65" s="199">
        <v>6680000</v>
      </c>
      <c r="E65" s="199" t="e">
        <f>VLOOKUP(B65,#REF!,151,0)</f>
        <v>#REF!</v>
      </c>
      <c r="F65" s="199" t="e">
        <f t="shared" si="0"/>
        <v>#REF!</v>
      </c>
      <c r="G65" s="139" t="s">
        <v>528</v>
      </c>
      <c r="H65" s="182"/>
    </row>
    <row r="66" spans="1:9" s="139" customFormat="1" ht="15" hidden="1">
      <c r="A66" s="139">
        <v>64</v>
      </c>
      <c r="B66" s="139" t="s">
        <v>299</v>
      </c>
      <c r="C66" s="139" t="s">
        <v>310</v>
      </c>
      <c r="D66" s="199">
        <v>6490000</v>
      </c>
      <c r="E66" s="199" t="e">
        <f>VLOOKUP(B66,#REF!,151,0)</f>
        <v>#REF!</v>
      </c>
      <c r="F66" s="199" t="e">
        <f t="shared" si="0"/>
        <v>#REF!</v>
      </c>
      <c r="G66" s="139" t="s">
        <v>528</v>
      </c>
      <c r="H66" s="182">
        <v>409000</v>
      </c>
    </row>
    <row r="67" spans="1:9" s="139" customFormat="1" ht="15" hidden="1">
      <c r="A67" s="139">
        <v>65</v>
      </c>
      <c r="B67" s="139" t="s">
        <v>341</v>
      </c>
      <c r="C67" s="139" t="s">
        <v>310</v>
      </c>
      <c r="D67" s="199">
        <v>5253000</v>
      </c>
      <c r="E67" s="199" t="e">
        <f>VLOOKUP(B67,#REF!,151,0)</f>
        <v>#REF!</v>
      </c>
      <c r="F67" s="199" t="e">
        <f t="shared" si="0"/>
        <v>#REF!</v>
      </c>
      <c r="G67" s="139" t="s">
        <v>528</v>
      </c>
      <c r="H67" s="182">
        <v>409000</v>
      </c>
    </row>
    <row r="68" spans="1:9" s="139" customFormat="1" ht="15" hidden="1">
      <c r="A68" s="139">
        <v>66</v>
      </c>
      <c r="B68" s="139" t="s">
        <v>344</v>
      </c>
      <c r="C68" s="139" t="s">
        <v>310</v>
      </c>
      <c r="D68" s="199">
        <v>6137000</v>
      </c>
      <c r="E68" s="199" t="e">
        <f>VLOOKUP(B68,#REF!,151,0)</f>
        <v>#REF!</v>
      </c>
      <c r="F68" s="199" t="e">
        <f t="shared" ref="F68:F113" si="1">+D68-E68</f>
        <v>#REF!</v>
      </c>
      <c r="G68" s="139" t="s">
        <v>528</v>
      </c>
      <c r="H68" s="182">
        <v>409000</v>
      </c>
    </row>
    <row r="69" spans="1:9" s="139" customFormat="1" ht="15" hidden="1">
      <c r="A69" s="139">
        <v>67</v>
      </c>
      <c r="B69" s="139" t="s">
        <v>582</v>
      </c>
      <c r="C69" s="139" t="s">
        <v>310</v>
      </c>
      <c r="D69" s="199">
        <v>5720000</v>
      </c>
      <c r="E69" s="199" t="e">
        <f>VLOOKUP(B69,#REF!,151,0)</f>
        <v>#REF!</v>
      </c>
      <c r="F69" s="199" t="e">
        <f t="shared" si="1"/>
        <v>#REF!</v>
      </c>
      <c r="G69" s="139" t="s">
        <v>528</v>
      </c>
      <c r="H69" s="182"/>
    </row>
    <row r="70" spans="1:9" s="139" customFormat="1" ht="15" hidden="1">
      <c r="A70" s="139">
        <v>68</v>
      </c>
      <c r="B70" s="139" t="s">
        <v>424</v>
      </c>
      <c r="C70" s="139" t="s">
        <v>310</v>
      </c>
      <c r="D70" s="199">
        <v>5606000</v>
      </c>
      <c r="E70" s="199" t="e">
        <f>VLOOKUP(B70,#REF!,151,0)</f>
        <v>#REF!</v>
      </c>
      <c r="F70" s="199" t="e">
        <f t="shared" si="1"/>
        <v>#REF!</v>
      </c>
      <c r="G70" s="139" t="s">
        <v>528</v>
      </c>
      <c r="H70" s="182">
        <v>409000</v>
      </c>
    </row>
    <row r="71" spans="1:9" s="139" customFormat="1" ht="15" hidden="1">
      <c r="A71" s="139">
        <v>69</v>
      </c>
      <c r="B71" s="139" t="s">
        <v>306</v>
      </c>
      <c r="C71" s="139" t="s">
        <v>310</v>
      </c>
      <c r="D71" s="199">
        <v>6490000</v>
      </c>
      <c r="E71" s="199" t="e">
        <f>VLOOKUP(B71,#REF!,151,0)</f>
        <v>#REF!</v>
      </c>
      <c r="F71" s="199" t="e">
        <f t="shared" si="1"/>
        <v>#REF!</v>
      </c>
      <c r="G71" s="139" t="s">
        <v>528</v>
      </c>
      <c r="H71" s="182">
        <v>409000</v>
      </c>
    </row>
    <row r="72" spans="1:9" s="139" customFormat="1" ht="15" hidden="1">
      <c r="A72" s="139">
        <v>70</v>
      </c>
      <c r="B72" s="139" t="s">
        <v>440</v>
      </c>
      <c r="C72" s="139" t="s">
        <v>310</v>
      </c>
      <c r="D72" s="199">
        <v>5960000</v>
      </c>
      <c r="E72" s="199" t="e">
        <f>VLOOKUP(B72,#REF!,151,0)</f>
        <v>#REF!</v>
      </c>
      <c r="F72" s="199" t="e">
        <f t="shared" si="1"/>
        <v>#REF!</v>
      </c>
      <c r="G72" s="139" t="s">
        <v>528</v>
      </c>
      <c r="H72" s="182">
        <v>409000</v>
      </c>
    </row>
    <row r="73" spans="1:9" s="139" customFormat="1" ht="15" hidden="1">
      <c r="A73" s="139">
        <v>71</v>
      </c>
      <c r="B73" s="139" t="s">
        <v>462</v>
      </c>
      <c r="C73" s="139" t="s">
        <v>310</v>
      </c>
      <c r="D73" s="199">
        <v>0</v>
      </c>
      <c r="E73" s="199" t="e">
        <f>VLOOKUP(B73,#REF!,151,0)</f>
        <v>#REF!</v>
      </c>
      <c r="F73" s="199" t="e">
        <f t="shared" si="1"/>
        <v>#REF!</v>
      </c>
      <c r="G73" s="139" t="s">
        <v>528</v>
      </c>
      <c r="H73" s="182"/>
    </row>
    <row r="74" spans="1:9" s="139" customFormat="1" ht="15" hidden="1">
      <c r="A74" s="139">
        <v>72</v>
      </c>
      <c r="B74" s="139" t="s">
        <v>583</v>
      </c>
      <c r="C74" s="139" t="s">
        <v>310</v>
      </c>
      <c r="D74" s="199">
        <v>6560000</v>
      </c>
      <c r="E74" s="199" t="e">
        <f>VLOOKUP(B74,#REF!,151,0)</f>
        <v>#REF!</v>
      </c>
      <c r="F74" s="199" t="e">
        <f t="shared" si="1"/>
        <v>#REF!</v>
      </c>
      <c r="G74" s="139" t="s">
        <v>528</v>
      </c>
      <c r="H74" s="182"/>
    </row>
    <row r="75" spans="1:9" s="139" customFormat="1" ht="15" hidden="1">
      <c r="A75" s="139">
        <v>73</v>
      </c>
      <c r="B75" s="139" t="s">
        <v>584</v>
      </c>
      <c r="C75" s="139" t="s">
        <v>310</v>
      </c>
      <c r="D75" s="199">
        <v>3320000</v>
      </c>
      <c r="E75" s="199" t="e">
        <f>VLOOKUP(B75,#REF!,151,0)</f>
        <v>#REF!</v>
      </c>
      <c r="F75" s="199" t="e">
        <f t="shared" si="1"/>
        <v>#REF!</v>
      </c>
      <c r="G75" s="139" t="s">
        <v>528</v>
      </c>
      <c r="H75" s="182"/>
    </row>
    <row r="76" spans="1:9" s="139" customFormat="1" ht="15" hidden="1">
      <c r="A76" s="139">
        <v>74</v>
      </c>
      <c r="B76" s="139" t="s">
        <v>585</v>
      </c>
      <c r="C76" s="139" t="s">
        <v>310</v>
      </c>
      <c r="D76" s="199">
        <v>5880000</v>
      </c>
      <c r="E76" s="199" t="e">
        <f>VLOOKUP(B76,#REF!,151,0)</f>
        <v>#REF!</v>
      </c>
      <c r="F76" s="199" t="e">
        <f t="shared" si="1"/>
        <v>#REF!</v>
      </c>
      <c r="G76" s="139" t="s">
        <v>528</v>
      </c>
      <c r="H76" s="182"/>
    </row>
    <row r="77" spans="1:9" s="139" customFormat="1" ht="15" hidden="1">
      <c r="A77" s="139">
        <v>75</v>
      </c>
      <c r="B77" s="139" t="s">
        <v>586</v>
      </c>
      <c r="C77" s="139" t="s">
        <v>170</v>
      </c>
      <c r="D77" s="199">
        <v>7362000</v>
      </c>
      <c r="E77" s="199" t="e">
        <f>VLOOKUP(B77,#REF!,151,0)</f>
        <v>#REF!</v>
      </c>
      <c r="F77" s="199" t="e">
        <f t="shared" si="1"/>
        <v>#REF!</v>
      </c>
      <c r="G77" s="139" t="s">
        <v>528</v>
      </c>
      <c r="H77" s="182">
        <v>429000</v>
      </c>
    </row>
    <row r="78" spans="1:9" s="139" customFormat="1" ht="15" hidden="1">
      <c r="A78" s="139">
        <v>76</v>
      </c>
      <c r="B78" s="139" t="s">
        <v>128</v>
      </c>
      <c r="C78" s="139" t="s">
        <v>170</v>
      </c>
      <c r="D78" s="199">
        <v>8878000</v>
      </c>
      <c r="E78" s="199" t="e">
        <f>VLOOKUP(B78,#REF!,151,0)</f>
        <v>#REF!</v>
      </c>
      <c r="F78" s="199" t="e">
        <f t="shared" si="1"/>
        <v>#REF!</v>
      </c>
      <c r="G78" s="139" t="s">
        <v>528</v>
      </c>
      <c r="H78" s="182">
        <v>429000</v>
      </c>
    </row>
    <row r="79" spans="1:9" s="200" customFormat="1" ht="15" hidden="1">
      <c r="A79" s="139">
        <v>77</v>
      </c>
      <c r="B79" s="200" t="s">
        <v>587</v>
      </c>
      <c r="C79" s="200" t="s">
        <v>170</v>
      </c>
      <c r="D79" s="201">
        <v>7190000</v>
      </c>
      <c r="E79" s="201" t="e">
        <f>VLOOKUP(B79,#REF!,151,0)</f>
        <v>#REF!</v>
      </c>
      <c r="F79" s="201" t="e">
        <f t="shared" si="1"/>
        <v>#REF!</v>
      </c>
      <c r="G79" s="200" t="s">
        <v>528</v>
      </c>
      <c r="H79" s="202">
        <v>409000</v>
      </c>
      <c r="I79" s="200" t="s">
        <v>723</v>
      </c>
    </row>
    <row r="80" spans="1:9" s="139" customFormat="1" ht="15" hidden="1">
      <c r="A80" s="139">
        <v>78</v>
      </c>
      <c r="B80" s="139" t="s">
        <v>280</v>
      </c>
      <c r="C80" s="139" t="s">
        <v>170</v>
      </c>
      <c r="D80" s="199">
        <v>9313000</v>
      </c>
      <c r="E80" s="199" t="e">
        <f>VLOOKUP(B80,#REF!,151,0)</f>
        <v>#REF!</v>
      </c>
      <c r="F80" s="199" t="e">
        <f t="shared" si="1"/>
        <v>#REF!</v>
      </c>
      <c r="G80" s="139" t="s">
        <v>528</v>
      </c>
      <c r="H80" s="182">
        <v>429000</v>
      </c>
    </row>
    <row r="81" spans="1:9" s="139" customFormat="1" ht="15" hidden="1">
      <c r="A81" s="139">
        <v>79</v>
      </c>
      <c r="B81" s="139" t="s">
        <v>588</v>
      </c>
      <c r="C81" s="139" t="s">
        <v>170</v>
      </c>
      <c r="D81" s="199">
        <v>7994000</v>
      </c>
      <c r="E81" s="199" t="e">
        <f>VLOOKUP(B81,#REF!,151,0)</f>
        <v>#REF!</v>
      </c>
      <c r="F81" s="199" t="e">
        <f t="shared" si="1"/>
        <v>#REF!</v>
      </c>
      <c r="G81" s="139" t="s">
        <v>528</v>
      </c>
      <c r="H81" s="182">
        <v>409000</v>
      </c>
    </row>
    <row r="82" spans="1:9" s="139" customFormat="1" ht="15" hidden="1">
      <c r="A82" s="139">
        <v>80</v>
      </c>
      <c r="B82" s="139" t="s">
        <v>589</v>
      </c>
      <c r="C82" s="139" t="s">
        <v>170</v>
      </c>
      <c r="D82" s="199">
        <v>8224000</v>
      </c>
      <c r="E82" s="199" t="e">
        <f>VLOOKUP(B82,#REF!,151,0)</f>
        <v>#REF!</v>
      </c>
      <c r="F82" s="199" t="e">
        <f t="shared" si="1"/>
        <v>#REF!</v>
      </c>
      <c r="G82" s="139" t="s">
        <v>528</v>
      </c>
      <c r="H82" s="182">
        <v>409000</v>
      </c>
    </row>
    <row r="83" spans="1:9" s="139" customFormat="1" ht="15" hidden="1">
      <c r="A83" s="139">
        <v>81</v>
      </c>
      <c r="B83" s="139" t="s">
        <v>453</v>
      </c>
      <c r="C83" s="139" t="s">
        <v>170</v>
      </c>
      <c r="D83" s="199">
        <v>7619000</v>
      </c>
      <c r="E83" s="199" t="e">
        <f>VLOOKUP(B83,#REF!,151,0)</f>
        <v>#REF!</v>
      </c>
      <c r="F83" s="199" t="e">
        <f t="shared" si="1"/>
        <v>#REF!</v>
      </c>
      <c r="G83" s="139" t="s">
        <v>528</v>
      </c>
      <c r="H83" s="182">
        <v>409000</v>
      </c>
    </row>
    <row r="84" spans="1:9" s="139" customFormat="1" ht="15" hidden="1">
      <c r="A84" s="139">
        <v>82</v>
      </c>
      <c r="B84" s="139" t="s">
        <v>331</v>
      </c>
      <c r="C84" s="139" t="s">
        <v>590</v>
      </c>
      <c r="D84" s="199">
        <v>7994000</v>
      </c>
      <c r="E84" s="199" t="e">
        <f>VLOOKUP(B84,#REF!,151,0)</f>
        <v>#REF!</v>
      </c>
      <c r="F84" s="199" t="e">
        <f t="shared" si="1"/>
        <v>#REF!</v>
      </c>
      <c r="G84" s="139" t="s">
        <v>528</v>
      </c>
      <c r="H84" s="182">
        <v>409000</v>
      </c>
    </row>
    <row r="85" spans="1:9" s="139" customFormat="1" ht="15" hidden="1">
      <c r="A85" s="139">
        <v>83</v>
      </c>
      <c r="B85" s="139" t="s">
        <v>318</v>
      </c>
      <c r="C85" s="139" t="s">
        <v>590</v>
      </c>
      <c r="D85" s="199">
        <v>7534000</v>
      </c>
      <c r="E85" s="199" t="e">
        <f>VLOOKUP(B85,#REF!,151,0)</f>
        <v>#REF!</v>
      </c>
      <c r="F85" s="199" t="e">
        <f t="shared" si="1"/>
        <v>#REF!</v>
      </c>
      <c r="G85" s="139" t="s">
        <v>528</v>
      </c>
      <c r="H85" s="182">
        <v>409000</v>
      </c>
    </row>
    <row r="86" spans="1:9" s="139" customFormat="1" ht="15" hidden="1">
      <c r="A86" s="139">
        <v>84</v>
      </c>
      <c r="B86" s="139" t="s">
        <v>277</v>
      </c>
      <c r="C86" s="139" t="s">
        <v>590</v>
      </c>
      <c r="D86" s="199">
        <v>8294000</v>
      </c>
      <c r="E86" s="199" t="e">
        <f>VLOOKUP(B86,#REF!,151,0)</f>
        <v>#REF!</v>
      </c>
      <c r="F86" s="199" t="e">
        <f t="shared" si="1"/>
        <v>#REF!</v>
      </c>
      <c r="G86" s="139" t="s">
        <v>528</v>
      </c>
      <c r="H86" s="182">
        <v>409000</v>
      </c>
    </row>
    <row r="87" spans="1:9" s="139" customFormat="1" ht="15" hidden="1">
      <c r="A87" s="139">
        <v>85</v>
      </c>
      <c r="B87" s="139" t="s">
        <v>591</v>
      </c>
      <c r="C87" s="139" t="s">
        <v>590</v>
      </c>
      <c r="D87" s="199">
        <v>9094000</v>
      </c>
      <c r="E87" s="199" t="e">
        <f>VLOOKUP(B87,#REF!,151,0)</f>
        <v>#REF!</v>
      </c>
      <c r="F87" s="199" t="e">
        <f t="shared" si="1"/>
        <v>#REF!</v>
      </c>
      <c r="G87" s="139" t="s">
        <v>528</v>
      </c>
      <c r="H87" s="182"/>
    </row>
    <row r="88" spans="1:9" s="139" customFormat="1" ht="15" hidden="1">
      <c r="A88" s="139">
        <v>86</v>
      </c>
      <c r="B88" s="139" t="s">
        <v>449</v>
      </c>
      <c r="C88" s="139" t="s">
        <v>590</v>
      </c>
      <c r="D88" s="199">
        <v>8610000</v>
      </c>
      <c r="E88" s="199" t="e">
        <f>VLOOKUP(B88,#REF!,151,0)</f>
        <v>#REF!</v>
      </c>
      <c r="F88" s="199" t="e">
        <f t="shared" si="1"/>
        <v>#REF!</v>
      </c>
      <c r="G88" s="139" t="s">
        <v>528</v>
      </c>
      <c r="H88" s="182">
        <v>409000</v>
      </c>
    </row>
    <row r="89" spans="1:9" s="139" customFormat="1" ht="15" hidden="1">
      <c r="A89" s="139">
        <v>87</v>
      </c>
      <c r="B89" s="139" t="s">
        <v>592</v>
      </c>
      <c r="C89" s="139" t="s">
        <v>182</v>
      </c>
      <c r="D89" s="199">
        <v>13218000</v>
      </c>
      <c r="E89" s="199" t="e">
        <f>VLOOKUP(B89,#REF!,151,0)</f>
        <v>#REF!</v>
      </c>
      <c r="F89" s="199" t="e">
        <f t="shared" si="1"/>
        <v>#REF!</v>
      </c>
      <c r="G89" s="139" t="s">
        <v>528</v>
      </c>
      <c r="H89" s="182"/>
    </row>
    <row r="90" spans="1:9" s="186" customFormat="1">
      <c r="A90" s="186">
        <v>88</v>
      </c>
      <c r="B90" s="186" t="s">
        <v>409</v>
      </c>
      <c r="C90" s="186" t="s">
        <v>182</v>
      </c>
      <c r="D90" s="205">
        <v>11241000</v>
      </c>
      <c r="E90" s="203" t="e">
        <f>VLOOKUP(B90,#REF!,151,0)</f>
        <v>#REF!</v>
      </c>
      <c r="F90" s="205" t="e">
        <f t="shared" si="1"/>
        <v>#REF!</v>
      </c>
      <c r="G90" s="186" t="s">
        <v>528</v>
      </c>
      <c r="H90" s="206">
        <v>409000</v>
      </c>
    </row>
    <row r="91" spans="1:9" s="139" customFormat="1" ht="15" hidden="1">
      <c r="A91" s="139">
        <v>89</v>
      </c>
      <c r="B91" s="139" t="s">
        <v>313</v>
      </c>
      <c r="C91" s="139" t="s">
        <v>182</v>
      </c>
      <c r="D91" s="199">
        <v>11009000</v>
      </c>
      <c r="E91" s="199" t="e">
        <f>VLOOKUP(B91,#REF!,151,0)</f>
        <v>#REF!</v>
      </c>
      <c r="F91" s="199" t="e">
        <f t="shared" si="1"/>
        <v>#REF!</v>
      </c>
      <c r="G91" s="139" t="s">
        <v>528</v>
      </c>
      <c r="H91" s="182">
        <v>409000</v>
      </c>
    </row>
    <row r="92" spans="1:9" s="139" customFormat="1" ht="15" hidden="1">
      <c r="A92" s="139">
        <v>90</v>
      </c>
      <c r="B92" s="139" t="s">
        <v>336</v>
      </c>
      <c r="C92" s="139" t="s">
        <v>182</v>
      </c>
      <c r="D92" s="199">
        <v>9141000</v>
      </c>
      <c r="E92" s="199" t="e">
        <f>VLOOKUP(B92,#REF!,151,0)</f>
        <v>#REF!</v>
      </c>
      <c r="F92" s="199" t="e">
        <f t="shared" si="1"/>
        <v>#REF!</v>
      </c>
      <c r="G92" s="139" t="s">
        <v>528</v>
      </c>
      <c r="H92" s="182">
        <v>409000</v>
      </c>
    </row>
    <row r="93" spans="1:9" s="200" customFormat="1" ht="15" hidden="1">
      <c r="A93" s="139">
        <v>91</v>
      </c>
      <c r="B93" s="200" t="s">
        <v>57</v>
      </c>
      <c r="C93" s="200" t="s">
        <v>182</v>
      </c>
      <c r="D93" s="201">
        <v>11939000</v>
      </c>
      <c r="E93" s="201" t="e">
        <f>VLOOKUP(B93,#REF!,151,0)</f>
        <v>#REF!</v>
      </c>
      <c r="F93" s="201" t="e">
        <f t="shared" si="1"/>
        <v>#REF!</v>
      </c>
      <c r="G93" s="200" t="s">
        <v>528</v>
      </c>
      <c r="H93" s="202">
        <v>409000</v>
      </c>
      <c r="I93" s="200" t="s">
        <v>724</v>
      </c>
    </row>
    <row r="94" spans="1:9" s="139" customFormat="1" ht="15" hidden="1">
      <c r="A94" s="139">
        <v>92</v>
      </c>
      <c r="B94" s="139" t="s">
        <v>594</v>
      </c>
      <c r="C94" s="139" t="s">
        <v>182</v>
      </c>
      <c r="D94" s="199">
        <v>9715000</v>
      </c>
      <c r="E94" s="199" t="e">
        <f>VLOOKUP(B94,#REF!,151,0)</f>
        <v>#REF!</v>
      </c>
      <c r="F94" s="199" t="e">
        <f t="shared" si="1"/>
        <v>#REF!</v>
      </c>
      <c r="G94" s="139" t="s">
        <v>528</v>
      </c>
      <c r="H94" s="182"/>
    </row>
    <row r="95" spans="1:9" s="139" customFormat="1" ht="15" hidden="1">
      <c r="A95" s="139">
        <v>93</v>
      </c>
      <c r="B95" s="139" t="s">
        <v>595</v>
      </c>
      <c r="C95" s="139" t="s">
        <v>182</v>
      </c>
      <c r="D95" s="199">
        <v>4987000</v>
      </c>
      <c r="E95" s="199" t="e">
        <f>VLOOKUP(B95,#REF!,151,0)</f>
        <v>#REF!</v>
      </c>
      <c r="F95" s="199" t="e">
        <f t="shared" si="1"/>
        <v>#REF!</v>
      </c>
      <c r="G95" s="139" t="s">
        <v>528</v>
      </c>
      <c r="H95" s="182">
        <v>409000</v>
      </c>
    </row>
    <row r="96" spans="1:9" s="139" customFormat="1" ht="15" hidden="1">
      <c r="A96" s="139">
        <v>94</v>
      </c>
      <c r="B96" s="139" t="s">
        <v>418</v>
      </c>
      <c r="C96" s="139" t="s">
        <v>596</v>
      </c>
      <c r="D96" s="199">
        <v>10861000</v>
      </c>
      <c r="E96" s="199" t="e">
        <f>VLOOKUP(B96,#REF!,151,0)</f>
        <v>#REF!</v>
      </c>
      <c r="F96" s="199" t="e">
        <f t="shared" si="1"/>
        <v>#REF!</v>
      </c>
      <c r="G96" s="139" t="s">
        <v>528</v>
      </c>
      <c r="H96" s="182">
        <v>409000</v>
      </c>
    </row>
    <row r="97" spans="1:9" s="139" customFormat="1" ht="15" hidden="1">
      <c r="A97" s="139">
        <v>95</v>
      </c>
      <c r="B97" s="139" t="s">
        <v>597</v>
      </c>
      <c r="C97" s="139" t="s">
        <v>596</v>
      </c>
      <c r="D97" s="199">
        <v>0</v>
      </c>
      <c r="E97" s="199" t="e">
        <f>VLOOKUP(B97,#REF!,151,0)</f>
        <v>#REF!</v>
      </c>
      <c r="F97" s="199" t="e">
        <f t="shared" si="1"/>
        <v>#REF!</v>
      </c>
      <c r="G97" s="139" t="s">
        <v>528</v>
      </c>
      <c r="H97" s="182"/>
    </row>
    <row r="98" spans="1:9">
      <c r="A98" s="183">
        <v>96</v>
      </c>
      <c r="B98" s="183" t="s">
        <v>598</v>
      </c>
      <c r="C98" s="183" t="s">
        <v>596</v>
      </c>
      <c r="D98" s="203">
        <v>9184000</v>
      </c>
      <c r="E98" s="203" t="e">
        <f>VLOOKUP(B98,#REF!,151,0)</f>
        <v>#REF!</v>
      </c>
      <c r="F98" s="203" t="e">
        <f t="shared" si="1"/>
        <v>#REF!</v>
      </c>
      <c r="G98" s="183" t="s">
        <v>528</v>
      </c>
      <c r="H98" s="204">
        <v>463050</v>
      </c>
      <c r="I98" s="183" t="s">
        <v>727</v>
      </c>
    </row>
    <row r="99" spans="1:9" s="139" customFormat="1" ht="15" hidden="1">
      <c r="A99" s="139">
        <v>97</v>
      </c>
      <c r="B99" s="139" t="s">
        <v>599</v>
      </c>
      <c r="C99" s="139" t="s">
        <v>596</v>
      </c>
      <c r="D99" s="199">
        <v>12552000</v>
      </c>
      <c r="E99" s="199" t="e">
        <f>VLOOKUP(B99,#REF!,151,0)</f>
        <v>#REF!</v>
      </c>
      <c r="F99" s="199" t="e">
        <f t="shared" si="1"/>
        <v>#REF!</v>
      </c>
      <c r="G99" s="139" t="s">
        <v>528</v>
      </c>
      <c r="H99" s="182"/>
    </row>
    <row r="100" spans="1:9" s="139" customFormat="1" ht="15" hidden="1">
      <c r="A100" s="139">
        <v>98</v>
      </c>
      <c r="B100" s="139" t="s">
        <v>600</v>
      </c>
      <c r="C100" s="139" t="s">
        <v>182</v>
      </c>
      <c r="D100" s="199">
        <v>7992000</v>
      </c>
      <c r="E100" s="199" t="e">
        <f>VLOOKUP(B100,#REF!,151,0)</f>
        <v>#REF!</v>
      </c>
      <c r="F100" s="199" t="e">
        <f t="shared" si="1"/>
        <v>#REF!</v>
      </c>
      <c r="G100" s="139" t="s">
        <v>528</v>
      </c>
      <c r="H100" s="182"/>
    </row>
    <row r="101" spans="1:9" s="139" customFormat="1" ht="15" hidden="1">
      <c r="A101" s="139">
        <v>99</v>
      </c>
      <c r="B101" s="139" t="s">
        <v>397</v>
      </c>
      <c r="C101" s="139" t="s">
        <v>182</v>
      </c>
      <c r="D101" s="199">
        <v>9043000</v>
      </c>
      <c r="E101" s="199" t="e">
        <f>VLOOKUP(B101,#REF!,151,0)</f>
        <v>#REF!</v>
      </c>
      <c r="F101" s="199" t="e">
        <f t="shared" si="1"/>
        <v>#REF!</v>
      </c>
      <c r="G101" s="139" t="s">
        <v>528</v>
      </c>
      <c r="H101" s="182">
        <v>409000</v>
      </c>
    </row>
    <row r="102" spans="1:9" s="139" customFormat="1" ht="15" hidden="1">
      <c r="A102" s="139">
        <v>100</v>
      </c>
      <c r="B102" s="139" t="s">
        <v>259</v>
      </c>
      <c r="C102" s="139" t="s">
        <v>182</v>
      </c>
      <c r="D102" s="199">
        <v>11615000</v>
      </c>
      <c r="E102" s="199" t="e">
        <f>VLOOKUP(B102,#REF!,151,0)</f>
        <v>#REF!</v>
      </c>
      <c r="F102" s="199" t="e">
        <f t="shared" si="1"/>
        <v>#REF!</v>
      </c>
      <c r="G102" s="139" t="s">
        <v>528</v>
      </c>
      <c r="H102" s="182">
        <v>409000</v>
      </c>
    </row>
    <row r="103" spans="1:9" s="139" customFormat="1" ht="15" hidden="1">
      <c r="A103" s="139">
        <v>101</v>
      </c>
      <c r="B103" s="139" t="s">
        <v>321</v>
      </c>
      <c r="C103" s="139" t="s">
        <v>601</v>
      </c>
      <c r="D103" s="199">
        <v>9864000</v>
      </c>
      <c r="E103" s="199" t="e">
        <f>VLOOKUP(B103,#REF!,151,0)</f>
        <v>#REF!</v>
      </c>
      <c r="F103" s="199" t="e">
        <f t="shared" si="1"/>
        <v>#REF!</v>
      </c>
      <c r="G103" s="139" t="s">
        <v>528</v>
      </c>
      <c r="H103" s="182">
        <v>409000</v>
      </c>
    </row>
    <row r="104" spans="1:9" s="139" customFormat="1" ht="15" hidden="1">
      <c r="A104" s="139">
        <v>102</v>
      </c>
      <c r="B104" s="139" t="s">
        <v>29</v>
      </c>
      <c r="C104" s="139" t="s">
        <v>601</v>
      </c>
      <c r="D104" s="199">
        <v>8524000</v>
      </c>
      <c r="E104" s="199" t="e">
        <f>VLOOKUP(B104,#REF!,151,0)</f>
        <v>#REF!</v>
      </c>
      <c r="F104" s="199" t="e">
        <f t="shared" si="1"/>
        <v>#REF!</v>
      </c>
      <c r="G104" s="139" t="s">
        <v>528</v>
      </c>
      <c r="H104" s="182">
        <v>429000</v>
      </c>
    </row>
    <row r="105" spans="1:9" s="139" customFormat="1" ht="15" hidden="1">
      <c r="A105" s="139">
        <v>103</v>
      </c>
      <c r="B105" s="139" t="s">
        <v>66</v>
      </c>
      <c r="C105" s="139" t="s">
        <v>601</v>
      </c>
      <c r="D105" s="199">
        <v>6705000</v>
      </c>
      <c r="E105" s="199" t="e">
        <f>VLOOKUP(B105,#REF!,151,0)</f>
        <v>#REF!</v>
      </c>
      <c r="F105" s="199" t="e">
        <f t="shared" si="1"/>
        <v>#REF!</v>
      </c>
      <c r="G105" s="139" t="s">
        <v>528</v>
      </c>
      <c r="H105" s="182">
        <v>409000</v>
      </c>
    </row>
    <row r="106" spans="1:9" s="139" customFormat="1" ht="15" hidden="1">
      <c r="A106" s="139">
        <v>104</v>
      </c>
      <c r="B106" s="139" t="s">
        <v>193</v>
      </c>
      <c r="C106" s="139" t="s">
        <v>601</v>
      </c>
      <c r="D106" s="199">
        <v>8163000</v>
      </c>
      <c r="E106" s="199" t="e">
        <f>VLOOKUP(B106,#REF!,151,0)</f>
        <v>#REF!</v>
      </c>
      <c r="F106" s="199" t="e">
        <f t="shared" si="1"/>
        <v>#REF!</v>
      </c>
      <c r="G106" s="139" t="s">
        <v>528</v>
      </c>
      <c r="H106" s="182">
        <v>409000</v>
      </c>
    </row>
    <row r="107" spans="1:9" s="139" customFormat="1" ht="15" hidden="1">
      <c r="A107" s="139">
        <v>105</v>
      </c>
      <c r="B107" s="139" t="s">
        <v>455</v>
      </c>
      <c r="C107" s="139" t="s">
        <v>601</v>
      </c>
      <c r="D107" s="199">
        <v>9104000</v>
      </c>
      <c r="E107" s="199" t="e">
        <f>VLOOKUP(B107,#REF!,151,0)</f>
        <v>#REF!</v>
      </c>
      <c r="F107" s="199" t="e">
        <f t="shared" si="1"/>
        <v>#REF!</v>
      </c>
      <c r="G107" s="139" t="s">
        <v>528</v>
      </c>
      <c r="H107" s="182">
        <v>409000</v>
      </c>
    </row>
    <row r="108" spans="1:9" s="139" customFormat="1" ht="15" hidden="1">
      <c r="A108" s="139">
        <v>106</v>
      </c>
      <c r="B108" s="139" t="s">
        <v>602</v>
      </c>
      <c r="C108" s="139" t="s">
        <v>601</v>
      </c>
      <c r="D108" s="199">
        <v>8189000</v>
      </c>
      <c r="E108" s="199" t="e">
        <f>VLOOKUP(B108,#REF!,151,0)</f>
        <v>#REF!</v>
      </c>
      <c r="F108" s="199" t="e">
        <f t="shared" si="1"/>
        <v>#REF!</v>
      </c>
      <c r="G108" s="139" t="s">
        <v>528</v>
      </c>
      <c r="H108" s="182"/>
    </row>
    <row r="109" spans="1:9" s="139" customFormat="1" ht="15" hidden="1">
      <c r="A109" s="139">
        <v>107</v>
      </c>
      <c r="B109" s="139" t="s">
        <v>456</v>
      </c>
      <c r="C109" s="139" t="s">
        <v>601</v>
      </c>
      <c r="D109" s="199">
        <v>9593000</v>
      </c>
      <c r="E109" s="199" t="e">
        <f>VLOOKUP(B109,#REF!,151,0)</f>
        <v>#REF!</v>
      </c>
      <c r="F109" s="199" t="e">
        <f t="shared" si="1"/>
        <v>#REF!</v>
      </c>
      <c r="G109" s="139" t="s">
        <v>528</v>
      </c>
      <c r="H109" s="182">
        <v>409000</v>
      </c>
    </row>
    <row r="110" spans="1:9">
      <c r="A110" s="183">
        <v>108</v>
      </c>
      <c r="B110" s="183" t="s">
        <v>603</v>
      </c>
      <c r="C110" s="183" t="s">
        <v>601</v>
      </c>
      <c r="D110" s="203">
        <v>8990000</v>
      </c>
      <c r="E110" s="203" t="e">
        <f>VLOOKUP(B110,#REF!,151,0)</f>
        <v>#REF!</v>
      </c>
      <c r="F110" s="203" t="e">
        <f t="shared" si="1"/>
        <v>#REF!</v>
      </c>
      <c r="G110" s="183" t="s">
        <v>528</v>
      </c>
      <c r="H110" s="204">
        <v>463050</v>
      </c>
      <c r="I110" s="183" t="s">
        <v>727</v>
      </c>
    </row>
    <row r="111" spans="1:9" s="139" customFormat="1" ht="15" hidden="1">
      <c r="A111" s="139">
        <v>109</v>
      </c>
      <c r="B111" s="139" t="s">
        <v>59</v>
      </c>
      <c r="C111" s="139" t="s">
        <v>601</v>
      </c>
      <c r="D111" s="199">
        <v>8989000</v>
      </c>
      <c r="E111" s="199" t="e">
        <f>VLOOKUP(B111,#REF!,151,0)</f>
        <v>#REF!</v>
      </c>
      <c r="F111" s="199" t="e">
        <f t="shared" si="1"/>
        <v>#REF!</v>
      </c>
      <c r="G111" s="139" t="s">
        <v>528</v>
      </c>
      <c r="H111" s="182">
        <v>461000</v>
      </c>
    </row>
    <row r="112" spans="1:9" s="139" customFormat="1" ht="15" hidden="1">
      <c r="A112" s="139">
        <v>110</v>
      </c>
      <c r="B112" s="139" t="s">
        <v>604</v>
      </c>
      <c r="C112" s="139" t="s">
        <v>601</v>
      </c>
      <c r="D112" s="199">
        <v>9429000</v>
      </c>
      <c r="E112" s="199" t="e">
        <f>VLOOKUP(B112,#REF!,151,0)</f>
        <v>#REF!</v>
      </c>
      <c r="F112" s="199" t="e">
        <f t="shared" si="1"/>
        <v>#REF!</v>
      </c>
      <c r="G112" s="139" t="s">
        <v>528</v>
      </c>
      <c r="H112" s="182">
        <v>409000</v>
      </c>
    </row>
    <row r="113" spans="1:8" s="139" customFormat="1" ht="15" hidden="1">
      <c r="A113" s="139">
        <v>111</v>
      </c>
      <c r="B113" s="139" t="s">
        <v>290</v>
      </c>
      <c r="C113" s="139" t="s">
        <v>601</v>
      </c>
      <c r="D113" s="199">
        <v>9489000</v>
      </c>
      <c r="E113" s="199" t="e">
        <f>VLOOKUP(B113,#REF!,151,0)</f>
        <v>#REF!</v>
      </c>
      <c r="F113" s="199" t="e">
        <f t="shared" si="1"/>
        <v>#REF!</v>
      </c>
      <c r="G113" s="139" t="s">
        <v>528</v>
      </c>
      <c r="H113" s="182">
        <v>409000</v>
      </c>
    </row>
    <row r="114" spans="1:8" s="139" customFormat="1" ht="15" hidden="1">
      <c r="A114" s="139">
        <v>112</v>
      </c>
      <c r="B114" s="139" t="s">
        <v>67</v>
      </c>
      <c r="C114" s="139" t="s">
        <v>605</v>
      </c>
      <c r="D114" s="199">
        <v>9191000</v>
      </c>
      <c r="E114" s="199" t="e">
        <f>VLOOKUP(B114,#REF!,151,0)</f>
        <v>#REF!</v>
      </c>
      <c r="F114" s="199" t="e">
        <f t="shared" ref="F114:F125" si="2">+D114-E114</f>
        <v>#REF!</v>
      </c>
      <c r="G114" s="139" t="s">
        <v>528</v>
      </c>
      <c r="H114" s="182">
        <v>409000</v>
      </c>
    </row>
    <row r="115" spans="1:8">
      <c r="A115" s="183">
        <v>113</v>
      </c>
      <c r="B115" s="183" t="s">
        <v>68</v>
      </c>
      <c r="C115" s="183" t="s">
        <v>605</v>
      </c>
      <c r="D115" s="203">
        <v>9123000</v>
      </c>
      <c r="E115" s="203" t="e">
        <f>VLOOKUP(B115,#REF!,151,0)</f>
        <v>#REF!</v>
      </c>
      <c r="F115" s="203" t="e">
        <f t="shared" si="2"/>
        <v>#REF!</v>
      </c>
      <c r="G115" s="183" t="s">
        <v>528</v>
      </c>
      <c r="H115" s="204">
        <v>409000</v>
      </c>
    </row>
    <row r="116" spans="1:8" s="139" customFormat="1" ht="15" hidden="1">
      <c r="A116" s="139">
        <v>114</v>
      </c>
      <c r="B116" s="139" t="s">
        <v>230</v>
      </c>
      <c r="C116" s="139" t="s">
        <v>605</v>
      </c>
      <c r="D116" s="199">
        <v>8705000</v>
      </c>
      <c r="E116" s="199" t="e">
        <f>VLOOKUP(B116,#REF!,151,0)</f>
        <v>#REF!</v>
      </c>
      <c r="F116" s="199" t="e">
        <f t="shared" si="2"/>
        <v>#REF!</v>
      </c>
      <c r="G116" s="139" t="s">
        <v>528</v>
      </c>
      <c r="H116" s="182">
        <v>409000</v>
      </c>
    </row>
    <row r="117" spans="1:8" s="139" customFormat="1" ht="15" hidden="1">
      <c r="A117" s="139">
        <v>115</v>
      </c>
      <c r="B117" s="139" t="s">
        <v>233</v>
      </c>
      <c r="C117" s="139" t="s">
        <v>605</v>
      </c>
      <c r="D117" s="199">
        <v>9688000</v>
      </c>
      <c r="E117" s="199" t="e">
        <f>VLOOKUP(B117,#REF!,151,0)</f>
        <v>#REF!</v>
      </c>
      <c r="F117" s="199" t="e">
        <f t="shared" si="2"/>
        <v>#REF!</v>
      </c>
      <c r="G117" s="139" t="s">
        <v>528</v>
      </c>
      <c r="H117" s="182">
        <v>409000</v>
      </c>
    </row>
    <row r="118" spans="1:8" s="139" customFormat="1" ht="15" hidden="1">
      <c r="A118" s="139">
        <v>116</v>
      </c>
      <c r="B118" s="139" t="s">
        <v>323</v>
      </c>
      <c r="C118" s="139" t="s">
        <v>605</v>
      </c>
      <c r="D118" s="199">
        <v>10259000</v>
      </c>
      <c r="E118" s="199" t="e">
        <f>VLOOKUP(B118,#REF!,151,0)</f>
        <v>#REF!</v>
      </c>
      <c r="F118" s="199" t="e">
        <f t="shared" si="2"/>
        <v>#REF!</v>
      </c>
      <c r="G118" s="139" t="s">
        <v>528</v>
      </c>
      <c r="H118" s="182">
        <v>429000</v>
      </c>
    </row>
    <row r="119" spans="1:8" s="139" customFormat="1" ht="15" hidden="1">
      <c r="A119" s="139">
        <v>117</v>
      </c>
      <c r="B119" s="139" t="s">
        <v>334</v>
      </c>
      <c r="C119" s="139" t="s">
        <v>605</v>
      </c>
      <c r="D119" s="199">
        <v>9223000</v>
      </c>
      <c r="E119" s="199" t="e">
        <f>VLOOKUP(B119,#REF!,151,0)</f>
        <v>#REF!</v>
      </c>
      <c r="F119" s="199" t="e">
        <f t="shared" si="2"/>
        <v>#REF!</v>
      </c>
      <c r="G119" s="139" t="s">
        <v>528</v>
      </c>
      <c r="H119" s="182">
        <v>409000</v>
      </c>
    </row>
    <row r="120" spans="1:8" s="139" customFormat="1" ht="15" hidden="1">
      <c r="A120" s="139">
        <v>118</v>
      </c>
      <c r="B120" s="139" t="s">
        <v>607</v>
      </c>
      <c r="C120" s="139" t="s">
        <v>605</v>
      </c>
      <c r="D120" s="199">
        <v>9094000</v>
      </c>
      <c r="E120" s="199" t="e">
        <f>VLOOKUP(B120,#REF!,151,0)</f>
        <v>#REF!</v>
      </c>
      <c r="F120" s="199" t="e">
        <f t="shared" si="2"/>
        <v>#REF!</v>
      </c>
      <c r="G120" s="139" t="s">
        <v>528</v>
      </c>
      <c r="H120" s="182">
        <v>409000</v>
      </c>
    </row>
    <row r="121" spans="1:8" s="139" customFormat="1" ht="15" hidden="1">
      <c r="A121" s="139">
        <v>119</v>
      </c>
      <c r="B121" s="139" t="s">
        <v>194</v>
      </c>
      <c r="C121" s="139" t="s">
        <v>605</v>
      </c>
      <c r="D121" s="199">
        <v>7255000</v>
      </c>
      <c r="E121" s="199" t="e">
        <f>VLOOKUP(B121,#REF!,151,0)</f>
        <v>#REF!</v>
      </c>
      <c r="F121" s="199" t="e">
        <f t="shared" si="2"/>
        <v>#REF!</v>
      </c>
      <c r="G121" s="139" t="s">
        <v>528</v>
      </c>
      <c r="H121" s="182">
        <v>409000</v>
      </c>
    </row>
    <row r="122" spans="1:8" s="139" customFormat="1" ht="15" hidden="1">
      <c r="A122" s="139">
        <v>120</v>
      </c>
      <c r="B122" s="139" t="s">
        <v>438</v>
      </c>
      <c r="C122" s="139" t="s">
        <v>605</v>
      </c>
      <c r="D122" s="199">
        <v>7359000</v>
      </c>
      <c r="E122" s="199" t="e">
        <f>VLOOKUP(B122,#REF!,151,0)</f>
        <v>#REF!</v>
      </c>
      <c r="F122" s="199" t="e">
        <f t="shared" si="2"/>
        <v>#REF!</v>
      </c>
      <c r="G122" s="139" t="s">
        <v>528</v>
      </c>
      <c r="H122" s="182">
        <v>409000</v>
      </c>
    </row>
    <row r="123" spans="1:8" s="139" customFormat="1" ht="15" hidden="1">
      <c r="A123" s="139">
        <v>121</v>
      </c>
      <c r="B123" s="139" t="s">
        <v>238</v>
      </c>
      <c r="C123" s="139" t="s">
        <v>605</v>
      </c>
      <c r="D123" s="199">
        <v>9480000</v>
      </c>
      <c r="E123" s="199" t="e">
        <f>VLOOKUP(B123,#REF!,151,0)</f>
        <v>#REF!</v>
      </c>
      <c r="F123" s="199" t="e">
        <f t="shared" si="2"/>
        <v>#REF!</v>
      </c>
      <c r="G123" s="139" t="s">
        <v>528</v>
      </c>
      <c r="H123" s="182">
        <v>409000</v>
      </c>
    </row>
    <row r="124" spans="1:8" s="139" customFormat="1" ht="15" hidden="1">
      <c r="A124" s="139">
        <v>122</v>
      </c>
      <c r="B124" s="139" t="s">
        <v>72</v>
      </c>
      <c r="C124" s="139" t="s">
        <v>605</v>
      </c>
      <c r="D124" s="199">
        <v>9661000</v>
      </c>
      <c r="E124" s="199" t="e">
        <f>VLOOKUP(B124,#REF!,151,0)</f>
        <v>#REF!</v>
      </c>
      <c r="F124" s="199" t="e">
        <f t="shared" si="2"/>
        <v>#REF!</v>
      </c>
      <c r="G124" s="139" t="s">
        <v>528</v>
      </c>
      <c r="H124" s="182">
        <v>409000</v>
      </c>
    </row>
    <row r="125" spans="1:8" s="139" customFormat="1" ht="15" hidden="1">
      <c r="A125" s="139">
        <v>123</v>
      </c>
      <c r="B125" s="139" t="s">
        <v>608</v>
      </c>
      <c r="C125" s="139" t="s">
        <v>605</v>
      </c>
      <c r="D125" s="199">
        <v>5237000</v>
      </c>
      <c r="E125" s="199" t="e">
        <f>VLOOKUP(B125,#REF!,151,0)</f>
        <v>#REF!</v>
      </c>
      <c r="F125" s="199" t="e">
        <f t="shared" si="2"/>
        <v>#REF!</v>
      </c>
      <c r="G125" s="139" t="s">
        <v>528</v>
      </c>
      <c r="H125" s="182">
        <v>409000</v>
      </c>
    </row>
    <row r="126" spans="1:8" s="139" customFormat="1" ht="15" hidden="1">
      <c r="A126" s="139">
        <v>124</v>
      </c>
      <c r="B126" s="139" t="s">
        <v>75</v>
      </c>
      <c r="C126" s="139" t="s">
        <v>610</v>
      </c>
      <c r="D126" s="199">
        <v>9324000</v>
      </c>
      <c r="E126" s="199" t="e">
        <f>VLOOKUP(B126,#REF!,151,0)</f>
        <v>#REF!</v>
      </c>
      <c r="F126" s="199" t="e">
        <f t="shared" ref="F126:F138" si="3">+D126-E126</f>
        <v>#REF!</v>
      </c>
      <c r="G126" s="139" t="s">
        <v>528</v>
      </c>
      <c r="H126" s="182">
        <v>409000</v>
      </c>
    </row>
    <row r="127" spans="1:8" s="139" customFormat="1" ht="15" hidden="1">
      <c r="A127" s="139">
        <v>125</v>
      </c>
      <c r="B127" s="139" t="s">
        <v>76</v>
      </c>
      <c r="C127" s="139" t="s">
        <v>610</v>
      </c>
      <c r="D127" s="199">
        <v>7908000</v>
      </c>
      <c r="E127" s="199" t="e">
        <f>VLOOKUP(B127,#REF!,151,0)</f>
        <v>#REF!</v>
      </c>
      <c r="F127" s="199" t="e">
        <f t="shared" si="3"/>
        <v>#REF!</v>
      </c>
      <c r="G127" s="139" t="s">
        <v>528</v>
      </c>
      <c r="H127" s="182">
        <v>409000</v>
      </c>
    </row>
    <row r="128" spans="1:8" s="139" customFormat="1" ht="15" hidden="1">
      <c r="A128" s="139">
        <v>126</v>
      </c>
      <c r="B128" s="139" t="s">
        <v>73</v>
      </c>
      <c r="C128" s="139" t="s">
        <v>610</v>
      </c>
      <c r="D128" s="199">
        <v>9374000</v>
      </c>
      <c r="E128" s="199" t="e">
        <f>VLOOKUP(B128,#REF!,151,0)</f>
        <v>#REF!</v>
      </c>
      <c r="F128" s="199" t="e">
        <f t="shared" si="3"/>
        <v>#REF!</v>
      </c>
      <c r="G128" s="139" t="s">
        <v>528</v>
      </c>
      <c r="H128" s="182">
        <v>409000</v>
      </c>
    </row>
    <row r="129" spans="1:8" s="139" customFormat="1" ht="15" hidden="1">
      <c r="A129" s="139">
        <v>127</v>
      </c>
      <c r="B129" s="139" t="s">
        <v>78</v>
      </c>
      <c r="C129" s="139" t="s">
        <v>610</v>
      </c>
      <c r="D129" s="199">
        <v>6686000</v>
      </c>
      <c r="E129" s="199" t="e">
        <f>VLOOKUP(B129,#REF!,151,0)</f>
        <v>#REF!</v>
      </c>
      <c r="F129" s="199" t="e">
        <f t="shared" si="3"/>
        <v>#REF!</v>
      </c>
      <c r="G129" s="139" t="s">
        <v>528</v>
      </c>
      <c r="H129" s="182">
        <v>409000</v>
      </c>
    </row>
    <row r="130" spans="1:8" s="139" customFormat="1" ht="15" hidden="1">
      <c r="A130" s="139">
        <v>128</v>
      </c>
      <c r="B130" s="139" t="s">
        <v>243</v>
      </c>
      <c r="C130" s="139" t="s">
        <v>610</v>
      </c>
      <c r="D130" s="199">
        <v>8533000</v>
      </c>
      <c r="E130" s="199" t="e">
        <f>VLOOKUP(B130,#REF!,151,0)</f>
        <v>#REF!</v>
      </c>
      <c r="F130" s="199" t="e">
        <f t="shared" si="3"/>
        <v>#REF!</v>
      </c>
      <c r="G130" s="139" t="s">
        <v>528</v>
      </c>
      <c r="H130" s="182">
        <v>409000</v>
      </c>
    </row>
    <row r="131" spans="1:8" s="139" customFormat="1" ht="15" hidden="1">
      <c r="A131" s="139">
        <v>129</v>
      </c>
      <c r="B131" s="139" t="s">
        <v>74</v>
      </c>
      <c r="C131" s="139" t="s">
        <v>610</v>
      </c>
      <c r="D131" s="199">
        <v>8528000</v>
      </c>
      <c r="E131" s="199" t="e">
        <f>VLOOKUP(B131,#REF!,151,0)</f>
        <v>#REF!</v>
      </c>
      <c r="F131" s="199" t="e">
        <f t="shared" si="3"/>
        <v>#REF!</v>
      </c>
      <c r="G131" s="139" t="s">
        <v>528</v>
      </c>
      <c r="H131" s="182">
        <v>409000</v>
      </c>
    </row>
    <row r="132" spans="1:8" s="139" customFormat="1" ht="15" hidden="1">
      <c r="A132" s="139">
        <v>130</v>
      </c>
      <c r="B132" s="139" t="s">
        <v>315</v>
      </c>
      <c r="C132" s="139" t="s">
        <v>610</v>
      </c>
      <c r="D132" s="199">
        <v>9221000</v>
      </c>
      <c r="E132" s="199" t="e">
        <f>VLOOKUP(B132,#REF!,151,0)</f>
        <v>#REF!</v>
      </c>
      <c r="F132" s="199" t="e">
        <f t="shared" si="3"/>
        <v>#REF!</v>
      </c>
      <c r="G132" s="139" t="s">
        <v>528</v>
      </c>
      <c r="H132" s="182">
        <v>409000</v>
      </c>
    </row>
    <row r="133" spans="1:8" s="139" customFormat="1" ht="15" hidden="1">
      <c r="A133" s="139">
        <v>131</v>
      </c>
      <c r="B133" s="139" t="s">
        <v>239</v>
      </c>
      <c r="C133" s="139" t="s">
        <v>610</v>
      </c>
      <c r="D133" s="199">
        <v>8800000</v>
      </c>
      <c r="E133" s="199" t="e">
        <f>VLOOKUP(B133,#REF!,151,0)</f>
        <v>#REF!</v>
      </c>
      <c r="F133" s="199" t="e">
        <f t="shared" si="3"/>
        <v>#REF!</v>
      </c>
      <c r="G133" s="139" t="s">
        <v>528</v>
      </c>
      <c r="H133" s="182">
        <v>409000</v>
      </c>
    </row>
    <row r="134" spans="1:8">
      <c r="A134" s="183">
        <v>132</v>
      </c>
      <c r="B134" s="183" t="s">
        <v>185</v>
      </c>
      <c r="C134" s="183" t="s">
        <v>610</v>
      </c>
      <c r="D134" s="203">
        <v>8528000</v>
      </c>
      <c r="E134" s="203" t="e">
        <f>VLOOKUP(B134,#REF!,151,0)</f>
        <v>#REF!</v>
      </c>
      <c r="F134" s="203" t="e">
        <f t="shared" si="3"/>
        <v>#REF!</v>
      </c>
      <c r="G134" s="183" t="s">
        <v>528</v>
      </c>
      <c r="H134" s="204">
        <v>409000</v>
      </c>
    </row>
    <row r="135" spans="1:8" s="139" customFormat="1" ht="15" hidden="1">
      <c r="A135" s="139">
        <v>133</v>
      </c>
      <c r="B135" s="139" t="s">
        <v>395</v>
      </c>
      <c r="C135" s="139" t="s">
        <v>610</v>
      </c>
      <c r="D135" s="199">
        <v>8722000</v>
      </c>
      <c r="E135" s="199" t="e">
        <f>VLOOKUP(B135,#REF!,151,0)</f>
        <v>#REF!</v>
      </c>
      <c r="F135" s="199" t="e">
        <f t="shared" si="3"/>
        <v>#REF!</v>
      </c>
      <c r="G135" s="139" t="s">
        <v>528</v>
      </c>
      <c r="H135" s="182">
        <v>409000</v>
      </c>
    </row>
    <row r="136" spans="1:8" s="139" customFormat="1" ht="15" hidden="1">
      <c r="A136" s="139">
        <v>134</v>
      </c>
      <c r="B136" s="139" t="s">
        <v>71</v>
      </c>
      <c r="C136" s="139" t="s">
        <v>610</v>
      </c>
      <c r="D136" s="199">
        <v>9773000</v>
      </c>
      <c r="E136" s="199" t="e">
        <f>VLOOKUP(B136,#REF!,151,0)</f>
        <v>#REF!</v>
      </c>
      <c r="F136" s="199" t="e">
        <f t="shared" si="3"/>
        <v>#REF!</v>
      </c>
      <c r="G136" s="139" t="s">
        <v>528</v>
      </c>
      <c r="H136" s="182">
        <v>429000</v>
      </c>
    </row>
    <row r="137" spans="1:8" s="139" customFormat="1" ht="15" hidden="1">
      <c r="A137" s="139">
        <v>135</v>
      </c>
      <c r="B137" s="139" t="s">
        <v>612</v>
      </c>
      <c r="C137" s="139" t="s">
        <v>610</v>
      </c>
      <c r="D137" s="199">
        <v>7261000</v>
      </c>
      <c r="E137" s="199" t="e">
        <f>VLOOKUP(B137,#REF!,151,0)</f>
        <v>#REF!</v>
      </c>
      <c r="F137" s="199" t="e">
        <f t="shared" si="3"/>
        <v>#REF!</v>
      </c>
      <c r="G137" s="139" t="s">
        <v>528</v>
      </c>
      <c r="H137" s="182">
        <v>409000</v>
      </c>
    </row>
    <row r="138" spans="1:8" s="139" customFormat="1" ht="15" hidden="1">
      <c r="A138" s="139">
        <v>136</v>
      </c>
      <c r="B138" s="139" t="s">
        <v>613</v>
      </c>
      <c r="C138" s="139" t="s">
        <v>610</v>
      </c>
      <c r="D138" s="199">
        <v>8489000</v>
      </c>
      <c r="E138" s="199" t="e">
        <f>VLOOKUP(B138,#REF!,151,0)</f>
        <v>#REF!</v>
      </c>
      <c r="F138" s="199" t="e">
        <f t="shared" si="3"/>
        <v>#REF!</v>
      </c>
      <c r="G138" s="139" t="s">
        <v>528</v>
      </c>
      <c r="H138" s="182">
        <v>409000</v>
      </c>
    </row>
    <row r="139" spans="1:8" s="139" customFormat="1" ht="15" hidden="1">
      <c r="A139" s="139">
        <v>137</v>
      </c>
      <c r="B139" s="139" t="s">
        <v>81</v>
      </c>
      <c r="C139" s="139" t="s">
        <v>614</v>
      </c>
      <c r="D139" s="199">
        <v>8602000</v>
      </c>
      <c r="E139" s="199" t="e">
        <f>VLOOKUP(B139,#REF!,151,0)</f>
        <v>#REF!</v>
      </c>
      <c r="F139" s="199" t="e">
        <f t="shared" ref="F139:F150" si="4">+D139-E139</f>
        <v>#REF!</v>
      </c>
      <c r="G139" s="139" t="s">
        <v>528</v>
      </c>
      <c r="H139" s="182">
        <v>409000</v>
      </c>
    </row>
    <row r="140" spans="1:8" s="139" customFormat="1" ht="15" hidden="1">
      <c r="A140" s="139">
        <v>138</v>
      </c>
      <c r="B140" s="139" t="s">
        <v>244</v>
      </c>
      <c r="C140" s="139" t="s">
        <v>614</v>
      </c>
      <c r="D140" s="199">
        <v>8706000</v>
      </c>
      <c r="E140" s="199" t="e">
        <f>VLOOKUP(B140,#REF!,151,0)</f>
        <v>#REF!</v>
      </c>
      <c r="F140" s="199" t="e">
        <f t="shared" si="4"/>
        <v>#REF!</v>
      </c>
      <c r="G140" s="139" t="s">
        <v>528</v>
      </c>
      <c r="H140" s="182">
        <v>429000</v>
      </c>
    </row>
    <row r="141" spans="1:8" s="139" customFormat="1" ht="15" hidden="1">
      <c r="A141" s="139">
        <v>139</v>
      </c>
      <c r="B141" s="139" t="s">
        <v>294</v>
      </c>
      <c r="C141" s="139" t="s">
        <v>614</v>
      </c>
      <c r="D141" s="199">
        <v>9698000</v>
      </c>
      <c r="E141" s="199" t="e">
        <f>VLOOKUP(B141,#REF!,151,0)</f>
        <v>#REF!</v>
      </c>
      <c r="F141" s="199" t="e">
        <f t="shared" si="4"/>
        <v>#REF!</v>
      </c>
      <c r="G141" s="139" t="s">
        <v>528</v>
      </c>
      <c r="H141" s="182">
        <v>409000</v>
      </c>
    </row>
    <row r="142" spans="1:8" s="139" customFormat="1" ht="15" hidden="1">
      <c r="A142" s="139">
        <v>140</v>
      </c>
      <c r="B142" s="139" t="s">
        <v>245</v>
      </c>
      <c r="C142" s="139" t="s">
        <v>614</v>
      </c>
      <c r="D142" s="199">
        <v>8034000</v>
      </c>
      <c r="E142" s="199" t="e">
        <f>VLOOKUP(B142,#REF!,151,0)</f>
        <v>#REF!</v>
      </c>
      <c r="F142" s="199" t="e">
        <f t="shared" si="4"/>
        <v>#REF!</v>
      </c>
      <c r="G142" s="139" t="s">
        <v>528</v>
      </c>
      <c r="H142" s="182">
        <v>409000</v>
      </c>
    </row>
    <row r="143" spans="1:8" s="139" customFormat="1" ht="15" hidden="1">
      <c r="A143" s="139">
        <v>141</v>
      </c>
      <c r="B143" s="139" t="s">
        <v>247</v>
      </c>
      <c r="C143" s="139" t="s">
        <v>614</v>
      </c>
      <c r="D143" s="199">
        <v>6968000</v>
      </c>
      <c r="E143" s="199" t="e">
        <f>VLOOKUP(B143,#REF!,151,0)</f>
        <v>#REF!</v>
      </c>
      <c r="F143" s="199" t="e">
        <f t="shared" si="4"/>
        <v>#REF!</v>
      </c>
      <c r="G143" s="139" t="s">
        <v>528</v>
      </c>
      <c r="H143" s="182">
        <v>409000</v>
      </c>
    </row>
    <row r="144" spans="1:8" s="139" customFormat="1" ht="15" hidden="1">
      <c r="A144" s="139">
        <v>142</v>
      </c>
      <c r="B144" s="139" t="s">
        <v>88</v>
      </c>
      <c r="C144" s="139" t="s">
        <v>614</v>
      </c>
      <c r="D144" s="199">
        <v>9123000</v>
      </c>
      <c r="E144" s="199" t="e">
        <f>VLOOKUP(B144,#REF!,151,0)</f>
        <v>#REF!</v>
      </c>
      <c r="F144" s="199" t="e">
        <f t="shared" si="4"/>
        <v>#REF!</v>
      </c>
      <c r="G144" s="139" t="s">
        <v>528</v>
      </c>
      <c r="H144" s="182">
        <v>409000</v>
      </c>
    </row>
    <row r="145" spans="1:9" s="139" customFormat="1" ht="15" hidden="1">
      <c r="A145" s="139">
        <v>143</v>
      </c>
      <c r="B145" s="139" t="s">
        <v>615</v>
      </c>
      <c r="C145" s="139" t="s">
        <v>614</v>
      </c>
      <c r="D145" s="199">
        <v>6848000</v>
      </c>
      <c r="E145" s="199" t="e">
        <f>VLOOKUP(B145,#REF!,151,0)</f>
        <v>#REF!</v>
      </c>
      <c r="F145" s="199" t="e">
        <f t="shared" si="4"/>
        <v>#REF!</v>
      </c>
      <c r="G145" s="139" t="s">
        <v>528</v>
      </c>
      <c r="H145" s="182">
        <v>409000</v>
      </c>
    </row>
    <row r="146" spans="1:9" s="139" customFormat="1" ht="15" hidden="1">
      <c r="A146" s="139">
        <v>144</v>
      </c>
      <c r="B146" s="139" t="s">
        <v>420</v>
      </c>
      <c r="C146" s="139" t="s">
        <v>614</v>
      </c>
      <c r="D146" s="199">
        <v>8210000</v>
      </c>
      <c r="E146" s="199" t="e">
        <f>VLOOKUP(B146,#REF!,151,0)</f>
        <v>#REF!</v>
      </c>
      <c r="F146" s="199" t="e">
        <f t="shared" si="4"/>
        <v>#REF!</v>
      </c>
      <c r="G146" s="139" t="s">
        <v>528</v>
      </c>
      <c r="H146" s="182">
        <v>409000</v>
      </c>
    </row>
    <row r="147" spans="1:9">
      <c r="A147" s="183">
        <v>145</v>
      </c>
      <c r="B147" s="183" t="s">
        <v>728</v>
      </c>
      <c r="C147" s="183" t="s">
        <v>614</v>
      </c>
      <c r="D147" s="203">
        <v>8987000</v>
      </c>
      <c r="E147" s="203" t="e">
        <f>VLOOKUP(B147,#REF!,151,0)</f>
        <v>#REF!</v>
      </c>
      <c r="F147" s="203" t="e">
        <f t="shared" si="4"/>
        <v>#REF!</v>
      </c>
      <c r="G147" s="183" t="s">
        <v>528</v>
      </c>
      <c r="H147" s="204">
        <v>463050</v>
      </c>
      <c r="I147" s="183" t="s">
        <v>727</v>
      </c>
    </row>
    <row r="148" spans="1:9" s="139" customFormat="1" ht="15" hidden="1">
      <c r="A148" s="139">
        <v>146</v>
      </c>
      <c r="B148" s="139" t="s">
        <v>293</v>
      </c>
      <c r="C148" s="139" t="s">
        <v>614</v>
      </c>
      <c r="D148" s="199">
        <v>8258000</v>
      </c>
      <c r="E148" s="199" t="e">
        <f>VLOOKUP(B148,#REF!,151,0)</f>
        <v>#REF!</v>
      </c>
      <c r="F148" s="199" t="e">
        <f t="shared" si="4"/>
        <v>#REF!</v>
      </c>
      <c r="G148" s="139" t="s">
        <v>528</v>
      </c>
      <c r="H148" s="182">
        <v>409000</v>
      </c>
    </row>
    <row r="149" spans="1:9" s="139" customFormat="1" ht="15" hidden="1">
      <c r="A149" s="139">
        <v>147</v>
      </c>
      <c r="B149" s="139" t="s">
        <v>423</v>
      </c>
      <c r="C149" s="139" t="s">
        <v>614</v>
      </c>
      <c r="D149" s="199">
        <v>9196000</v>
      </c>
      <c r="E149" s="199" t="e">
        <f>VLOOKUP(B149,#REF!,151,0)</f>
        <v>#REF!</v>
      </c>
      <c r="F149" s="199" t="e">
        <f t="shared" si="4"/>
        <v>#REF!</v>
      </c>
      <c r="G149" s="139" t="s">
        <v>528</v>
      </c>
      <c r="H149" s="182"/>
    </row>
    <row r="150" spans="1:9" s="139" customFormat="1" ht="15" hidden="1">
      <c r="A150" s="139">
        <v>148</v>
      </c>
      <c r="B150" s="139" t="s">
        <v>469</v>
      </c>
      <c r="C150" s="139" t="s">
        <v>614</v>
      </c>
      <c r="D150" s="199">
        <v>3865000</v>
      </c>
      <c r="E150" s="199" t="e">
        <f>VLOOKUP(B150,#REF!,151,0)</f>
        <v>#REF!</v>
      </c>
      <c r="F150" s="199" t="e">
        <f t="shared" si="4"/>
        <v>#REF!</v>
      </c>
      <c r="G150" s="139" t="s">
        <v>528</v>
      </c>
      <c r="H150" s="182">
        <v>409000</v>
      </c>
    </row>
    <row r="151" spans="1:9" s="139" customFormat="1" ht="15" hidden="1">
      <c r="A151" s="139">
        <v>149</v>
      </c>
      <c r="B151" s="139" t="s">
        <v>254</v>
      </c>
      <c r="C151" s="139" t="s">
        <v>617</v>
      </c>
      <c r="D151" s="199">
        <v>1116000</v>
      </c>
      <c r="E151" s="199" t="e">
        <f>VLOOKUP(B151,#REF!,151,0)</f>
        <v>#REF!</v>
      </c>
      <c r="F151" s="199" t="e">
        <f t="shared" ref="F151:F162" si="5">+D151-E151</f>
        <v>#REF!</v>
      </c>
      <c r="G151" s="139" t="s">
        <v>528</v>
      </c>
      <c r="H151" s="182">
        <v>409000</v>
      </c>
    </row>
    <row r="152" spans="1:9" s="139" customFormat="1" ht="15" hidden="1">
      <c r="A152" s="139">
        <v>150</v>
      </c>
      <c r="B152" s="139" t="s">
        <v>251</v>
      </c>
      <c r="C152" s="139" t="s">
        <v>617</v>
      </c>
      <c r="D152" s="199">
        <v>3746000</v>
      </c>
      <c r="E152" s="199" t="e">
        <f>VLOOKUP(B152,#REF!,151,0)</f>
        <v>#REF!</v>
      </c>
      <c r="F152" s="199" t="e">
        <f t="shared" si="5"/>
        <v>#REF!</v>
      </c>
      <c r="G152" s="139" t="s">
        <v>528</v>
      </c>
      <c r="H152" s="182">
        <v>409000</v>
      </c>
    </row>
    <row r="153" spans="1:9" s="139" customFormat="1" ht="15" hidden="1">
      <c r="A153" s="139">
        <v>151</v>
      </c>
      <c r="B153" s="139" t="s">
        <v>83</v>
      </c>
      <c r="C153" s="139" t="s">
        <v>617</v>
      </c>
      <c r="D153" s="199">
        <v>9249000</v>
      </c>
      <c r="E153" s="199" t="e">
        <f>VLOOKUP(B153,#REF!,151,0)</f>
        <v>#REF!</v>
      </c>
      <c r="F153" s="199" t="e">
        <f t="shared" si="5"/>
        <v>#REF!</v>
      </c>
      <c r="G153" s="139" t="s">
        <v>528</v>
      </c>
      <c r="H153" s="182">
        <v>409000</v>
      </c>
    </row>
    <row r="154" spans="1:9" s="139" customFormat="1" ht="15" hidden="1">
      <c r="A154" s="139">
        <v>152</v>
      </c>
      <c r="B154" s="139" t="s">
        <v>253</v>
      </c>
      <c r="C154" s="139" t="s">
        <v>617</v>
      </c>
      <c r="D154" s="199">
        <v>6103000</v>
      </c>
      <c r="E154" s="199" t="e">
        <f>VLOOKUP(B154,#REF!,151,0)</f>
        <v>#REF!</v>
      </c>
      <c r="F154" s="199" t="e">
        <f t="shared" si="5"/>
        <v>#REF!</v>
      </c>
      <c r="G154" s="139" t="s">
        <v>528</v>
      </c>
      <c r="H154" s="182">
        <v>429000</v>
      </c>
    </row>
    <row r="155" spans="1:9" s="139" customFormat="1" ht="15" hidden="1">
      <c r="A155" s="139">
        <v>153</v>
      </c>
      <c r="B155" s="139" t="s">
        <v>82</v>
      </c>
      <c r="C155" s="139" t="s">
        <v>617</v>
      </c>
      <c r="D155" s="199">
        <v>7843000</v>
      </c>
      <c r="E155" s="199" t="e">
        <f>VLOOKUP(B155,#REF!,151,0)</f>
        <v>#REF!</v>
      </c>
      <c r="F155" s="199" t="e">
        <f t="shared" si="5"/>
        <v>#REF!</v>
      </c>
      <c r="G155" s="139" t="s">
        <v>528</v>
      </c>
      <c r="H155" s="182">
        <v>409000</v>
      </c>
    </row>
    <row r="156" spans="1:9" s="139" customFormat="1" ht="15" hidden="1">
      <c r="A156" s="139">
        <v>154</v>
      </c>
      <c r="B156" s="139" t="s">
        <v>264</v>
      </c>
      <c r="C156" s="139" t="s">
        <v>617</v>
      </c>
      <c r="D156" s="199">
        <v>6319000</v>
      </c>
      <c r="E156" s="199" t="e">
        <f>VLOOKUP(B156,#REF!,151,0)</f>
        <v>#REF!</v>
      </c>
      <c r="F156" s="199" t="e">
        <f t="shared" si="5"/>
        <v>#REF!</v>
      </c>
      <c r="G156" s="139" t="s">
        <v>528</v>
      </c>
      <c r="H156" s="182">
        <v>409000</v>
      </c>
    </row>
    <row r="157" spans="1:9" s="139" customFormat="1" ht="15" hidden="1">
      <c r="A157" s="139">
        <v>155</v>
      </c>
      <c r="B157" s="139" t="s">
        <v>618</v>
      </c>
      <c r="C157" s="139" t="s">
        <v>617</v>
      </c>
      <c r="D157" s="199">
        <v>7764000</v>
      </c>
      <c r="E157" s="199" t="e">
        <f>VLOOKUP(B157,#REF!,151,0)</f>
        <v>#REF!</v>
      </c>
      <c r="F157" s="199" t="e">
        <f t="shared" si="5"/>
        <v>#REF!</v>
      </c>
      <c r="G157" s="139" t="s">
        <v>528</v>
      </c>
      <c r="H157" s="182">
        <v>409000</v>
      </c>
    </row>
    <row r="158" spans="1:9" s="139" customFormat="1" ht="15" hidden="1">
      <c r="A158" s="139">
        <v>156</v>
      </c>
      <c r="B158" s="139" t="s">
        <v>295</v>
      </c>
      <c r="C158" s="139" t="s">
        <v>617</v>
      </c>
      <c r="D158" s="199">
        <v>8735000</v>
      </c>
      <c r="E158" s="199" t="e">
        <f>VLOOKUP(B158,#REF!,151,0)</f>
        <v>#REF!</v>
      </c>
      <c r="F158" s="199" t="e">
        <f t="shared" si="5"/>
        <v>#REF!</v>
      </c>
      <c r="G158" s="139" t="s">
        <v>528</v>
      </c>
      <c r="H158" s="182">
        <v>409000</v>
      </c>
    </row>
    <row r="159" spans="1:9" s="139" customFormat="1" ht="15" hidden="1">
      <c r="A159" s="139">
        <v>157</v>
      </c>
      <c r="B159" s="139" t="s">
        <v>417</v>
      </c>
      <c r="C159" s="139" t="s">
        <v>617</v>
      </c>
      <c r="D159" s="199">
        <v>8752000</v>
      </c>
      <c r="E159" s="199" t="e">
        <f>VLOOKUP(B159,#REF!,151,0)</f>
        <v>#REF!</v>
      </c>
      <c r="F159" s="199" t="e">
        <f t="shared" si="5"/>
        <v>#REF!</v>
      </c>
      <c r="G159" s="139" t="s">
        <v>528</v>
      </c>
      <c r="H159" s="182">
        <v>409000</v>
      </c>
    </row>
    <row r="160" spans="1:9" s="139" customFormat="1" ht="15" hidden="1">
      <c r="A160" s="139">
        <v>158</v>
      </c>
      <c r="B160" s="139" t="s">
        <v>236</v>
      </c>
      <c r="C160" s="139" t="s">
        <v>617</v>
      </c>
      <c r="D160" s="199">
        <v>8820000</v>
      </c>
      <c r="E160" s="199" t="e">
        <f>VLOOKUP(B160,#REF!,151,0)</f>
        <v>#REF!</v>
      </c>
      <c r="F160" s="199" t="e">
        <f t="shared" si="5"/>
        <v>#REF!</v>
      </c>
      <c r="G160" s="139" t="s">
        <v>528</v>
      </c>
      <c r="H160" s="182">
        <v>409000</v>
      </c>
    </row>
    <row r="161" spans="1:8" s="139" customFormat="1" ht="15" hidden="1">
      <c r="A161" s="139">
        <v>159</v>
      </c>
      <c r="B161" s="139" t="s">
        <v>394</v>
      </c>
      <c r="C161" s="139" t="s">
        <v>617</v>
      </c>
      <c r="D161" s="199">
        <v>8252000</v>
      </c>
      <c r="E161" s="199" t="e">
        <f>VLOOKUP(B161,#REF!,151,0)</f>
        <v>#REF!</v>
      </c>
      <c r="F161" s="199" t="e">
        <f t="shared" si="5"/>
        <v>#REF!</v>
      </c>
      <c r="G161" s="139" t="s">
        <v>528</v>
      </c>
      <c r="H161" s="182">
        <v>409000</v>
      </c>
    </row>
    <row r="162" spans="1:8" s="139" customFormat="1" ht="15" hidden="1">
      <c r="A162" s="139">
        <v>160</v>
      </c>
      <c r="B162" s="139" t="s">
        <v>619</v>
      </c>
      <c r="C162" s="139" t="s">
        <v>617</v>
      </c>
      <c r="D162" s="199">
        <v>9280000</v>
      </c>
      <c r="E162" s="199" t="e">
        <f>VLOOKUP(B162,#REF!,151,0)</f>
        <v>#REF!</v>
      </c>
      <c r="F162" s="199" t="e">
        <f t="shared" si="5"/>
        <v>#REF!</v>
      </c>
      <c r="G162" s="139" t="s">
        <v>528</v>
      </c>
      <c r="H162" s="182">
        <v>409000</v>
      </c>
    </row>
    <row r="163" spans="1:8" s="139" customFormat="1" ht="15" hidden="1">
      <c r="A163" s="139">
        <v>161</v>
      </c>
      <c r="B163" s="139" t="s">
        <v>26</v>
      </c>
      <c r="C163" s="139" t="s">
        <v>620</v>
      </c>
      <c r="D163" s="199">
        <v>9732000</v>
      </c>
      <c r="E163" s="199" t="e">
        <f>VLOOKUP(B163,#REF!,151,0)</f>
        <v>#REF!</v>
      </c>
      <c r="F163" s="199" t="e">
        <f t="shared" ref="F163:F174" si="6">+D163-E163</f>
        <v>#REF!</v>
      </c>
      <c r="G163" s="139" t="s">
        <v>528</v>
      </c>
      <c r="H163" s="182">
        <v>409000</v>
      </c>
    </row>
    <row r="164" spans="1:8" s="139" customFormat="1" ht="15" hidden="1">
      <c r="A164" s="139">
        <v>162</v>
      </c>
      <c r="B164" s="139" t="s">
        <v>85</v>
      </c>
      <c r="C164" s="139" t="s">
        <v>620</v>
      </c>
      <c r="D164" s="199">
        <v>9197000</v>
      </c>
      <c r="E164" s="199" t="e">
        <f>VLOOKUP(B164,#REF!,151,0)</f>
        <v>#REF!</v>
      </c>
      <c r="F164" s="199" t="e">
        <f t="shared" si="6"/>
        <v>#REF!</v>
      </c>
      <c r="G164" s="139" t="s">
        <v>528</v>
      </c>
      <c r="H164" s="182">
        <v>409000</v>
      </c>
    </row>
    <row r="165" spans="1:8" s="139" customFormat="1" ht="15" hidden="1">
      <c r="A165" s="139">
        <v>163</v>
      </c>
      <c r="B165" s="139" t="s">
        <v>256</v>
      </c>
      <c r="C165" s="139" t="s">
        <v>620</v>
      </c>
      <c r="D165" s="199">
        <v>9246000</v>
      </c>
      <c r="E165" s="199" t="e">
        <f>VLOOKUP(B165,#REF!,151,0)</f>
        <v>#REF!</v>
      </c>
      <c r="F165" s="199" t="e">
        <f t="shared" si="6"/>
        <v>#REF!</v>
      </c>
      <c r="G165" s="139" t="s">
        <v>528</v>
      </c>
      <c r="H165" s="182">
        <v>409000</v>
      </c>
    </row>
    <row r="166" spans="1:8">
      <c r="A166" s="183">
        <v>164</v>
      </c>
      <c r="B166" s="183" t="s">
        <v>260</v>
      </c>
      <c r="C166" s="183" t="s">
        <v>620</v>
      </c>
      <c r="D166" s="203">
        <v>7030000</v>
      </c>
      <c r="E166" s="203" t="e">
        <f>VLOOKUP(B166,#REF!,151,0)</f>
        <v>#REF!</v>
      </c>
      <c r="F166" s="203" t="e">
        <f t="shared" si="6"/>
        <v>#REF!</v>
      </c>
      <c r="G166" s="183" t="s">
        <v>528</v>
      </c>
      <c r="H166" s="204">
        <v>409000</v>
      </c>
    </row>
    <row r="167" spans="1:8" s="139" customFormat="1" ht="15" hidden="1">
      <c r="A167" s="139">
        <v>165</v>
      </c>
      <c r="B167" s="139" t="s">
        <v>257</v>
      </c>
      <c r="C167" s="139" t="s">
        <v>620</v>
      </c>
      <c r="D167" s="199">
        <v>9013000</v>
      </c>
      <c r="E167" s="199" t="e">
        <f>VLOOKUP(B167,#REF!,151,0)</f>
        <v>#REF!</v>
      </c>
      <c r="F167" s="199" t="e">
        <f t="shared" si="6"/>
        <v>#REF!</v>
      </c>
      <c r="G167" s="139" t="s">
        <v>528</v>
      </c>
      <c r="H167" s="182">
        <v>409000</v>
      </c>
    </row>
    <row r="168" spans="1:8" s="139" customFormat="1" ht="15" hidden="1">
      <c r="A168" s="139">
        <v>166</v>
      </c>
      <c r="B168" s="139" t="s">
        <v>240</v>
      </c>
      <c r="C168" s="139" t="s">
        <v>620</v>
      </c>
      <c r="D168" s="199">
        <v>8724000</v>
      </c>
      <c r="E168" s="199" t="e">
        <f>VLOOKUP(B168,#REF!,151,0)</f>
        <v>#REF!</v>
      </c>
      <c r="F168" s="199" t="e">
        <f t="shared" si="6"/>
        <v>#REF!</v>
      </c>
      <c r="G168" s="139" t="s">
        <v>528</v>
      </c>
      <c r="H168" s="182">
        <v>409000</v>
      </c>
    </row>
    <row r="169" spans="1:8" s="139" customFormat="1" ht="15" hidden="1">
      <c r="A169" s="139">
        <v>167</v>
      </c>
      <c r="B169" s="139" t="s">
        <v>265</v>
      </c>
      <c r="C169" s="139" t="s">
        <v>620</v>
      </c>
      <c r="D169" s="199">
        <v>9652000</v>
      </c>
      <c r="E169" s="199" t="e">
        <f>VLOOKUP(B169,#REF!,151,0)</f>
        <v>#REF!</v>
      </c>
      <c r="F169" s="199" t="e">
        <f t="shared" si="6"/>
        <v>#REF!</v>
      </c>
      <c r="G169" s="139" t="s">
        <v>528</v>
      </c>
      <c r="H169" s="182">
        <v>409000</v>
      </c>
    </row>
    <row r="170" spans="1:8" s="139" customFormat="1" ht="15" hidden="1">
      <c r="A170" s="139">
        <v>168</v>
      </c>
      <c r="B170" s="139" t="s">
        <v>208</v>
      </c>
      <c r="C170" s="139" t="s">
        <v>620</v>
      </c>
      <c r="D170" s="199">
        <v>7383000</v>
      </c>
      <c r="E170" s="199" t="e">
        <f>VLOOKUP(B170,#REF!,151,0)</f>
        <v>#REF!</v>
      </c>
      <c r="F170" s="199" t="e">
        <f t="shared" si="6"/>
        <v>#REF!</v>
      </c>
      <c r="G170" s="139" t="s">
        <v>528</v>
      </c>
      <c r="H170" s="182">
        <v>409000</v>
      </c>
    </row>
    <row r="171" spans="1:8" s="139" customFormat="1" ht="15" hidden="1">
      <c r="A171" s="139">
        <v>169</v>
      </c>
      <c r="B171" s="139" t="s">
        <v>242</v>
      </c>
      <c r="C171" s="139" t="s">
        <v>620</v>
      </c>
      <c r="D171" s="199">
        <v>9712000</v>
      </c>
      <c r="E171" s="199" t="e">
        <f>VLOOKUP(B171,#REF!,151,0)</f>
        <v>#REF!</v>
      </c>
      <c r="F171" s="199" t="e">
        <f t="shared" si="6"/>
        <v>#REF!</v>
      </c>
      <c r="G171" s="139" t="s">
        <v>528</v>
      </c>
      <c r="H171" s="182">
        <v>409000</v>
      </c>
    </row>
    <row r="172" spans="1:8" s="139" customFormat="1" ht="15" hidden="1">
      <c r="A172" s="139">
        <v>170</v>
      </c>
      <c r="B172" s="139" t="s">
        <v>192</v>
      </c>
      <c r="C172" s="139" t="s">
        <v>620</v>
      </c>
      <c r="D172" s="199">
        <v>7814000</v>
      </c>
      <c r="E172" s="199" t="e">
        <f>VLOOKUP(B172,#REF!,151,0)</f>
        <v>#REF!</v>
      </c>
      <c r="F172" s="199" t="e">
        <f t="shared" si="6"/>
        <v>#REF!</v>
      </c>
      <c r="G172" s="139" t="s">
        <v>528</v>
      </c>
      <c r="H172" s="182">
        <v>429000</v>
      </c>
    </row>
    <row r="173" spans="1:8" s="139" customFormat="1" ht="15" hidden="1">
      <c r="A173" s="139">
        <v>171</v>
      </c>
      <c r="B173" s="139" t="s">
        <v>421</v>
      </c>
      <c r="C173" s="139" t="s">
        <v>620</v>
      </c>
      <c r="D173" s="199">
        <v>8929000</v>
      </c>
      <c r="E173" s="199" t="e">
        <f>VLOOKUP(B173,#REF!,151,0)</f>
        <v>#REF!</v>
      </c>
      <c r="F173" s="199" t="e">
        <f t="shared" si="6"/>
        <v>#REF!</v>
      </c>
      <c r="G173" s="139" t="s">
        <v>528</v>
      </c>
      <c r="H173" s="182">
        <v>409000</v>
      </c>
    </row>
    <row r="174" spans="1:8" s="139" customFormat="1" ht="15" hidden="1">
      <c r="A174" s="139">
        <v>172</v>
      </c>
      <c r="B174" s="139" t="s">
        <v>235</v>
      </c>
      <c r="C174" s="139" t="s">
        <v>620</v>
      </c>
      <c r="D174" s="199">
        <v>4149000</v>
      </c>
      <c r="E174" s="199" t="e">
        <f>VLOOKUP(B174,#REF!,151,0)</f>
        <v>#REF!</v>
      </c>
      <c r="F174" s="199" t="e">
        <f t="shared" si="6"/>
        <v>#REF!</v>
      </c>
      <c r="G174" s="139" t="s">
        <v>528</v>
      </c>
      <c r="H174" s="182">
        <v>409000</v>
      </c>
    </row>
    <row r="175" spans="1:8" s="139" customFormat="1" ht="15" hidden="1">
      <c r="A175" s="139">
        <v>173</v>
      </c>
      <c r="B175" s="139" t="s">
        <v>622</v>
      </c>
      <c r="C175" s="139" t="s">
        <v>623</v>
      </c>
      <c r="D175" s="199">
        <v>8329000</v>
      </c>
      <c r="E175" s="199" t="e">
        <f>VLOOKUP(B175,#REF!,151,0)</f>
        <v>#REF!</v>
      </c>
      <c r="F175" s="199" t="e">
        <f t="shared" ref="F175:F186" si="7">+D175-E175</f>
        <v>#REF!</v>
      </c>
      <c r="G175" s="139" t="s">
        <v>528</v>
      </c>
      <c r="H175" s="182">
        <v>409000</v>
      </c>
    </row>
    <row r="176" spans="1:8" s="139" customFormat="1" ht="15" hidden="1">
      <c r="A176" s="139">
        <v>174</v>
      </c>
      <c r="B176" s="139" t="s">
        <v>27</v>
      </c>
      <c r="C176" s="139" t="s">
        <v>623</v>
      </c>
      <c r="D176" s="199">
        <v>9021000</v>
      </c>
      <c r="E176" s="199" t="e">
        <f>VLOOKUP(B176,#REF!,151,0)</f>
        <v>#REF!</v>
      </c>
      <c r="F176" s="199" t="e">
        <f t="shared" si="7"/>
        <v>#REF!</v>
      </c>
      <c r="G176" s="139" t="s">
        <v>528</v>
      </c>
      <c r="H176" s="182">
        <v>409000</v>
      </c>
    </row>
    <row r="177" spans="1:8" s="139" customFormat="1" ht="15" hidden="1">
      <c r="A177" s="139">
        <v>175</v>
      </c>
      <c r="B177" s="139" t="s">
        <v>86</v>
      </c>
      <c r="C177" s="139" t="s">
        <v>623</v>
      </c>
      <c r="D177" s="199">
        <v>9071000</v>
      </c>
      <c r="E177" s="199" t="e">
        <f>VLOOKUP(B177,#REF!,151,0)</f>
        <v>#REF!</v>
      </c>
      <c r="F177" s="199" t="e">
        <f t="shared" si="7"/>
        <v>#REF!</v>
      </c>
      <c r="G177" s="139" t="s">
        <v>528</v>
      </c>
      <c r="H177" s="182">
        <v>409000</v>
      </c>
    </row>
    <row r="178" spans="1:8" s="139" customFormat="1" ht="15" hidden="1">
      <c r="A178" s="139">
        <v>176</v>
      </c>
      <c r="B178" s="139" t="s">
        <v>266</v>
      </c>
      <c r="C178" s="139" t="s">
        <v>623</v>
      </c>
      <c r="D178" s="199">
        <v>6905000</v>
      </c>
      <c r="E178" s="199" t="e">
        <f>VLOOKUP(B178,#REF!,151,0)</f>
        <v>#REF!</v>
      </c>
      <c r="F178" s="199" t="e">
        <f t="shared" si="7"/>
        <v>#REF!</v>
      </c>
      <c r="G178" s="139" t="s">
        <v>528</v>
      </c>
      <c r="H178" s="182">
        <v>409000</v>
      </c>
    </row>
    <row r="179" spans="1:8" s="139" customFormat="1" ht="15" hidden="1">
      <c r="A179" s="139">
        <v>177</v>
      </c>
      <c r="B179" s="139" t="s">
        <v>184</v>
      </c>
      <c r="C179" s="139" t="s">
        <v>623</v>
      </c>
      <c r="D179" s="199">
        <v>8396000</v>
      </c>
      <c r="E179" s="199" t="e">
        <f>VLOOKUP(B179,#REF!,151,0)</f>
        <v>#REF!</v>
      </c>
      <c r="F179" s="199" t="e">
        <f t="shared" si="7"/>
        <v>#REF!</v>
      </c>
      <c r="G179" s="139" t="s">
        <v>528</v>
      </c>
      <c r="H179" s="182">
        <v>409000</v>
      </c>
    </row>
    <row r="180" spans="1:8" s="139" customFormat="1" ht="15" hidden="1">
      <c r="A180" s="139">
        <v>178</v>
      </c>
      <c r="B180" s="139" t="s">
        <v>79</v>
      </c>
      <c r="C180" s="139" t="s">
        <v>623</v>
      </c>
      <c r="D180" s="199">
        <v>8713000</v>
      </c>
      <c r="E180" s="199" t="e">
        <f>VLOOKUP(B180,#REF!,151,0)</f>
        <v>#REF!</v>
      </c>
      <c r="F180" s="199" t="e">
        <f t="shared" si="7"/>
        <v>#REF!</v>
      </c>
      <c r="G180" s="139" t="s">
        <v>528</v>
      </c>
      <c r="H180" s="182">
        <v>429000</v>
      </c>
    </row>
    <row r="181" spans="1:8" s="139" customFormat="1" ht="15" hidden="1">
      <c r="A181" s="139">
        <v>179</v>
      </c>
      <c r="B181" s="139" t="s">
        <v>241</v>
      </c>
      <c r="C181" s="139" t="s">
        <v>623</v>
      </c>
      <c r="D181" s="199">
        <v>3552000</v>
      </c>
      <c r="E181" s="199" t="e">
        <f>VLOOKUP(B181,#REF!,151,0)</f>
        <v>#REF!</v>
      </c>
      <c r="F181" s="199" t="e">
        <f t="shared" si="7"/>
        <v>#REF!</v>
      </c>
      <c r="G181" s="139" t="s">
        <v>528</v>
      </c>
      <c r="H181" s="182">
        <v>409000</v>
      </c>
    </row>
    <row r="182" spans="1:8">
      <c r="A182" s="183">
        <v>180</v>
      </c>
      <c r="B182" s="183" t="s">
        <v>320</v>
      </c>
      <c r="C182" s="183" t="s">
        <v>623</v>
      </c>
      <c r="D182" s="203">
        <v>4798000</v>
      </c>
      <c r="E182" s="203" t="e">
        <f>VLOOKUP(B182,#REF!,151,0)</f>
        <v>#REF!</v>
      </c>
      <c r="F182" s="203" t="e">
        <f t="shared" si="7"/>
        <v>#REF!</v>
      </c>
      <c r="G182" s="183" t="s">
        <v>528</v>
      </c>
      <c r="H182" s="204">
        <v>409000</v>
      </c>
    </row>
    <row r="183" spans="1:8" s="139" customFormat="1" ht="15" hidden="1">
      <c r="A183" s="139">
        <v>181</v>
      </c>
      <c r="B183" s="139" t="s">
        <v>232</v>
      </c>
      <c r="C183" s="139" t="s">
        <v>623</v>
      </c>
      <c r="D183" s="199">
        <v>7721000</v>
      </c>
      <c r="E183" s="199" t="e">
        <f>VLOOKUP(B183,#REF!,151,0)</f>
        <v>#REF!</v>
      </c>
      <c r="F183" s="199" t="e">
        <f t="shared" si="7"/>
        <v>#REF!</v>
      </c>
      <c r="G183" s="139" t="s">
        <v>528</v>
      </c>
      <c r="H183" s="182">
        <v>409000</v>
      </c>
    </row>
    <row r="184" spans="1:8" s="139" customFormat="1" ht="15" hidden="1">
      <c r="A184" s="139">
        <v>182</v>
      </c>
      <c r="B184" s="139" t="s">
        <v>197</v>
      </c>
      <c r="C184" s="139" t="s">
        <v>623</v>
      </c>
      <c r="D184" s="199">
        <v>6826000</v>
      </c>
      <c r="E184" s="199" t="e">
        <f>VLOOKUP(B184,#REF!,151,0)</f>
        <v>#REF!</v>
      </c>
      <c r="F184" s="199" t="e">
        <f t="shared" si="7"/>
        <v>#REF!</v>
      </c>
      <c r="G184" s="139" t="s">
        <v>528</v>
      </c>
      <c r="H184" s="182">
        <v>409000</v>
      </c>
    </row>
    <row r="185" spans="1:8" s="139" customFormat="1" ht="15" hidden="1">
      <c r="A185" s="139">
        <v>183</v>
      </c>
      <c r="B185" s="139" t="s">
        <v>625</v>
      </c>
      <c r="C185" s="139" t="s">
        <v>623</v>
      </c>
      <c r="D185" s="199">
        <v>7859000</v>
      </c>
      <c r="E185" s="199" t="e">
        <f>VLOOKUP(B185,#REF!,151,0)</f>
        <v>#REF!</v>
      </c>
      <c r="F185" s="199" t="e">
        <f t="shared" si="7"/>
        <v>#REF!</v>
      </c>
      <c r="G185" s="139" t="s">
        <v>528</v>
      </c>
      <c r="H185" s="182"/>
    </row>
    <row r="186" spans="1:8" s="139" customFormat="1" ht="15" hidden="1">
      <c r="A186" s="139">
        <v>184</v>
      </c>
      <c r="B186" s="139" t="s">
        <v>626</v>
      </c>
      <c r="C186" s="139" t="s">
        <v>623</v>
      </c>
      <c r="D186" s="199">
        <v>8168000</v>
      </c>
      <c r="E186" s="199" t="e">
        <f>VLOOKUP(B186,#REF!,151,0)</f>
        <v>#REF!</v>
      </c>
      <c r="F186" s="199" t="e">
        <f t="shared" si="7"/>
        <v>#REF!</v>
      </c>
      <c r="G186" s="139" t="s">
        <v>528</v>
      </c>
      <c r="H186" s="182">
        <v>409000</v>
      </c>
    </row>
    <row r="187" spans="1:8" s="139" customFormat="1" ht="15" hidden="1">
      <c r="A187" s="139">
        <v>185</v>
      </c>
      <c r="B187" s="139" t="s">
        <v>296</v>
      </c>
      <c r="C187" s="139" t="s">
        <v>627</v>
      </c>
      <c r="D187" s="199">
        <v>9495000</v>
      </c>
      <c r="E187" s="199" t="e">
        <f>VLOOKUP(B187,#REF!,151,0)</f>
        <v>#REF!</v>
      </c>
      <c r="F187" s="199" t="e">
        <f t="shared" ref="F187:F198" si="8">+D187-E187</f>
        <v>#REF!</v>
      </c>
      <c r="G187" s="139" t="s">
        <v>528</v>
      </c>
      <c r="H187" s="182">
        <v>409000</v>
      </c>
    </row>
    <row r="188" spans="1:8" s="139" customFormat="1" ht="15" hidden="1">
      <c r="A188" s="139">
        <v>186</v>
      </c>
      <c r="B188" s="139" t="s">
        <v>628</v>
      </c>
      <c r="C188" s="139" t="s">
        <v>627</v>
      </c>
      <c r="D188" s="199">
        <v>8290000</v>
      </c>
      <c r="E188" s="199" t="e">
        <f>VLOOKUP(B188,#REF!,151,0)</f>
        <v>#REF!</v>
      </c>
      <c r="F188" s="199" t="e">
        <f t="shared" si="8"/>
        <v>#REF!</v>
      </c>
      <c r="G188" s="139" t="s">
        <v>528</v>
      </c>
      <c r="H188" s="182"/>
    </row>
    <row r="189" spans="1:8" s="139" customFormat="1" ht="15" hidden="1">
      <c r="A189" s="139">
        <v>187</v>
      </c>
      <c r="B189" s="139" t="s">
        <v>87</v>
      </c>
      <c r="C189" s="139" t="s">
        <v>627</v>
      </c>
      <c r="D189" s="199">
        <v>8446000</v>
      </c>
      <c r="E189" s="199" t="e">
        <f>VLOOKUP(B189,#REF!,151,0)</f>
        <v>#REF!</v>
      </c>
      <c r="F189" s="199" t="e">
        <f t="shared" si="8"/>
        <v>#REF!</v>
      </c>
      <c r="G189" s="139" t="s">
        <v>528</v>
      </c>
      <c r="H189" s="182">
        <v>409000</v>
      </c>
    </row>
    <row r="190" spans="1:8" s="139" customFormat="1" ht="15" hidden="1">
      <c r="A190" s="139">
        <v>188</v>
      </c>
      <c r="B190" s="139" t="s">
        <v>267</v>
      </c>
      <c r="C190" s="139" t="s">
        <v>627</v>
      </c>
      <c r="D190" s="199">
        <v>7207000</v>
      </c>
      <c r="E190" s="199" t="e">
        <f>VLOOKUP(B190,#REF!,151,0)</f>
        <v>#REF!</v>
      </c>
      <c r="F190" s="199" t="e">
        <f t="shared" si="8"/>
        <v>#REF!</v>
      </c>
      <c r="G190" s="139" t="s">
        <v>528</v>
      </c>
      <c r="H190" s="182">
        <v>409000</v>
      </c>
    </row>
    <row r="191" spans="1:8" s="139" customFormat="1" ht="15" hidden="1">
      <c r="A191" s="139">
        <v>189</v>
      </c>
      <c r="B191" s="139" t="s">
        <v>89</v>
      </c>
      <c r="C191" s="139" t="s">
        <v>627</v>
      </c>
      <c r="D191" s="199">
        <v>9471000</v>
      </c>
      <c r="E191" s="199" t="e">
        <f>VLOOKUP(B191,#REF!,151,0)</f>
        <v>#REF!</v>
      </c>
      <c r="F191" s="199" t="e">
        <f t="shared" si="8"/>
        <v>#REF!</v>
      </c>
      <c r="G191" s="139" t="s">
        <v>528</v>
      </c>
      <c r="H191" s="182">
        <v>409000</v>
      </c>
    </row>
    <row r="192" spans="1:8" s="139" customFormat="1" ht="15" hidden="1">
      <c r="A192" s="139">
        <v>190</v>
      </c>
      <c r="B192" s="139" t="s">
        <v>292</v>
      </c>
      <c r="C192" s="139" t="s">
        <v>627</v>
      </c>
      <c r="D192" s="199">
        <v>8430000</v>
      </c>
      <c r="E192" s="199" t="e">
        <f>VLOOKUP(B192,#REF!,151,0)</f>
        <v>#REF!</v>
      </c>
      <c r="F192" s="199" t="e">
        <f t="shared" si="8"/>
        <v>#REF!</v>
      </c>
      <c r="G192" s="139" t="s">
        <v>528</v>
      </c>
      <c r="H192" s="182">
        <v>409000</v>
      </c>
    </row>
    <row r="193" spans="1:8" s="139" customFormat="1" ht="15" hidden="1">
      <c r="A193" s="139">
        <v>191</v>
      </c>
      <c r="B193" s="139" t="s">
        <v>196</v>
      </c>
      <c r="C193" s="139" t="s">
        <v>627</v>
      </c>
      <c r="D193" s="199">
        <v>8850000</v>
      </c>
      <c r="E193" s="199" t="e">
        <f>VLOOKUP(B193,#REF!,151,0)</f>
        <v>#REF!</v>
      </c>
      <c r="F193" s="199" t="e">
        <f t="shared" si="8"/>
        <v>#REF!</v>
      </c>
      <c r="G193" s="139" t="s">
        <v>528</v>
      </c>
      <c r="H193" s="182">
        <v>409000</v>
      </c>
    </row>
    <row r="194" spans="1:8" s="139" customFormat="1" ht="15" hidden="1">
      <c r="A194" s="139">
        <v>192</v>
      </c>
      <c r="B194" s="139" t="s">
        <v>629</v>
      </c>
      <c r="C194" s="139" t="s">
        <v>627</v>
      </c>
      <c r="D194" s="199">
        <v>9645000</v>
      </c>
      <c r="E194" s="199" t="e">
        <f>VLOOKUP(B194,#REF!,151,0)</f>
        <v>#REF!</v>
      </c>
      <c r="F194" s="199" t="e">
        <f t="shared" si="8"/>
        <v>#REF!</v>
      </c>
      <c r="G194" s="139" t="s">
        <v>528</v>
      </c>
      <c r="H194" s="182"/>
    </row>
    <row r="195" spans="1:8" s="139" customFormat="1" ht="15" hidden="1">
      <c r="A195" s="139">
        <v>193</v>
      </c>
      <c r="B195" s="139" t="s">
        <v>396</v>
      </c>
      <c r="C195" s="139" t="s">
        <v>627</v>
      </c>
      <c r="D195" s="199">
        <v>8430000</v>
      </c>
      <c r="E195" s="199" t="e">
        <f>VLOOKUP(B195,#REF!,151,0)</f>
        <v>#REF!</v>
      </c>
      <c r="F195" s="199" t="e">
        <f t="shared" si="8"/>
        <v>#REF!</v>
      </c>
      <c r="G195" s="139" t="s">
        <v>528</v>
      </c>
      <c r="H195" s="182">
        <v>409000</v>
      </c>
    </row>
    <row r="196" spans="1:8" s="139" customFormat="1" ht="15" hidden="1">
      <c r="A196" s="139">
        <v>194</v>
      </c>
      <c r="B196" s="139" t="s">
        <v>630</v>
      </c>
      <c r="C196" s="139" t="s">
        <v>627</v>
      </c>
      <c r="D196" s="199">
        <v>7385000</v>
      </c>
      <c r="E196" s="199" t="e">
        <f>VLOOKUP(B196,#REF!,151,0)</f>
        <v>#REF!</v>
      </c>
      <c r="F196" s="199" t="e">
        <f t="shared" si="8"/>
        <v>#REF!</v>
      </c>
      <c r="G196" s="139" t="s">
        <v>528</v>
      </c>
      <c r="H196" s="182"/>
    </row>
    <row r="197" spans="1:8" s="139" customFormat="1" ht="15" hidden="1">
      <c r="A197" s="139">
        <v>195</v>
      </c>
      <c r="B197" s="139" t="s">
        <v>228</v>
      </c>
      <c r="C197" s="139" t="s">
        <v>627</v>
      </c>
      <c r="D197" s="199">
        <v>6448000</v>
      </c>
      <c r="E197" s="199" t="e">
        <f>VLOOKUP(B197,#REF!,151,0)</f>
        <v>#REF!</v>
      </c>
      <c r="F197" s="199" t="e">
        <f t="shared" si="8"/>
        <v>#REF!</v>
      </c>
      <c r="G197" s="139" t="s">
        <v>528</v>
      </c>
      <c r="H197" s="182">
        <v>409000</v>
      </c>
    </row>
    <row r="198" spans="1:8" s="139" customFormat="1" ht="15" hidden="1">
      <c r="A198" s="139">
        <v>196</v>
      </c>
      <c r="B198" s="139" t="s">
        <v>195</v>
      </c>
      <c r="C198" s="139" t="s">
        <v>627</v>
      </c>
      <c r="D198" s="199">
        <v>7414000</v>
      </c>
      <c r="E198" s="199" t="e">
        <f>VLOOKUP(B198,#REF!,151,0)</f>
        <v>#REF!</v>
      </c>
      <c r="F198" s="199" t="e">
        <f t="shared" si="8"/>
        <v>#REF!</v>
      </c>
      <c r="G198" s="139" t="s">
        <v>528</v>
      </c>
      <c r="H198" s="182">
        <v>409000</v>
      </c>
    </row>
    <row r="199" spans="1:8" s="139" customFormat="1" ht="15" hidden="1">
      <c r="A199" s="139">
        <v>197</v>
      </c>
      <c r="B199" s="139" t="s">
        <v>276</v>
      </c>
      <c r="C199" s="139" t="s">
        <v>631</v>
      </c>
      <c r="D199" s="199">
        <v>9269000</v>
      </c>
      <c r="E199" s="199" t="e">
        <f>VLOOKUP(B199,#REF!,151,0)</f>
        <v>#REF!</v>
      </c>
      <c r="F199" s="199" t="e">
        <f t="shared" ref="F199:F206" si="9">+D199-E199</f>
        <v>#REF!</v>
      </c>
      <c r="G199" s="139" t="s">
        <v>528</v>
      </c>
      <c r="H199" s="182">
        <v>9269000</v>
      </c>
    </row>
    <row r="200" spans="1:8" s="139" customFormat="1" ht="15" hidden="1">
      <c r="A200" s="139">
        <v>198</v>
      </c>
      <c r="B200" s="139" t="s">
        <v>632</v>
      </c>
      <c r="C200" s="139" t="s">
        <v>631</v>
      </c>
      <c r="D200" s="199">
        <v>8725000</v>
      </c>
      <c r="E200" s="199" t="e">
        <f>VLOOKUP(B200,#REF!,151,0)</f>
        <v>#REF!</v>
      </c>
      <c r="F200" s="199" t="e">
        <f t="shared" si="9"/>
        <v>#REF!</v>
      </c>
      <c r="G200" s="139" t="s">
        <v>528</v>
      </c>
      <c r="H200" s="182">
        <v>8725000</v>
      </c>
    </row>
    <row r="201" spans="1:8" s="139" customFormat="1" ht="15" hidden="1">
      <c r="A201" s="139">
        <v>199</v>
      </c>
      <c r="B201" s="139" t="s">
        <v>272</v>
      </c>
      <c r="C201" s="139" t="s">
        <v>631</v>
      </c>
      <c r="D201" s="199">
        <v>7518000</v>
      </c>
      <c r="E201" s="199" t="e">
        <f>VLOOKUP(B201,#REF!,151,0)</f>
        <v>#REF!</v>
      </c>
      <c r="F201" s="199" t="e">
        <f t="shared" si="9"/>
        <v>#REF!</v>
      </c>
      <c r="G201" s="139" t="s">
        <v>528</v>
      </c>
      <c r="H201" s="182">
        <v>7518000</v>
      </c>
    </row>
    <row r="202" spans="1:8" s="139" customFormat="1" ht="15" hidden="1">
      <c r="A202" s="139">
        <v>200</v>
      </c>
      <c r="B202" s="139" t="s">
        <v>125</v>
      </c>
      <c r="C202" s="139" t="s">
        <v>631</v>
      </c>
      <c r="D202" s="199">
        <v>7745000</v>
      </c>
      <c r="E202" s="199" t="e">
        <f>VLOOKUP(B202,#REF!,151,0)</f>
        <v>#REF!</v>
      </c>
      <c r="F202" s="199" t="e">
        <f t="shared" si="9"/>
        <v>#REF!</v>
      </c>
      <c r="G202" s="139" t="s">
        <v>528</v>
      </c>
      <c r="H202" s="182">
        <v>7745000</v>
      </c>
    </row>
    <row r="203" spans="1:8" s="139" customFormat="1" ht="15" hidden="1">
      <c r="A203" s="139">
        <v>201</v>
      </c>
      <c r="B203" s="139" t="s">
        <v>633</v>
      </c>
      <c r="C203" s="139" t="s">
        <v>631</v>
      </c>
      <c r="D203" s="199">
        <v>8769000</v>
      </c>
      <c r="E203" s="199" t="e">
        <f>VLOOKUP(B203,#REF!,151,0)</f>
        <v>#REF!</v>
      </c>
      <c r="F203" s="199" t="e">
        <f t="shared" si="9"/>
        <v>#REF!</v>
      </c>
      <c r="G203" s="139" t="s">
        <v>528</v>
      </c>
      <c r="H203" s="182">
        <v>8769000</v>
      </c>
    </row>
    <row r="204" spans="1:8" s="139" customFormat="1" ht="15" hidden="1">
      <c r="A204" s="139">
        <v>202</v>
      </c>
      <c r="B204" s="139" t="s">
        <v>634</v>
      </c>
      <c r="C204" s="139" t="s">
        <v>631</v>
      </c>
      <c r="D204" s="199">
        <v>8769000</v>
      </c>
      <c r="E204" s="199" t="e">
        <f>VLOOKUP(B204,#REF!,151,0)</f>
        <v>#REF!</v>
      </c>
      <c r="F204" s="199" t="e">
        <f t="shared" si="9"/>
        <v>#REF!</v>
      </c>
      <c r="G204" s="139" t="s">
        <v>528</v>
      </c>
      <c r="H204" s="182">
        <v>8769000</v>
      </c>
    </row>
    <row r="205" spans="1:8" s="139" customFormat="1" ht="15" hidden="1">
      <c r="A205" s="139">
        <v>203</v>
      </c>
      <c r="B205" s="139" t="s">
        <v>635</v>
      </c>
      <c r="C205" s="139" t="s">
        <v>631</v>
      </c>
      <c r="D205" s="199">
        <v>9064000</v>
      </c>
      <c r="E205" s="199" t="e">
        <f>VLOOKUP(B205,#REF!,151,0)</f>
        <v>#REF!</v>
      </c>
      <c r="F205" s="199" t="e">
        <f t="shared" si="9"/>
        <v>#REF!</v>
      </c>
      <c r="G205" s="139" t="s">
        <v>528</v>
      </c>
      <c r="H205" s="182">
        <v>9064000</v>
      </c>
    </row>
    <row r="206" spans="1:8" s="139" customFormat="1" ht="15" hidden="1">
      <c r="A206" s="139">
        <v>204</v>
      </c>
      <c r="B206" s="139" t="s">
        <v>636</v>
      </c>
      <c r="C206" s="139" t="s">
        <v>631</v>
      </c>
      <c r="D206" s="199">
        <v>6110000</v>
      </c>
      <c r="E206" s="199" t="e">
        <f>VLOOKUP(B206,#REF!,151,0)</f>
        <v>#REF!</v>
      </c>
      <c r="F206" s="199" t="e">
        <f t="shared" si="9"/>
        <v>#REF!</v>
      </c>
      <c r="G206" s="139" t="s">
        <v>528</v>
      </c>
      <c r="H206" s="182">
        <v>6110000</v>
      </c>
    </row>
    <row r="207" spans="1:8" s="139" customFormat="1" ht="15" hidden="1">
      <c r="A207" s="139">
        <v>205</v>
      </c>
      <c r="B207" s="139" t="s">
        <v>110</v>
      </c>
      <c r="C207" s="139" t="s">
        <v>637</v>
      </c>
      <c r="D207" s="199">
        <v>9757000</v>
      </c>
      <c r="E207" s="199" t="e">
        <f>VLOOKUP(B207,#REF!,151,0)</f>
        <v>#REF!</v>
      </c>
      <c r="F207" s="199" t="e">
        <f t="shared" ref="F207:F222" si="10">+D207-E207</f>
        <v>#REF!</v>
      </c>
      <c r="G207" s="139" t="s">
        <v>528</v>
      </c>
      <c r="H207" s="182">
        <v>409000</v>
      </c>
    </row>
    <row r="208" spans="1:8" s="139" customFormat="1" ht="15" hidden="1">
      <c r="A208" s="139">
        <v>206</v>
      </c>
      <c r="B208" s="139" t="s">
        <v>638</v>
      </c>
      <c r="C208" s="139" t="s">
        <v>637</v>
      </c>
      <c r="D208" s="199">
        <v>9396000</v>
      </c>
      <c r="E208" s="199" t="e">
        <f>VLOOKUP(B208,#REF!,151,0)</f>
        <v>#REF!</v>
      </c>
      <c r="F208" s="199" t="e">
        <f t="shared" si="10"/>
        <v>#REF!</v>
      </c>
      <c r="G208" s="139" t="s">
        <v>528</v>
      </c>
      <c r="H208" s="182"/>
    </row>
    <row r="209" spans="1:8" s="139" customFormat="1" ht="15" hidden="1">
      <c r="A209" s="139">
        <v>207</v>
      </c>
      <c r="B209" s="139" t="s">
        <v>390</v>
      </c>
      <c r="C209" s="139" t="s">
        <v>637</v>
      </c>
      <c r="D209" s="199">
        <v>9446000</v>
      </c>
      <c r="E209" s="199" t="e">
        <f>VLOOKUP(B209,#REF!,151,0)</f>
        <v>#REF!</v>
      </c>
      <c r="F209" s="199" t="e">
        <f t="shared" si="10"/>
        <v>#REF!</v>
      </c>
      <c r="G209" s="139" t="s">
        <v>528</v>
      </c>
      <c r="H209" s="182">
        <v>409000</v>
      </c>
    </row>
    <row r="210" spans="1:8" s="139" customFormat="1" ht="15" hidden="1">
      <c r="A210" s="139">
        <v>208</v>
      </c>
      <c r="B210" s="139" t="s">
        <v>639</v>
      </c>
      <c r="C210" s="139" t="s">
        <v>637</v>
      </c>
      <c r="D210" s="199">
        <v>6662000</v>
      </c>
      <c r="E210" s="199" t="e">
        <f>VLOOKUP(B210,#REF!,151,0)</f>
        <v>#REF!</v>
      </c>
      <c r="F210" s="199" t="e">
        <f t="shared" si="10"/>
        <v>#REF!</v>
      </c>
      <c r="G210" s="139" t="s">
        <v>528</v>
      </c>
      <c r="H210" s="182"/>
    </row>
    <row r="211" spans="1:8" s="139" customFormat="1" ht="15" hidden="1">
      <c r="A211" s="139">
        <v>209</v>
      </c>
      <c r="B211" s="139" t="s">
        <v>640</v>
      </c>
      <c r="C211" s="139" t="s">
        <v>637</v>
      </c>
      <c r="D211" s="199">
        <v>9208000</v>
      </c>
      <c r="E211" s="199" t="e">
        <f>VLOOKUP(B211,#REF!,151,0)</f>
        <v>#REF!</v>
      </c>
      <c r="F211" s="199" t="e">
        <f t="shared" si="10"/>
        <v>#REF!</v>
      </c>
      <c r="G211" s="139" t="s">
        <v>528</v>
      </c>
      <c r="H211" s="182"/>
    </row>
    <row r="212" spans="1:8" s="139" customFormat="1" ht="15" hidden="1">
      <c r="A212" s="139">
        <v>210</v>
      </c>
      <c r="B212" s="139" t="s">
        <v>641</v>
      </c>
      <c r="C212" s="139" t="s">
        <v>637</v>
      </c>
      <c r="D212" s="199">
        <v>10748000</v>
      </c>
      <c r="E212" s="199" t="e">
        <f>VLOOKUP(B212,#REF!,151,0)</f>
        <v>#REF!</v>
      </c>
      <c r="F212" s="199" t="e">
        <f t="shared" si="10"/>
        <v>#REF!</v>
      </c>
      <c r="G212" s="139" t="s">
        <v>528</v>
      </c>
      <c r="H212" s="182"/>
    </row>
    <row r="213" spans="1:8" s="139" customFormat="1" ht="15" hidden="1">
      <c r="A213" s="139">
        <v>211</v>
      </c>
      <c r="B213" s="139" t="s">
        <v>642</v>
      </c>
      <c r="C213" s="139" t="s">
        <v>637</v>
      </c>
      <c r="D213" s="199">
        <v>7788000</v>
      </c>
      <c r="E213" s="199" t="e">
        <f>VLOOKUP(B213,#REF!,151,0)</f>
        <v>#REF!</v>
      </c>
      <c r="F213" s="199" t="e">
        <f t="shared" si="10"/>
        <v>#REF!</v>
      </c>
      <c r="G213" s="139" t="s">
        <v>528</v>
      </c>
      <c r="H213" s="182"/>
    </row>
    <row r="214" spans="1:8" s="139" customFormat="1" ht="15" hidden="1">
      <c r="A214" s="139">
        <v>212</v>
      </c>
      <c r="B214" s="139" t="s">
        <v>428</v>
      </c>
      <c r="C214" s="139" t="s">
        <v>637</v>
      </c>
      <c r="D214" s="199">
        <v>9658000</v>
      </c>
      <c r="E214" s="199" t="e">
        <f>VLOOKUP(B214,#REF!,151,0)</f>
        <v>#REF!</v>
      </c>
      <c r="F214" s="199" t="e">
        <f t="shared" si="10"/>
        <v>#REF!</v>
      </c>
      <c r="G214" s="139" t="s">
        <v>528</v>
      </c>
      <c r="H214" s="182">
        <v>409000</v>
      </c>
    </row>
    <row r="215" spans="1:8" s="139" customFormat="1" ht="15" hidden="1">
      <c r="A215" s="139">
        <v>213</v>
      </c>
      <c r="B215" s="139" t="s">
        <v>427</v>
      </c>
      <c r="C215" s="139" t="s">
        <v>637</v>
      </c>
      <c r="D215" s="199">
        <v>11154000</v>
      </c>
      <c r="E215" s="199" t="e">
        <f>VLOOKUP(B215,#REF!,151,0)</f>
        <v>#REF!</v>
      </c>
      <c r="F215" s="199" t="e">
        <f t="shared" si="10"/>
        <v>#REF!</v>
      </c>
      <c r="G215" s="139" t="s">
        <v>528</v>
      </c>
      <c r="H215" s="182">
        <v>409000</v>
      </c>
    </row>
    <row r="216" spans="1:8" s="139" customFormat="1" ht="15" hidden="1">
      <c r="A216" s="139">
        <v>214</v>
      </c>
      <c r="B216" s="139" t="s">
        <v>332</v>
      </c>
      <c r="C216" s="139" t="s">
        <v>637</v>
      </c>
      <c r="D216" s="199">
        <v>10555000</v>
      </c>
      <c r="E216" s="199" t="e">
        <f>VLOOKUP(B216,#REF!,151,0)</f>
        <v>#REF!</v>
      </c>
      <c r="F216" s="199" t="e">
        <f t="shared" si="10"/>
        <v>#REF!</v>
      </c>
      <c r="G216" s="139" t="s">
        <v>528</v>
      </c>
      <c r="H216" s="182">
        <v>409000</v>
      </c>
    </row>
    <row r="217" spans="1:8" s="139" customFormat="1" ht="15" hidden="1">
      <c r="A217" s="139">
        <v>215</v>
      </c>
      <c r="B217" s="139" t="s">
        <v>643</v>
      </c>
      <c r="C217" s="139" t="s">
        <v>637</v>
      </c>
      <c r="D217" s="199">
        <v>4698000</v>
      </c>
      <c r="E217" s="199" t="e">
        <f>VLOOKUP(B217,#REF!,151,0)</f>
        <v>#REF!</v>
      </c>
      <c r="F217" s="199" t="e">
        <f t="shared" si="10"/>
        <v>#REF!</v>
      </c>
      <c r="G217" s="139" t="s">
        <v>528</v>
      </c>
      <c r="H217" s="182"/>
    </row>
    <row r="218" spans="1:8" s="139" customFormat="1" ht="15" hidden="1">
      <c r="A218" s="139">
        <v>216</v>
      </c>
      <c r="B218" s="139" t="s">
        <v>644</v>
      </c>
      <c r="C218" s="139" t="s">
        <v>637</v>
      </c>
      <c r="D218" s="199">
        <v>9136000</v>
      </c>
      <c r="E218" s="199" t="e">
        <f>VLOOKUP(B218,#REF!,151,0)</f>
        <v>#REF!</v>
      </c>
      <c r="F218" s="199" t="e">
        <f t="shared" si="10"/>
        <v>#REF!</v>
      </c>
      <c r="G218" s="139" t="s">
        <v>528</v>
      </c>
      <c r="H218" s="182"/>
    </row>
    <row r="219" spans="1:8" s="139" customFormat="1" ht="15" hidden="1">
      <c r="A219" s="139">
        <v>217</v>
      </c>
      <c r="B219" s="139" t="s">
        <v>444</v>
      </c>
      <c r="C219" s="139" t="s">
        <v>637</v>
      </c>
      <c r="D219" s="199">
        <v>7522000</v>
      </c>
      <c r="E219" s="199" t="e">
        <f>VLOOKUP(B219,#REF!,151,0)</f>
        <v>#REF!</v>
      </c>
      <c r="F219" s="199" t="e">
        <f t="shared" si="10"/>
        <v>#REF!</v>
      </c>
      <c r="G219" s="139" t="s">
        <v>528</v>
      </c>
      <c r="H219" s="182">
        <v>409000</v>
      </c>
    </row>
    <row r="220" spans="1:8" s="139" customFormat="1" ht="15" hidden="1">
      <c r="A220" s="139">
        <v>218</v>
      </c>
      <c r="B220" s="139" t="s">
        <v>645</v>
      </c>
      <c r="C220" s="139" t="s">
        <v>637</v>
      </c>
      <c r="D220" s="199">
        <v>460000</v>
      </c>
      <c r="E220" s="199" t="e">
        <f>VLOOKUP(B220,#REF!,151,0)</f>
        <v>#REF!</v>
      </c>
      <c r="F220" s="199" t="e">
        <f t="shared" si="10"/>
        <v>#REF!</v>
      </c>
      <c r="G220" s="139" t="s">
        <v>528</v>
      </c>
      <c r="H220" s="182"/>
    </row>
    <row r="221" spans="1:8" s="139" customFormat="1" ht="15" hidden="1">
      <c r="A221" s="139">
        <v>219</v>
      </c>
      <c r="B221" s="139" t="s">
        <v>646</v>
      </c>
      <c r="C221" s="139" t="s">
        <v>637</v>
      </c>
      <c r="D221" s="199">
        <v>6820000</v>
      </c>
      <c r="E221" s="199" t="e">
        <f>VLOOKUP(B221,#REF!,151,0)</f>
        <v>#REF!</v>
      </c>
      <c r="F221" s="199" t="e">
        <f t="shared" si="10"/>
        <v>#REF!</v>
      </c>
      <c r="G221" s="139" t="s">
        <v>528</v>
      </c>
      <c r="H221" s="182"/>
    </row>
    <row r="222" spans="1:8" s="139" customFormat="1" ht="15" hidden="1">
      <c r="A222" s="139">
        <v>220</v>
      </c>
      <c r="B222" s="139" t="s">
        <v>647</v>
      </c>
      <c r="C222" s="139" t="s">
        <v>637</v>
      </c>
      <c r="D222" s="199">
        <v>8646000</v>
      </c>
      <c r="E222" s="199" t="e">
        <f>VLOOKUP(B222,#REF!,151,0)</f>
        <v>#REF!</v>
      </c>
      <c r="F222" s="199" t="e">
        <f t="shared" si="10"/>
        <v>#REF!</v>
      </c>
      <c r="G222" s="139" t="s">
        <v>528</v>
      </c>
      <c r="H222" s="182"/>
    </row>
    <row r="223" spans="1:8" s="139" customFormat="1" ht="15" hidden="1">
      <c r="A223" s="139">
        <v>221</v>
      </c>
      <c r="B223" s="139" t="s">
        <v>108</v>
      </c>
      <c r="C223" s="139" t="s">
        <v>168</v>
      </c>
      <c r="D223" s="199">
        <v>10090000</v>
      </c>
      <c r="E223" s="199" t="e">
        <f>VLOOKUP(B223,#REF!,151,0)</f>
        <v>#REF!</v>
      </c>
      <c r="F223" s="199" t="e">
        <f t="shared" ref="F223:F247" si="11">+D223-E223</f>
        <v>#REF!</v>
      </c>
      <c r="G223" s="139" t="s">
        <v>528</v>
      </c>
      <c r="H223" s="182">
        <v>409000</v>
      </c>
    </row>
    <row r="224" spans="1:8" s="139" customFormat="1" ht="15" hidden="1">
      <c r="A224" s="139">
        <v>222</v>
      </c>
      <c r="B224" s="139" t="s">
        <v>104</v>
      </c>
      <c r="C224" s="139" t="s">
        <v>168</v>
      </c>
      <c r="D224" s="199">
        <v>9575000</v>
      </c>
      <c r="E224" s="199" t="e">
        <f>VLOOKUP(B224,#REF!,151,0)</f>
        <v>#REF!</v>
      </c>
      <c r="F224" s="199" t="e">
        <f t="shared" si="11"/>
        <v>#REF!</v>
      </c>
      <c r="G224" s="139" t="s">
        <v>528</v>
      </c>
      <c r="H224" s="182">
        <v>409000</v>
      </c>
    </row>
    <row r="225" spans="1:8" s="139" customFormat="1" ht="15" hidden="1">
      <c r="A225" s="139">
        <v>223</v>
      </c>
      <c r="B225" s="139" t="s">
        <v>303</v>
      </c>
      <c r="C225" s="139" t="s">
        <v>168</v>
      </c>
      <c r="D225" s="199">
        <v>10983000</v>
      </c>
      <c r="E225" s="199" t="e">
        <f>VLOOKUP(B225,#REF!,151,0)</f>
        <v>#REF!</v>
      </c>
      <c r="F225" s="199" t="e">
        <f t="shared" si="11"/>
        <v>#REF!</v>
      </c>
      <c r="G225" s="139" t="s">
        <v>528</v>
      </c>
      <c r="H225" s="182">
        <v>409000</v>
      </c>
    </row>
    <row r="226" spans="1:8" s="139" customFormat="1" ht="15" hidden="1">
      <c r="A226" s="139">
        <v>224</v>
      </c>
      <c r="B226" s="139" t="s">
        <v>174</v>
      </c>
      <c r="C226" s="139" t="s">
        <v>168</v>
      </c>
      <c r="D226" s="199">
        <v>11784000</v>
      </c>
      <c r="E226" s="199" t="e">
        <f>VLOOKUP(B226,#REF!,151,0)</f>
        <v>#REF!</v>
      </c>
      <c r="F226" s="199" t="e">
        <f t="shared" si="11"/>
        <v>#REF!</v>
      </c>
      <c r="G226" s="139" t="s">
        <v>528</v>
      </c>
      <c r="H226" s="182">
        <v>409000</v>
      </c>
    </row>
    <row r="227" spans="1:8" s="139" customFormat="1" ht="15" hidden="1">
      <c r="A227" s="139">
        <v>225</v>
      </c>
      <c r="B227" s="139" t="s">
        <v>111</v>
      </c>
      <c r="C227" s="139" t="s">
        <v>168</v>
      </c>
      <c r="D227" s="199">
        <v>9055000</v>
      </c>
      <c r="E227" s="199" t="e">
        <f>VLOOKUP(B227,#REF!,151,0)</f>
        <v>#REF!</v>
      </c>
      <c r="F227" s="199" t="e">
        <f t="shared" si="11"/>
        <v>#REF!</v>
      </c>
      <c r="G227" s="139" t="s">
        <v>528</v>
      </c>
      <c r="H227" s="182">
        <v>429000</v>
      </c>
    </row>
    <row r="228" spans="1:8" s="139" customFormat="1" ht="15" hidden="1">
      <c r="A228" s="139">
        <v>226</v>
      </c>
      <c r="B228" s="139" t="s">
        <v>281</v>
      </c>
      <c r="C228" s="139" t="s">
        <v>168</v>
      </c>
      <c r="D228" s="199">
        <v>9079000</v>
      </c>
      <c r="E228" s="199" t="e">
        <f>VLOOKUP(B228,#REF!,151,0)</f>
        <v>#REF!</v>
      </c>
      <c r="F228" s="199" t="e">
        <f t="shared" si="11"/>
        <v>#REF!</v>
      </c>
      <c r="G228" s="139" t="s">
        <v>528</v>
      </c>
      <c r="H228" s="182">
        <v>409000</v>
      </c>
    </row>
    <row r="229" spans="1:8" s="139" customFormat="1" ht="15" hidden="1">
      <c r="A229" s="139">
        <v>227</v>
      </c>
      <c r="B229" s="139" t="s">
        <v>103</v>
      </c>
      <c r="C229" s="139" t="s">
        <v>168</v>
      </c>
      <c r="D229" s="199">
        <v>7271000</v>
      </c>
      <c r="E229" s="199" t="e">
        <f>VLOOKUP(B229,#REF!,151,0)</f>
        <v>#REF!</v>
      </c>
      <c r="F229" s="199" t="e">
        <f t="shared" si="11"/>
        <v>#REF!</v>
      </c>
      <c r="G229" s="139" t="s">
        <v>528</v>
      </c>
      <c r="H229" s="182">
        <v>409000</v>
      </c>
    </row>
    <row r="230" spans="1:8" s="139" customFormat="1" ht="15" hidden="1">
      <c r="A230" s="139">
        <v>228</v>
      </c>
      <c r="B230" s="139" t="s">
        <v>648</v>
      </c>
      <c r="C230" s="139" t="s">
        <v>168</v>
      </c>
      <c r="D230" s="199">
        <v>9604000</v>
      </c>
      <c r="E230" s="199" t="e">
        <f>VLOOKUP(B230,#REF!,151,0)</f>
        <v>#REF!</v>
      </c>
      <c r="F230" s="199" t="e">
        <f t="shared" si="11"/>
        <v>#REF!</v>
      </c>
      <c r="G230" s="139" t="s">
        <v>528</v>
      </c>
      <c r="H230" s="182">
        <v>409000</v>
      </c>
    </row>
    <row r="231" spans="1:8" s="139" customFormat="1" ht="15" hidden="1">
      <c r="A231" s="139">
        <v>229</v>
      </c>
      <c r="B231" s="139" t="s">
        <v>106</v>
      </c>
      <c r="C231" s="139" t="s">
        <v>168</v>
      </c>
      <c r="D231" s="199">
        <v>7325000</v>
      </c>
      <c r="E231" s="199" t="e">
        <f>VLOOKUP(B231,#REF!,151,0)</f>
        <v>#REF!</v>
      </c>
      <c r="F231" s="199" t="e">
        <f t="shared" si="11"/>
        <v>#REF!</v>
      </c>
      <c r="G231" s="139" t="s">
        <v>528</v>
      </c>
      <c r="H231" s="182">
        <v>409000</v>
      </c>
    </row>
    <row r="232" spans="1:8" s="139" customFormat="1" ht="15" hidden="1">
      <c r="A232" s="139">
        <v>230</v>
      </c>
      <c r="B232" s="139" t="s">
        <v>649</v>
      </c>
      <c r="C232" s="139" t="s">
        <v>168</v>
      </c>
      <c r="D232" s="199">
        <v>9494000</v>
      </c>
      <c r="E232" s="199" t="e">
        <f>VLOOKUP(B232,#REF!,151,0)</f>
        <v>#REF!</v>
      </c>
      <c r="F232" s="199" t="e">
        <f t="shared" si="11"/>
        <v>#REF!</v>
      </c>
      <c r="G232" s="139" t="s">
        <v>528</v>
      </c>
      <c r="H232" s="182"/>
    </row>
    <row r="233" spans="1:8" s="139" customFormat="1" ht="15" hidden="1">
      <c r="A233" s="139">
        <v>231</v>
      </c>
      <c r="B233" s="139" t="s">
        <v>105</v>
      </c>
      <c r="C233" s="139" t="s">
        <v>168</v>
      </c>
      <c r="D233" s="199">
        <v>10326000</v>
      </c>
      <c r="E233" s="199" t="e">
        <f>VLOOKUP(B233,#REF!,151,0)</f>
        <v>#REF!</v>
      </c>
      <c r="F233" s="199" t="e">
        <f t="shared" si="11"/>
        <v>#REF!</v>
      </c>
      <c r="G233" s="139" t="s">
        <v>528</v>
      </c>
      <c r="H233" s="182">
        <v>409000</v>
      </c>
    </row>
    <row r="234" spans="1:8" s="139" customFormat="1" ht="15" hidden="1">
      <c r="A234" s="139">
        <v>232</v>
      </c>
      <c r="B234" s="139" t="s">
        <v>302</v>
      </c>
      <c r="C234" s="139" t="s">
        <v>168</v>
      </c>
      <c r="D234" s="199">
        <v>9641000</v>
      </c>
      <c r="E234" s="199" t="e">
        <f>VLOOKUP(B234,#REF!,151,0)</f>
        <v>#REF!</v>
      </c>
      <c r="F234" s="199" t="e">
        <f t="shared" si="11"/>
        <v>#REF!</v>
      </c>
      <c r="G234" s="139" t="s">
        <v>528</v>
      </c>
      <c r="H234" s="182">
        <v>409000</v>
      </c>
    </row>
    <row r="235" spans="1:8" s="139" customFormat="1" ht="15" hidden="1">
      <c r="A235" s="139">
        <v>233</v>
      </c>
      <c r="B235" s="139" t="s">
        <v>101</v>
      </c>
      <c r="C235" s="139" t="s">
        <v>168</v>
      </c>
      <c r="D235" s="199">
        <v>6602000</v>
      </c>
      <c r="E235" s="199" t="e">
        <f>VLOOKUP(B235,#REF!,151,0)</f>
        <v>#REF!</v>
      </c>
      <c r="F235" s="199" t="e">
        <f t="shared" si="11"/>
        <v>#REF!</v>
      </c>
      <c r="G235" s="139" t="s">
        <v>528</v>
      </c>
      <c r="H235" s="182">
        <v>409000</v>
      </c>
    </row>
    <row r="236" spans="1:8" s="139" customFormat="1" ht="15" hidden="1">
      <c r="A236" s="139">
        <v>234</v>
      </c>
      <c r="B236" s="139" t="s">
        <v>109</v>
      </c>
      <c r="C236" s="139" t="s">
        <v>168</v>
      </c>
      <c r="D236" s="199">
        <v>8609000</v>
      </c>
      <c r="E236" s="199" t="e">
        <f>VLOOKUP(B236,#REF!,151,0)</f>
        <v>#REF!</v>
      </c>
      <c r="F236" s="199" t="e">
        <f t="shared" si="11"/>
        <v>#REF!</v>
      </c>
      <c r="G236" s="139" t="s">
        <v>528</v>
      </c>
      <c r="H236" s="182">
        <v>409000</v>
      </c>
    </row>
    <row r="237" spans="1:8" s="139" customFormat="1" ht="15" hidden="1">
      <c r="A237" s="139">
        <v>235</v>
      </c>
      <c r="B237" s="139" t="s">
        <v>650</v>
      </c>
      <c r="C237" s="139" t="s">
        <v>168</v>
      </c>
      <c r="D237" s="199">
        <v>7355000</v>
      </c>
      <c r="E237" s="199" t="e">
        <f>VLOOKUP(B237,#REF!,151,0)</f>
        <v>#REF!</v>
      </c>
      <c r="F237" s="199" t="e">
        <f t="shared" si="11"/>
        <v>#REF!</v>
      </c>
      <c r="G237" s="139" t="s">
        <v>528</v>
      </c>
      <c r="H237" s="182"/>
    </row>
    <row r="238" spans="1:8" s="139" customFormat="1" ht="15" hidden="1">
      <c r="A238" s="139">
        <v>236</v>
      </c>
      <c r="B238" s="139" t="s">
        <v>651</v>
      </c>
      <c r="C238" s="139" t="s">
        <v>168</v>
      </c>
      <c r="D238" s="199">
        <v>6067000</v>
      </c>
      <c r="E238" s="199" t="e">
        <f>VLOOKUP(B238,#REF!,151,0)</f>
        <v>#REF!</v>
      </c>
      <c r="F238" s="199" t="e">
        <f t="shared" si="11"/>
        <v>#REF!</v>
      </c>
      <c r="G238" s="139" t="s">
        <v>528</v>
      </c>
      <c r="H238" s="182"/>
    </row>
    <row r="239" spans="1:8" s="139" customFormat="1" ht="15" hidden="1">
      <c r="A239" s="139">
        <v>237</v>
      </c>
      <c r="B239" s="139" t="s">
        <v>279</v>
      </c>
      <c r="C239" s="139" t="s">
        <v>168</v>
      </c>
      <c r="D239" s="199">
        <v>8134000</v>
      </c>
      <c r="E239" s="199" t="e">
        <f>VLOOKUP(B239,#REF!,151,0)</f>
        <v>#REF!</v>
      </c>
      <c r="F239" s="199" t="e">
        <f t="shared" si="11"/>
        <v>#REF!</v>
      </c>
      <c r="G239" s="139" t="s">
        <v>528</v>
      </c>
      <c r="H239" s="182">
        <v>409000</v>
      </c>
    </row>
    <row r="240" spans="1:8" s="139" customFormat="1" ht="15" hidden="1">
      <c r="A240" s="139">
        <v>238</v>
      </c>
      <c r="B240" s="139" t="s">
        <v>652</v>
      </c>
      <c r="C240" s="139" t="s">
        <v>168</v>
      </c>
      <c r="D240" s="199">
        <v>8561000</v>
      </c>
      <c r="E240" s="199" t="e">
        <f>VLOOKUP(B240,#REF!,151,0)</f>
        <v>#REF!</v>
      </c>
      <c r="F240" s="199" t="e">
        <f t="shared" si="11"/>
        <v>#REF!</v>
      </c>
      <c r="G240" s="139" t="s">
        <v>528</v>
      </c>
      <c r="H240" s="182"/>
    </row>
    <row r="241" spans="1:8" s="139" customFormat="1" ht="15" hidden="1">
      <c r="A241" s="139">
        <v>239</v>
      </c>
      <c r="B241" s="139" t="s">
        <v>305</v>
      </c>
      <c r="C241" s="139" t="s">
        <v>168</v>
      </c>
      <c r="D241" s="199">
        <v>7710000</v>
      </c>
      <c r="E241" s="199" t="e">
        <f>VLOOKUP(B241,#REF!,151,0)</f>
        <v>#REF!</v>
      </c>
      <c r="F241" s="199" t="e">
        <f t="shared" si="11"/>
        <v>#REF!</v>
      </c>
      <c r="G241" s="139" t="s">
        <v>528</v>
      </c>
      <c r="H241" s="182">
        <v>409000</v>
      </c>
    </row>
    <row r="242" spans="1:8" s="139" customFormat="1" ht="15" hidden="1">
      <c r="A242" s="139">
        <v>240</v>
      </c>
      <c r="B242" s="139" t="s">
        <v>653</v>
      </c>
      <c r="C242" s="139" t="s">
        <v>168</v>
      </c>
      <c r="D242" s="199">
        <v>8818000</v>
      </c>
      <c r="E242" s="199" t="e">
        <f>VLOOKUP(B242,#REF!,151,0)</f>
        <v>#REF!</v>
      </c>
      <c r="F242" s="199" t="e">
        <f t="shared" si="11"/>
        <v>#REF!</v>
      </c>
      <c r="G242" s="139" t="s">
        <v>528</v>
      </c>
      <c r="H242" s="182"/>
    </row>
    <row r="243" spans="1:8" s="139" customFormat="1" ht="15" hidden="1">
      <c r="A243" s="139">
        <v>241</v>
      </c>
      <c r="B243" s="139" t="s">
        <v>304</v>
      </c>
      <c r="C243" s="139" t="s">
        <v>168</v>
      </c>
      <c r="D243" s="199">
        <v>3446000</v>
      </c>
      <c r="E243" s="199" t="e">
        <f>VLOOKUP(B243,#REF!,151,0)</f>
        <v>#REF!</v>
      </c>
      <c r="F243" s="199" t="e">
        <f t="shared" si="11"/>
        <v>#REF!</v>
      </c>
      <c r="G243" s="139" t="s">
        <v>528</v>
      </c>
      <c r="H243" s="182">
        <v>409000</v>
      </c>
    </row>
    <row r="244" spans="1:8" s="139" customFormat="1" ht="15" hidden="1">
      <c r="A244" s="139">
        <v>242</v>
      </c>
      <c r="B244" s="139" t="s">
        <v>654</v>
      </c>
      <c r="C244" s="139" t="s">
        <v>168</v>
      </c>
      <c r="D244" s="199">
        <v>8719000</v>
      </c>
      <c r="E244" s="199" t="e">
        <f>VLOOKUP(B244,#REF!,151,0)</f>
        <v>#REF!</v>
      </c>
      <c r="F244" s="199" t="e">
        <f t="shared" si="11"/>
        <v>#REF!</v>
      </c>
      <c r="G244" s="139" t="s">
        <v>528</v>
      </c>
      <c r="H244" s="182"/>
    </row>
    <row r="245" spans="1:8" s="139" customFormat="1" ht="15" hidden="1">
      <c r="A245" s="139">
        <v>243</v>
      </c>
      <c r="B245" s="139" t="s">
        <v>112</v>
      </c>
      <c r="C245" s="139" t="s">
        <v>168</v>
      </c>
      <c r="D245" s="199">
        <v>7403000</v>
      </c>
      <c r="E245" s="199" t="e">
        <f>VLOOKUP(B245,#REF!,151,0)</f>
        <v>#REF!</v>
      </c>
      <c r="F245" s="199" t="e">
        <f t="shared" si="11"/>
        <v>#REF!</v>
      </c>
      <c r="G245" s="139" t="s">
        <v>528</v>
      </c>
      <c r="H245" s="182">
        <v>409000</v>
      </c>
    </row>
    <row r="246" spans="1:8" s="139" customFormat="1" ht="15" hidden="1">
      <c r="A246" s="139">
        <v>244</v>
      </c>
      <c r="B246" s="139" t="s">
        <v>443</v>
      </c>
      <c r="C246" s="139" t="s">
        <v>168</v>
      </c>
      <c r="D246" s="199">
        <v>5613000</v>
      </c>
      <c r="E246" s="199" t="e">
        <f>VLOOKUP(B246,#REF!,151,0)</f>
        <v>#REF!</v>
      </c>
      <c r="F246" s="199" t="e">
        <f t="shared" si="11"/>
        <v>#REF!</v>
      </c>
      <c r="G246" s="139" t="s">
        <v>528</v>
      </c>
      <c r="H246" s="182">
        <v>409000</v>
      </c>
    </row>
    <row r="247" spans="1:8" s="139" customFormat="1" ht="15" hidden="1">
      <c r="A247" s="139">
        <v>245</v>
      </c>
      <c r="B247" s="139" t="s">
        <v>655</v>
      </c>
      <c r="C247" s="139" t="s">
        <v>168</v>
      </c>
      <c r="D247" s="199">
        <v>7328000</v>
      </c>
      <c r="E247" s="199" t="e">
        <f>VLOOKUP(B247,#REF!,151,0)</f>
        <v>#REF!</v>
      </c>
      <c r="F247" s="199" t="e">
        <f t="shared" si="11"/>
        <v>#REF!</v>
      </c>
      <c r="G247" s="139" t="s">
        <v>528</v>
      </c>
      <c r="H247" s="182"/>
    </row>
    <row r="248" spans="1:8">
      <c r="A248" s="183">
        <v>246</v>
      </c>
      <c r="B248" s="183" t="s">
        <v>115</v>
      </c>
      <c r="C248" s="183" t="s">
        <v>169</v>
      </c>
      <c r="D248" s="203">
        <v>8950000</v>
      </c>
      <c r="E248" s="203" t="e">
        <f>VLOOKUP(B248,#REF!,151,0)</f>
        <v>#REF!</v>
      </c>
      <c r="F248" s="203" t="e">
        <f t="shared" ref="F248:F292" si="12">+D248-E248</f>
        <v>#REF!</v>
      </c>
      <c r="G248" s="183" t="s">
        <v>528</v>
      </c>
      <c r="H248" s="204">
        <v>429000</v>
      </c>
    </row>
    <row r="249" spans="1:8" s="139" customFormat="1" ht="15" hidden="1">
      <c r="A249" s="139">
        <v>247</v>
      </c>
      <c r="B249" s="139" t="s">
        <v>317</v>
      </c>
      <c r="C249" s="139" t="s">
        <v>169</v>
      </c>
      <c r="D249" s="199">
        <v>11877000</v>
      </c>
      <c r="E249" s="199" t="e">
        <f>VLOOKUP(B249,#REF!,151,0)</f>
        <v>#REF!</v>
      </c>
      <c r="F249" s="199" t="e">
        <f t="shared" si="12"/>
        <v>#REF!</v>
      </c>
      <c r="G249" s="139" t="s">
        <v>528</v>
      </c>
      <c r="H249" s="182">
        <v>409000</v>
      </c>
    </row>
    <row r="250" spans="1:8" s="139" customFormat="1" ht="15" hidden="1">
      <c r="A250" s="139">
        <v>248</v>
      </c>
      <c r="B250" s="139" t="s">
        <v>114</v>
      </c>
      <c r="C250" s="139" t="s">
        <v>169</v>
      </c>
      <c r="D250" s="199">
        <v>10716000</v>
      </c>
      <c r="E250" s="199" t="e">
        <f>VLOOKUP(B250,#REF!,151,0)</f>
        <v>#REF!</v>
      </c>
      <c r="F250" s="199" t="e">
        <f t="shared" si="12"/>
        <v>#REF!</v>
      </c>
      <c r="G250" s="139" t="s">
        <v>528</v>
      </c>
      <c r="H250" s="182">
        <v>409000</v>
      </c>
    </row>
    <row r="251" spans="1:8" s="139" customFormat="1" ht="15" hidden="1">
      <c r="A251" s="139">
        <v>249</v>
      </c>
      <c r="B251" s="139" t="s">
        <v>657</v>
      </c>
      <c r="C251" s="139" t="s">
        <v>169</v>
      </c>
      <c r="D251" s="199">
        <v>11491000</v>
      </c>
      <c r="E251" s="199" t="e">
        <f>VLOOKUP(B251,#REF!,151,0)</f>
        <v>#REF!</v>
      </c>
      <c r="F251" s="199" t="e">
        <f t="shared" si="12"/>
        <v>#REF!</v>
      </c>
      <c r="G251" s="139" t="s">
        <v>528</v>
      </c>
      <c r="H251" s="182"/>
    </row>
    <row r="252" spans="1:8" s="139" customFormat="1" ht="15" hidden="1">
      <c r="A252" s="139">
        <v>250</v>
      </c>
      <c r="B252" s="139" t="s">
        <v>118</v>
      </c>
      <c r="C252" s="139" t="s">
        <v>169</v>
      </c>
      <c r="D252" s="199">
        <v>8937000</v>
      </c>
      <c r="E252" s="199" t="e">
        <f>VLOOKUP(B252,#REF!,151,0)</f>
        <v>#REF!</v>
      </c>
      <c r="F252" s="199" t="e">
        <f t="shared" si="12"/>
        <v>#REF!</v>
      </c>
      <c r="G252" s="139" t="s">
        <v>528</v>
      </c>
      <c r="H252" s="182">
        <v>409000</v>
      </c>
    </row>
    <row r="253" spans="1:8" s="139" customFormat="1" ht="15" hidden="1">
      <c r="A253" s="139">
        <v>251</v>
      </c>
      <c r="B253" s="139" t="s">
        <v>324</v>
      </c>
      <c r="C253" s="139" t="s">
        <v>169</v>
      </c>
      <c r="D253" s="199">
        <v>12554000</v>
      </c>
      <c r="E253" s="199" t="e">
        <f>VLOOKUP(B253,#REF!,151,0)</f>
        <v>#REF!</v>
      </c>
      <c r="F253" s="199" t="e">
        <f t="shared" si="12"/>
        <v>#REF!</v>
      </c>
      <c r="G253" s="139" t="s">
        <v>528</v>
      </c>
      <c r="H253" s="182">
        <v>409000</v>
      </c>
    </row>
    <row r="254" spans="1:8" s="139" customFormat="1" ht="15" hidden="1">
      <c r="A254" s="139">
        <v>252</v>
      </c>
      <c r="B254" s="139" t="s">
        <v>113</v>
      </c>
      <c r="C254" s="139" t="s">
        <v>169</v>
      </c>
      <c r="D254" s="199">
        <v>12554000</v>
      </c>
      <c r="E254" s="199" t="e">
        <f>VLOOKUP(B254,#REF!,151,0)</f>
        <v>#REF!</v>
      </c>
      <c r="F254" s="199" t="e">
        <f t="shared" si="12"/>
        <v>#REF!</v>
      </c>
      <c r="G254" s="139" t="s">
        <v>528</v>
      </c>
      <c r="H254" s="182">
        <v>409000</v>
      </c>
    </row>
    <row r="255" spans="1:8" ht="15">
      <c r="A255" s="183">
        <v>253</v>
      </c>
      <c r="B255" s="207" t="s">
        <v>205</v>
      </c>
      <c r="C255" s="183" t="s">
        <v>169</v>
      </c>
      <c r="D255" s="203">
        <v>9239000</v>
      </c>
      <c r="E255" s="203" t="e">
        <f>VLOOKUP(B255,#REF!,151,0)</f>
        <v>#REF!</v>
      </c>
      <c r="F255" s="203" t="e">
        <f>+D255-E255</f>
        <v>#REF!</v>
      </c>
      <c r="G255" s="183" t="s">
        <v>528</v>
      </c>
      <c r="H255" s="204">
        <v>409000</v>
      </c>
    </row>
    <row r="256" spans="1:8" s="139" customFormat="1" ht="15" hidden="1">
      <c r="A256" s="139">
        <v>254</v>
      </c>
      <c r="B256" s="139" t="s">
        <v>408</v>
      </c>
      <c r="C256" s="139" t="s">
        <v>169</v>
      </c>
      <c r="D256" s="199">
        <v>9569000</v>
      </c>
      <c r="E256" s="199" t="e">
        <f>VLOOKUP(B256,#REF!,151,0)</f>
        <v>#REF!</v>
      </c>
      <c r="F256" s="199" t="e">
        <f t="shared" si="12"/>
        <v>#REF!</v>
      </c>
      <c r="G256" s="139" t="s">
        <v>528</v>
      </c>
      <c r="H256" s="182">
        <v>409000</v>
      </c>
    </row>
    <row r="257" spans="1:9" s="139" customFormat="1" ht="15" hidden="1">
      <c r="A257" s="139">
        <v>255</v>
      </c>
      <c r="B257" s="139" t="s">
        <v>107</v>
      </c>
      <c r="C257" s="139" t="s">
        <v>169</v>
      </c>
      <c r="D257" s="199">
        <v>0</v>
      </c>
      <c r="E257" s="199" t="e">
        <f>VLOOKUP(B257,#REF!,151,0)</f>
        <v>#REF!</v>
      </c>
      <c r="F257" s="199" t="e">
        <f t="shared" si="12"/>
        <v>#REF!</v>
      </c>
      <c r="G257" s="139" t="s">
        <v>528</v>
      </c>
      <c r="H257" s="182"/>
    </row>
    <row r="258" spans="1:9" s="139" customFormat="1" ht="15" hidden="1">
      <c r="A258" s="139">
        <v>256</v>
      </c>
      <c r="B258" s="139" t="s">
        <v>659</v>
      </c>
      <c r="C258" s="139" t="s">
        <v>169</v>
      </c>
      <c r="D258" s="199">
        <v>10136000</v>
      </c>
      <c r="E258" s="199" t="e">
        <f>VLOOKUP(B258,#REF!,151,0)</f>
        <v>#REF!</v>
      </c>
      <c r="F258" s="199" t="e">
        <f t="shared" si="12"/>
        <v>#REF!</v>
      </c>
      <c r="G258" s="139" t="s">
        <v>528</v>
      </c>
      <c r="H258" s="182"/>
    </row>
    <row r="259" spans="1:9" ht="15">
      <c r="A259" s="183">
        <v>257</v>
      </c>
      <c r="B259" s="207" t="s">
        <v>298</v>
      </c>
      <c r="C259" s="183" t="s">
        <v>169</v>
      </c>
      <c r="D259" s="203">
        <v>9661000</v>
      </c>
      <c r="E259" s="203" t="e">
        <f>VLOOKUP(B259,#REF!,151,0)</f>
        <v>#REF!</v>
      </c>
      <c r="F259" s="203" t="e">
        <f t="shared" si="12"/>
        <v>#REF!</v>
      </c>
      <c r="G259" s="183" t="s">
        <v>528</v>
      </c>
      <c r="H259" s="204">
        <v>409000</v>
      </c>
    </row>
    <row r="260" spans="1:9" s="139" customFormat="1" ht="15" hidden="1">
      <c r="A260" s="139">
        <v>258</v>
      </c>
      <c r="B260" s="139" t="s">
        <v>120</v>
      </c>
      <c r="C260" s="139" t="s">
        <v>169</v>
      </c>
      <c r="D260" s="199">
        <v>9661000</v>
      </c>
      <c r="E260" s="199" t="e">
        <f>VLOOKUP(B260,#REF!,151,0)</f>
        <v>#REF!</v>
      </c>
      <c r="F260" s="199" t="e">
        <f t="shared" si="12"/>
        <v>#REF!</v>
      </c>
      <c r="G260" s="139" t="s">
        <v>528</v>
      </c>
      <c r="H260" s="182">
        <v>409000</v>
      </c>
    </row>
    <row r="261" spans="1:9" s="139" customFormat="1" ht="15" hidden="1">
      <c r="A261" s="139">
        <v>259</v>
      </c>
      <c r="B261" s="139" t="s">
        <v>661</v>
      </c>
      <c r="C261" s="139" t="s">
        <v>169</v>
      </c>
      <c r="D261" s="199">
        <v>11923000</v>
      </c>
      <c r="E261" s="199" t="e">
        <f>VLOOKUP(B261,#REF!,151,0)</f>
        <v>#REF!</v>
      </c>
      <c r="F261" s="199" t="e">
        <f t="shared" si="12"/>
        <v>#REF!</v>
      </c>
      <c r="G261" s="139" t="s">
        <v>528</v>
      </c>
      <c r="H261" s="182"/>
    </row>
    <row r="262" spans="1:9" s="139" customFormat="1" ht="15" hidden="1">
      <c r="A262" s="139">
        <v>260</v>
      </c>
      <c r="B262" s="139" t="s">
        <v>123</v>
      </c>
      <c r="C262" s="139" t="s">
        <v>169</v>
      </c>
      <c r="D262" s="199">
        <v>11628000</v>
      </c>
      <c r="E262" s="199" t="e">
        <f>VLOOKUP(B262,#REF!,151,0)</f>
        <v>#REF!</v>
      </c>
      <c r="F262" s="199" t="e">
        <f t="shared" si="12"/>
        <v>#REF!</v>
      </c>
      <c r="G262" s="139" t="s">
        <v>528</v>
      </c>
      <c r="H262" s="182">
        <v>409000</v>
      </c>
    </row>
    <row r="263" spans="1:9">
      <c r="A263" s="183">
        <v>261</v>
      </c>
      <c r="B263" s="183" t="s">
        <v>122</v>
      </c>
      <c r="C263" s="183" t="s">
        <v>169</v>
      </c>
      <c r="D263" s="203">
        <v>12538000</v>
      </c>
      <c r="E263" s="203" t="e">
        <f>VLOOKUP(B263,#REF!,151,0)</f>
        <v>#REF!</v>
      </c>
      <c r="F263" s="203" t="e">
        <f t="shared" si="12"/>
        <v>#REF!</v>
      </c>
      <c r="G263" s="183" t="s">
        <v>528</v>
      </c>
      <c r="H263" s="204">
        <v>409000</v>
      </c>
    </row>
    <row r="264" spans="1:9" s="200" customFormat="1" ht="15" hidden="1">
      <c r="A264" s="200">
        <v>262</v>
      </c>
      <c r="B264" s="200" t="s">
        <v>288</v>
      </c>
      <c r="C264" s="200" t="s">
        <v>169</v>
      </c>
      <c r="D264" s="201">
        <v>12538000</v>
      </c>
      <c r="E264" s="201" t="e">
        <f>VLOOKUP(B264,#REF!,151,0)</f>
        <v>#REF!</v>
      </c>
      <c r="F264" s="201" t="e">
        <f t="shared" si="12"/>
        <v>#REF!</v>
      </c>
      <c r="G264" s="200" t="s">
        <v>528</v>
      </c>
      <c r="H264" s="202">
        <v>409000</v>
      </c>
      <c r="I264" s="200" t="s">
        <v>725</v>
      </c>
    </row>
    <row r="265" spans="1:9">
      <c r="A265" s="183">
        <v>263</v>
      </c>
      <c r="B265" s="183" t="s">
        <v>206</v>
      </c>
      <c r="C265" s="183" t="s">
        <v>169</v>
      </c>
      <c r="D265" s="203">
        <v>11170000</v>
      </c>
      <c r="E265" s="203" t="e">
        <f>VLOOKUP(B265,#REF!,151,0)</f>
        <v>#REF!</v>
      </c>
      <c r="F265" s="203" t="e">
        <f t="shared" si="12"/>
        <v>#REF!</v>
      </c>
      <c r="G265" s="183" t="s">
        <v>528</v>
      </c>
      <c r="H265" s="204">
        <v>409000</v>
      </c>
    </row>
    <row r="266" spans="1:9">
      <c r="A266" s="183">
        <v>264</v>
      </c>
      <c r="B266" s="183" t="s">
        <v>664</v>
      </c>
      <c r="C266" s="183" t="s">
        <v>169</v>
      </c>
      <c r="D266" s="203">
        <v>10061000</v>
      </c>
      <c r="E266" s="203" t="e">
        <f>VLOOKUP(B266,#REF!,151,0)</f>
        <v>#REF!</v>
      </c>
      <c r="F266" s="203" t="e">
        <f t="shared" si="12"/>
        <v>#REF!</v>
      </c>
      <c r="G266" s="183" t="s">
        <v>528</v>
      </c>
      <c r="H266" s="204">
        <v>409000</v>
      </c>
    </row>
    <row r="267" spans="1:9" s="200" customFormat="1" ht="15" hidden="1">
      <c r="A267" s="200">
        <v>265</v>
      </c>
      <c r="B267" s="200" t="s">
        <v>198</v>
      </c>
      <c r="C267" s="200" t="s">
        <v>169</v>
      </c>
      <c r="D267" s="201">
        <v>9541000</v>
      </c>
      <c r="E267" s="201" t="e">
        <f>VLOOKUP(B267,#REF!,151,0)</f>
        <v>#REF!</v>
      </c>
      <c r="F267" s="201" t="e">
        <f t="shared" si="12"/>
        <v>#REF!</v>
      </c>
      <c r="G267" s="200" t="s">
        <v>528</v>
      </c>
      <c r="H267" s="202"/>
      <c r="I267" s="200" t="s">
        <v>726</v>
      </c>
    </row>
    <row r="268" spans="1:9" s="139" customFormat="1" ht="15" hidden="1">
      <c r="A268" s="139">
        <v>266</v>
      </c>
      <c r="B268" s="139" t="s">
        <v>139</v>
      </c>
      <c r="C268" s="139" t="s">
        <v>169</v>
      </c>
      <c r="D268" s="199">
        <v>7509000</v>
      </c>
      <c r="E268" s="199" t="e">
        <f>VLOOKUP(B268,#REF!,151,0)</f>
        <v>#REF!</v>
      </c>
      <c r="F268" s="199" t="e">
        <f t="shared" si="12"/>
        <v>#REF!</v>
      </c>
      <c r="G268" s="139" t="s">
        <v>528</v>
      </c>
      <c r="H268" s="182">
        <v>409000</v>
      </c>
    </row>
    <row r="269" spans="1:9" s="139" customFormat="1" ht="15" hidden="1">
      <c r="A269" s="139">
        <v>267</v>
      </c>
      <c r="B269" s="139" t="s">
        <v>665</v>
      </c>
      <c r="C269" s="139" t="s">
        <v>169</v>
      </c>
      <c r="D269" s="199">
        <v>8754000</v>
      </c>
      <c r="E269" s="199" t="e">
        <f>VLOOKUP(B269,#REF!,151,0)</f>
        <v>#REF!</v>
      </c>
      <c r="F269" s="199" t="e">
        <f t="shared" si="12"/>
        <v>#REF!</v>
      </c>
      <c r="G269" s="139" t="s">
        <v>528</v>
      </c>
      <c r="H269" s="182"/>
    </row>
    <row r="270" spans="1:9" s="139" customFormat="1" ht="15" hidden="1">
      <c r="A270" s="139">
        <v>268</v>
      </c>
      <c r="B270" s="139" t="s">
        <v>202</v>
      </c>
      <c r="C270" s="139" t="s">
        <v>169</v>
      </c>
      <c r="D270" s="199">
        <v>8929000</v>
      </c>
      <c r="E270" s="199" t="e">
        <f>VLOOKUP(B270,#REF!,151,0)</f>
        <v>#REF!</v>
      </c>
      <c r="F270" s="199" t="e">
        <f t="shared" si="12"/>
        <v>#REF!</v>
      </c>
      <c r="G270" s="139" t="s">
        <v>528</v>
      </c>
      <c r="H270" s="182">
        <v>409000</v>
      </c>
    </row>
    <row r="271" spans="1:9" s="139" customFormat="1" ht="15" hidden="1">
      <c r="A271" s="139">
        <v>269</v>
      </c>
      <c r="B271" s="139" t="s">
        <v>201</v>
      </c>
      <c r="C271" s="139" t="s">
        <v>169</v>
      </c>
      <c r="D271" s="199">
        <v>11405000</v>
      </c>
      <c r="E271" s="199" t="e">
        <f>VLOOKUP(B271,#REF!,151,0)</f>
        <v>#REF!</v>
      </c>
      <c r="F271" s="199" t="e">
        <f t="shared" si="12"/>
        <v>#REF!</v>
      </c>
      <c r="G271" s="139" t="s">
        <v>528</v>
      </c>
      <c r="H271" s="182">
        <v>409000</v>
      </c>
    </row>
    <row r="272" spans="1:9" s="139" customFormat="1" ht="15" hidden="1">
      <c r="A272" s="139">
        <v>270</v>
      </c>
      <c r="B272" s="139" t="s">
        <v>203</v>
      </c>
      <c r="C272" s="139" t="s">
        <v>169</v>
      </c>
      <c r="D272" s="199">
        <v>7845000</v>
      </c>
      <c r="E272" s="199" t="e">
        <f>VLOOKUP(B272,#REF!,151,0)</f>
        <v>#REF!</v>
      </c>
      <c r="F272" s="199" t="e">
        <f t="shared" si="12"/>
        <v>#REF!</v>
      </c>
      <c r="G272" s="139" t="s">
        <v>528</v>
      </c>
      <c r="H272" s="182">
        <v>409000</v>
      </c>
    </row>
    <row r="273" spans="1:8">
      <c r="A273" s="183">
        <v>271</v>
      </c>
      <c r="B273" s="183" t="s">
        <v>183</v>
      </c>
      <c r="C273" s="183" t="s">
        <v>169</v>
      </c>
      <c r="D273" s="203">
        <v>9596000</v>
      </c>
      <c r="E273" s="203" t="e">
        <f>VLOOKUP(B273,#REF!,151,0)</f>
        <v>#REF!</v>
      </c>
      <c r="F273" s="203" t="e">
        <f t="shared" si="12"/>
        <v>#REF!</v>
      </c>
      <c r="G273" s="183" t="s">
        <v>528</v>
      </c>
      <c r="H273" s="204">
        <v>409000</v>
      </c>
    </row>
    <row r="274" spans="1:8" s="139" customFormat="1" ht="15" hidden="1">
      <c r="A274" s="139">
        <v>272</v>
      </c>
      <c r="B274" s="139" t="s">
        <v>667</v>
      </c>
      <c r="C274" s="139" t="s">
        <v>169</v>
      </c>
      <c r="D274" s="199">
        <v>10170000</v>
      </c>
      <c r="E274" s="199" t="e">
        <f>VLOOKUP(B274,#REF!,151,0)</f>
        <v>#REF!</v>
      </c>
      <c r="F274" s="199" t="e">
        <f t="shared" si="12"/>
        <v>#REF!</v>
      </c>
      <c r="G274" s="139" t="s">
        <v>528</v>
      </c>
      <c r="H274" s="182">
        <v>409000</v>
      </c>
    </row>
    <row r="275" spans="1:8" s="139" customFormat="1" ht="15" hidden="1">
      <c r="A275" s="139">
        <v>273</v>
      </c>
      <c r="B275" s="139" t="s">
        <v>668</v>
      </c>
      <c r="C275" s="139" t="s">
        <v>169</v>
      </c>
      <c r="D275" s="199">
        <v>-40000</v>
      </c>
      <c r="E275" s="199" t="e">
        <f>VLOOKUP(B275,#REF!,151,0)</f>
        <v>#REF!</v>
      </c>
      <c r="F275" s="199" t="e">
        <f t="shared" si="12"/>
        <v>#REF!</v>
      </c>
      <c r="G275" s="139" t="s">
        <v>528</v>
      </c>
      <c r="H275" s="182"/>
    </row>
    <row r="276" spans="1:8" s="139" customFormat="1" ht="15" hidden="1">
      <c r="A276" s="139">
        <v>274</v>
      </c>
      <c r="B276" s="139" t="s">
        <v>117</v>
      </c>
      <c r="C276" s="139" t="s">
        <v>169</v>
      </c>
      <c r="D276" s="199">
        <v>11831000</v>
      </c>
      <c r="E276" s="199" t="e">
        <f>VLOOKUP(B276,#REF!,151,0)</f>
        <v>#REF!</v>
      </c>
      <c r="F276" s="199" t="e">
        <f t="shared" si="12"/>
        <v>#REF!</v>
      </c>
      <c r="G276" s="139" t="s">
        <v>528</v>
      </c>
      <c r="H276" s="182">
        <v>429000</v>
      </c>
    </row>
    <row r="277" spans="1:8" s="139" customFormat="1" ht="15" hidden="1">
      <c r="A277" s="139">
        <v>275</v>
      </c>
      <c r="B277" s="139" t="s">
        <v>447</v>
      </c>
      <c r="C277" s="139" t="s">
        <v>169</v>
      </c>
      <c r="D277" s="199">
        <v>7770000</v>
      </c>
      <c r="E277" s="199" t="e">
        <f>VLOOKUP(B277,#REF!,151,0)</f>
        <v>#REF!</v>
      </c>
      <c r="F277" s="199" t="e">
        <f t="shared" si="12"/>
        <v>#REF!</v>
      </c>
      <c r="G277" s="139" t="s">
        <v>528</v>
      </c>
      <c r="H277" s="182">
        <v>409000</v>
      </c>
    </row>
    <row r="278" spans="1:8" s="139" customFormat="1" ht="15" hidden="1">
      <c r="A278" s="139">
        <v>276</v>
      </c>
      <c r="B278" s="139" t="s">
        <v>669</v>
      </c>
      <c r="C278" s="139" t="s">
        <v>169</v>
      </c>
      <c r="D278" s="199">
        <v>8685000</v>
      </c>
      <c r="E278" s="199" t="e">
        <f>VLOOKUP(B278,#REF!,151,0)</f>
        <v>#REF!</v>
      </c>
      <c r="F278" s="199" t="e">
        <f t="shared" si="12"/>
        <v>#REF!</v>
      </c>
      <c r="G278" s="139" t="s">
        <v>528</v>
      </c>
      <c r="H278" s="182"/>
    </row>
    <row r="279" spans="1:8" s="139" customFormat="1" ht="15" hidden="1">
      <c r="A279" s="139">
        <v>277</v>
      </c>
      <c r="B279" s="139" t="s">
        <v>466</v>
      </c>
      <c r="C279" s="139" t="s">
        <v>169</v>
      </c>
      <c r="D279" s="199">
        <v>807000</v>
      </c>
      <c r="E279" s="199" t="e">
        <f>VLOOKUP(B279,#REF!,151,0)</f>
        <v>#REF!</v>
      </c>
      <c r="F279" s="199" t="e">
        <f t="shared" si="12"/>
        <v>#REF!</v>
      </c>
      <c r="G279" s="139" t="s">
        <v>528</v>
      </c>
      <c r="H279" s="182"/>
    </row>
    <row r="280" spans="1:8" s="139" customFormat="1" ht="15" hidden="1">
      <c r="A280" s="139">
        <v>278</v>
      </c>
      <c r="B280" s="139" t="s">
        <v>339</v>
      </c>
      <c r="C280" s="139" t="s">
        <v>169</v>
      </c>
      <c r="D280" s="199">
        <v>7016000</v>
      </c>
      <c r="E280" s="199" t="e">
        <f>VLOOKUP(B280,#REF!,151,0)</f>
        <v>#REF!</v>
      </c>
      <c r="F280" s="199" t="e">
        <f t="shared" si="12"/>
        <v>#REF!</v>
      </c>
      <c r="G280" s="139" t="s">
        <v>528</v>
      </c>
      <c r="H280" s="182">
        <v>409000</v>
      </c>
    </row>
    <row r="281" spans="1:8" s="139" customFormat="1" ht="15" hidden="1">
      <c r="A281" s="139">
        <v>279</v>
      </c>
      <c r="B281" s="139" t="s">
        <v>403</v>
      </c>
      <c r="C281" s="139" t="s">
        <v>169</v>
      </c>
      <c r="D281" s="199">
        <v>7277000</v>
      </c>
      <c r="E281" s="199" t="e">
        <f>VLOOKUP(B281,#REF!,151,0)</f>
        <v>#REF!</v>
      </c>
      <c r="F281" s="199" t="e">
        <f t="shared" si="12"/>
        <v>#REF!</v>
      </c>
      <c r="G281" s="139" t="s">
        <v>528</v>
      </c>
      <c r="H281" s="182">
        <v>409000</v>
      </c>
    </row>
    <row r="282" spans="1:8" s="139" customFormat="1" ht="15" hidden="1">
      <c r="A282" s="139">
        <v>280</v>
      </c>
      <c r="B282" s="139" t="s">
        <v>402</v>
      </c>
      <c r="C282" s="139" t="s">
        <v>169</v>
      </c>
      <c r="D282" s="199">
        <v>6079000</v>
      </c>
      <c r="E282" s="199" t="e">
        <f>VLOOKUP(B282,#REF!,151,0)</f>
        <v>#REF!</v>
      </c>
      <c r="F282" s="199" t="e">
        <f t="shared" si="12"/>
        <v>#REF!</v>
      </c>
      <c r="G282" s="139" t="s">
        <v>528</v>
      </c>
      <c r="H282" s="182">
        <v>409000</v>
      </c>
    </row>
    <row r="283" spans="1:8" s="139" customFormat="1" ht="15" hidden="1">
      <c r="A283" s="139">
        <v>281</v>
      </c>
      <c r="B283" s="139" t="s">
        <v>431</v>
      </c>
      <c r="C283" s="139" t="s">
        <v>169</v>
      </c>
      <c r="D283" s="199">
        <v>8192000</v>
      </c>
      <c r="E283" s="199" t="e">
        <f>VLOOKUP(B283,#REF!,151,0)</f>
        <v>#REF!</v>
      </c>
      <c r="F283" s="199" t="e">
        <f t="shared" si="12"/>
        <v>#REF!</v>
      </c>
      <c r="G283" s="139" t="s">
        <v>528</v>
      </c>
      <c r="H283" s="182">
        <v>409000</v>
      </c>
    </row>
    <row r="284" spans="1:8" s="139" customFormat="1" ht="15" hidden="1">
      <c r="A284" s="139">
        <v>282</v>
      </c>
      <c r="B284" s="139" t="s">
        <v>670</v>
      </c>
      <c r="C284" s="139" t="s">
        <v>169</v>
      </c>
      <c r="D284" s="199">
        <v>8164000</v>
      </c>
      <c r="E284" s="199" t="e">
        <f>VLOOKUP(B284,#REF!,151,0)</f>
        <v>#REF!</v>
      </c>
      <c r="F284" s="199" t="e">
        <f t="shared" si="12"/>
        <v>#REF!</v>
      </c>
      <c r="G284" s="139" t="s">
        <v>528</v>
      </c>
      <c r="H284" s="182"/>
    </row>
    <row r="285" spans="1:8" s="139" customFormat="1" ht="15" hidden="1">
      <c r="A285" s="139">
        <v>283</v>
      </c>
      <c r="B285" s="139" t="s">
        <v>430</v>
      </c>
      <c r="C285" s="139" t="s">
        <v>169</v>
      </c>
      <c r="D285" s="199">
        <v>8647000</v>
      </c>
      <c r="E285" s="199" t="e">
        <f>VLOOKUP(B285,#REF!,151,0)</f>
        <v>#REF!</v>
      </c>
      <c r="F285" s="199" t="e">
        <f t="shared" si="12"/>
        <v>#REF!</v>
      </c>
      <c r="G285" s="139" t="s">
        <v>528</v>
      </c>
      <c r="H285" s="182">
        <v>409000</v>
      </c>
    </row>
    <row r="286" spans="1:8">
      <c r="A286" s="183">
        <v>284</v>
      </c>
      <c r="B286" s="183" t="s">
        <v>671</v>
      </c>
      <c r="C286" s="183" t="s">
        <v>169</v>
      </c>
      <c r="D286" s="203">
        <v>10051000</v>
      </c>
      <c r="E286" s="203" t="e">
        <f>VLOOKUP(B286,#REF!,151,0)</f>
        <v>#REF!</v>
      </c>
      <c r="F286" s="203" t="e">
        <f t="shared" si="12"/>
        <v>#REF!</v>
      </c>
      <c r="G286" s="183" t="s">
        <v>528</v>
      </c>
      <c r="H286" s="204">
        <v>409000</v>
      </c>
    </row>
    <row r="287" spans="1:8" s="139" customFormat="1" ht="15" hidden="1">
      <c r="A287" s="139">
        <v>285</v>
      </c>
      <c r="B287" s="139" t="s">
        <v>338</v>
      </c>
      <c r="C287" s="139" t="s">
        <v>169</v>
      </c>
      <c r="D287" s="199">
        <v>10660000</v>
      </c>
      <c r="E287" s="199" t="e">
        <f>VLOOKUP(B287,#REF!,151,0)</f>
        <v>#REF!</v>
      </c>
      <c r="F287" s="199" t="e">
        <f t="shared" si="12"/>
        <v>#REF!</v>
      </c>
      <c r="G287" s="139" t="s">
        <v>528</v>
      </c>
      <c r="H287" s="182">
        <v>409000</v>
      </c>
    </row>
    <row r="288" spans="1:8" s="139" customFormat="1" ht="15" hidden="1">
      <c r="A288" s="139">
        <v>286</v>
      </c>
      <c r="B288" s="139" t="s">
        <v>404</v>
      </c>
      <c r="C288" s="139" t="s">
        <v>169</v>
      </c>
      <c r="D288" s="199">
        <v>10444000</v>
      </c>
      <c r="E288" s="199" t="e">
        <f>VLOOKUP(B288,#REF!,151,0)</f>
        <v>#REF!</v>
      </c>
      <c r="F288" s="199" t="e">
        <f t="shared" si="12"/>
        <v>#REF!</v>
      </c>
      <c r="G288" s="139" t="s">
        <v>528</v>
      </c>
      <c r="H288" s="182">
        <v>409000</v>
      </c>
    </row>
    <row r="289" spans="1:8" s="139" customFormat="1" ht="15" hidden="1">
      <c r="A289" s="139">
        <v>287</v>
      </c>
      <c r="B289" s="139" t="s">
        <v>407</v>
      </c>
      <c r="C289" s="139" t="s">
        <v>169</v>
      </c>
      <c r="D289" s="199">
        <v>10015000</v>
      </c>
      <c r="E289" s="199" t="e">
        <f>VLOOKUP(B289,#REF!,151,0)</f>
        <v>#REF!</v>
      </c>
      <c r="F289" s="199" t="e">
        <f t="shared" si="12"/>
        <v>#REF!</v>
      </c>
      <c r="G289" s="139" t="s">
        <v>528</v>
      </c>
      <c r="H289" s="182">
        <v>409000</v>
      </c>
    </row>
    <row r="290" spans="1:8" s="139" customFormat="1" ht="15" hidden="1">
      <c r="A290" s="139">
        <v>288</v>
      </c>
      <c r="B290" s="139" t="s">
        <v>672</v>
      </c>
      <c r="C290" s="139" t="s">
        <v>169</v>
      </c>
      <c r="D290" s="199">
        <v>6261000</v>
      </c>
      <c r="E290" s="199" t="e">
        <f>VLOOKUP(B290,#REF!,151,0)</f>
        <v>#REF!</v>
      </c>
      <c r="F290" s="199" t="e">
        <f t="shared" si="12"/>
        <v>#REF!</v>
      </c>
      <c r="G290" s="139" t="s">
        <v>528</v>
      </c>
      <c r="H290" s="182">
        <v>409000</v>
      </c>
    </row>
    <row r="291" spans="1:8" s="139" customFormat="1" ht="15" hidden="1">
      <c r="A291" s="139">
        <v>289</v>
      </c>
      <c r="B291" s="139" t="s">
        <v>673</v>
      </c>
      <c r="C291" s="139" t="s">
        <v>169</v>
      </c>
      <c r="D291" s="199">
        <v>6780000</v>
      </c>
      <c r="E291" s="199" t="e">
        <f>VLOOKUP(B291,#REF!,151,0)</f>
        <v>#REF!</v>
      </c>
      <c r="F291" s="199" t="e">
        <f t="shared" si="12"/>
        <v>#REF!</v>
      </c>
      <c r="G291" s="139" t="s">
        <v>528</v>
      </c>
      <c r="H291" s="182">
        <v>409000</v>
      </c>
    </row>
    <row r="292" spans="1:8" s="139" customFormat="1" ht="15" hidden="1">
      <c r="A292" s="139">
        <v>290</v>
      </c>
      <c r="B292" s="139" t="s">
        <v>429</v>
      </c>
      <c r="C292" s="139" t="s">
        <v>169</v>
      </c>
      <c r="D292" s="199">
        <v>9424000</v>
      </c>
      <c r="E292" s="199" t="e">
        <f>VLOOKUP(B292,#REF!,151,0)</f>
        <v>#REF!</v>
      </c>
      <c r="F292" s="199" t="e">
        <f t="shared" si="12"/>
        <v>#REF!</v>
      </c>
      <c r="G292" s="139" t="s">
        <v>528</v>
      </c>
      <c r="H292" s="182">
        <v>409000</v>
      </c>
    </row>
    <row r="293" spans="1:8" s="139" customFormat="1" ht="15" hidden="1">
      <c r="A293" s="139">
        <v>291</v>
      </c>
      <c r="B293" s="139" t="s">
        <v>674</v>
      </c>
      <c r="C293" s="139" t="s">
        <v>169</v>
      </c>
      <c r="D293" s="199">
        <v>9900000</v>
      </c>
      <c r="E293" s="199" t="e">
        <f>VLOOKUP(B293,#REF!,151,0)</f>
        <v>#REF!</v>
      </c>
      <c r="F293" s="199" t="e">
        <f t="shared" ref="F293:F306" si="13">+D293-E293</f>
        <v>#REF!</v>
      </c>
      <c r="G293" s="139" t="s">
        <v>528</v>
      </c>
      <c r="H293" s="182"/>
    </row>
    <row r="294" spans="1:8" s="139" customFormat="1" ht="15" hidden="1">
      <c r="A294" s="139">
        <v>292</v>
      </c>
      <c r="B294" s="139" t="s">
        <v>675</v>
      </c>
      <c r="C294" s="139" t="s">
        <v>169</v>
      </c>
      <c r="D294" s="199">
        <v>8410000</v>
      </c>
      <c r="E294" s="199" t="e">
        <f>VLOOKUP(B294,#REF!,151,0)</f>
        <v>#REF!</v>
      </c>
      <c r="F294" s="199" t="e">
        <f t="shared" si="13"/>
        <v>#REF!</v>
      </c>
      <c r="G294" s="139" t="s">
        <v>528</v>
      </c>
      <c r="H294" s="182"/>
    </row>
    <row r="295" spans="1:8" s="139" customFormat="1" ht="15" hidden="1">
      <c r="A295" s="139">
        <v>293</v>
      </c>
      <c r="B295" s="139" t="s">
        <v>448</v>
      </c>
      <c r="C295" s="139" t="s">
        <v>169</v>
      </c>
      <c r="D295" s="199">
        <v>8846000</v>
      </c>
      <c r="E295" s="199" t="e">
        <f>VLOOKUP(B295,#REF!,151,0)</f>
        <v>#REF!</v>
      </c>
      <c r="F295" s="199" t="e">
        <f t="shared" si="13"/>
        <v>#REF!</v>
      </c>
      <c r="G295" s="139" t="s">
        <v>528</v>
      </c>
      <c r="H295" s="182">
        <v>409000</v>
      </c>
    </row>
    <row r="296" spans="1:8" s="139" customFormat="1" ht="15" hidden="1">
      <c r="A296" s="139">
        <v>294</v>
      </c>
      <c r="B296" s="139" t="s">
        <v>464</v>
      </c>
      <c r="C296" s="139" t="s">
        <v>169</v>
      </c>
      <c r="D296" s="199">
        <v>8192000</v>
      </c>
      <c r="E296" s="199" t="e">
        <f>VLOOKUP(B296,#REF!,151,0)</f>
        <v>#REF!</v>
      </c>
      <c r="F296" s="199" t="e">
        <f t="shared" si="13"/>
        <v>#REF!</v>
      </c>
      <c r="G296" s="139" t="s">
        <v>528</v>
      </c>
      <c r="H296" s="182">
        <v>409000</v>
      </c>
    </row>
    <row r="297" spans="1:8" s="139" customFormat="1" ht="15" hidden="1">
      <c r="A297" s="139">
        <v>295</v>
      </c>
      <c r="B297" s="139" t="s">
        <v>116</v>
      </c>
      <c r="C297" s="139" t="s">
        <v>169</v>
      </c>
      <c r="D297" s="199">
        <v>8950000</v>
      </c>
      <c r="E297" s="199" t="e">
        <f>VLOOKUP(B297,#REF!,151,0)</f>
        <v>#REF!</v>
      </c>
      <c r="F297" s="199" t="e">
        <f t="shared" si="13"/>
        <v>#REF!</v>
      </c>
      <c r="G297" s="139" t="s">
        <v>528</v>
      </c>
      <c r="H297" s="182">
        <v>429000</v>
      </c>
    </row>
    <row r="298" spans="1:8" s="139" customFormat="1" ht="15" hidden="1">
      <c r="A298" s="139">
        <v>296</v>
      </c>
      <c r="B298" s="139" t="s">
        <v>445</v>
      </c>
      <c r="C298" s="139" t="s">
        <v>169</v>
      </c>
      <c r="D298" s="199">
        <v>8929000</v>
      </c>
      <c r="E298" s="199" t="e">
        <f>VLOOKUP(B298,#REF!,151,0)</f>
        <v>#REF!</v>
      </c>
      <c r="F298" s="199" t="e">
        <f t="shared" si="13"/>
        <v>#REF!</v>
      </c>
      <c r="G298" s="139" t="s">
        <v>528</v>
      </c>
      <c r="H298" s="182">
        <v>409000</v>
      </c>
    </row>
    <row r="299" spans="1:8" s="139" customFormat="1" ht="15" hidden="1">
      <c r="A299" s="139">
        <v>297</v>
      </c>
      <c r="B299" s="139" t="s">
        <v>410</v>
      </c>
      <c r="C299" s="139" t="s">
        <v>169</v>
      </c>
      <c r="D299" s="199">
        <v>6606000</v>
      </c>
      <c r="E299" s="199" t="e">
        <f>VLOOKUP(B299,#REF!,151,0)</f>
        <v>#REF!</v>
      </c>
      <c r="F299" s="199" t="e">
        <f t="shared" si="13"/>
        <v>#REF!</v>
      </c>
      <c r="G299" s="139" t="s">
        <v>528</v>
      </c>
      <c r="H299" s="182">
        <v>409000</v>
      </c>
    </row>
    <row r="300" spans="1:8" s="139" customFormat="1" ht="15" hidden="1">
      <c r="A300" s="139">
        <v>298</v>
      </c>
      <c r="B300" s="139" t="s">
        <v>676</v>
      </c>
      <c r="C300" s="139" t="s">
        <v>169</v>
      </c>
      <c r="D300" s="199">
        <v>7294000</v>
      </c>
      <c r="E300" s="199" t="e">
        <f>VLOOKUP(B300,#REF!,151,0)</f>
        <v>#REF!</v>
      </c>
      <c r="F300" s="199" t="e">
        <f t="shared" si="13"/>
        <v>#REF!</v>
      </c>
      <c r="G300" s="139" t="s">
        <v>528</v>
      </c>
      <c r="H300" s="182"/>
    </row>
    <row r="301" spans="1:8" s="139" customFormat="1" ht="15" hidden="1">
      <c r="A301" s="139">
        <v>299</v>
      </c>
      <c r="B301" s="139" t="s">
        <v>406</v>
      </c>
      <c r="C301" s="139" t="s">
        <v>169</v>
      </c>
      <c r="D301" s="199">
        <v>9802000</v>
      </c>
      <c r="E301" s="199" t="e">
        <f>VLOOKUP(B301,#REF!,151,0)</f>
        <v>#REF!</v>
      </c>
      <c r="F301" s="199" t="e">
        <f t="shared" si="13"/>
        <v>#REF!</v>
      </c>
      <c r="G301" s="139" t="s">
        <v>528</v>
      </c>
      <c r="H301" s="182">
        <v>409000</v>
      </c>
    </row>
    <row r="302" spans="1:8" s="139" customFormat="1" ht="15" hidden="1">
      <c r="A302" s="139">
        <v>300</v>
      </c>
      <c r="B302" s="139" t="s">
        <v>405</v>
      </c>
      <c r="C302" s="139" t="s">
        <v>169</v>
      </c>
      <c r="D302" s="199">
        <v>9802000</v>
      </c>
      <c r="E302" s="199" t="e">
        <f>VLOOKUP(B302,#REF!,151,0)</f>
        <v>#REF!</v>
      </c>
      <c r="F302" s="199" t="e">
        <f t="shared" si="13"/>
        <v>#REF!</v>
      </c>
      <c r="G302" s="139" t="s">
        <v>528</v>
      </c>
      <c r="H302" s="182">
        <v>409000</v>
      </c>
    </row>
    <row r="303" spans="1:8" s="139" customFormat="1" ht="15" hidden="1">
      <c r="A303" s="139">
        <v>301</v>
      </c>
      <c r="B303" s="139" t="s">
        <v>446</v>
      </c>
      <c r="C303" s="139" t="s">
        <v>169</v>
      </c>
      <c r="D303" s="199">
        <v>9568000</v>
      </c>
      <c r="E303" s="199" t="e">
        <f>VLOOKUP(B303,#REF!,151,0)</f>
        <v>#REF!</v>
      </c>
      <c r="F303" s="199" t="e">
        <f t="shared" si="13"/>
        <v>#REF!</v>
      </c>
      <c r="G303" s="139" t="s">
        <v>528</v>
      </c>
      <c r="H303" s="182">
        <v>409000</v>
      </c>
    </row>
    <row r="304" spans="1:8" s="139" customFormat="1" ht="15" hidden="1">
      <c r="A304" s="139">
        <v>302</v>
      </c>
      <c r="B304" s="139" t="s">
        <v>677</v>
      </c>
      <c r="C304" s="139" t="s">
        <v>169</v>
      </c>
      <c r="D304" s="199">
        <v>10011000</v>
      </c>
      <c r="E304" s="199" t="e">
        <f>VLOOKUP(B304,#REF!,151,0)</f>
        <v>#REF!</v>
      </c>
      <c r="F304" s="199" t="e">
        <f t="shared" si="13"/>
        <v>#REF!</v>
      </c>
      <c r="G304" s="139" t="s">
        <v>528</v>
      </c>
      <c r="H304" s="182"/>
    </row>
    <row r="305" spans="1:8" s="139" customFormat="1" ht="15" hidden="1">
      <c r="A305" s="139">
        <v>303</v>
      </c>
      <c r="B305" s="139" t="s">
        <v>450</v>
      </c>
      <c r="C305" s="139" t="s">
        <v>169</v>
      </c>
      <c r="D305" s="199">
        <v>9727000</v>
      </c>
      <c r="E305" s="199" t="e">
        <f>VLOOKUP(B305,#REF!,151,0)</f>
        <v>#REF!</v>
      </c>
      <c r="F305" s="199" t="e">
        <f t="shared" si="13"/>
        <v>#REF!</v>
      </c>
      <c r="G305" s="139" t="s">
        <v>528</v>
      </c>
      <c r="H305" s="182">
        <v>409000</v>
      </c>
    </row>
    <row r="306" spans="1:8" s="139" customFormat="1" ht="15" hidden="1">
      <c r="A306" s="139">
        <v>304</v>
      </c>
      <c r="B306" s="139" t="s">
        <v>678</v>
      </c>
      <c r="C306" s="139" t="s">
        <v>169</v>
      </c>
      <c r="D306" s="199">
        <v>12260000</v>
      </c>
      <c r="E306" s="199" t="e">
        <f>VLOOKUP(B306,#REF!,151,0)</f>
        <v>#REF!</v>
      </c>
      <c r="F306" s="199" t="e">
        <f t="shared" si="13"/>
        <v>#REF!</v>
      </c>
      <c r="G306" s="139" t="s">
        <v>528</v>
      </c>
      <c r="H306" s="182"/>
    </row>
    <row r="307" spans="1:8" s="139" customFormat="1" ht="15" hidden="1">
      <c r="A307" s="139">
        <v>305</v>
      </c>
      <c r="B307" s="139" t="s">
        <v>124</v>
      </c>
      <c r="C307" s="139" t="s">
        <v>351</v>
      </c>
      <c r="D307" s="199">
        <v>10129000</v>
      </c>
      <c r="E307" s="199" t="e">
        <f>VLOOKUP(B307,#REF!,151,0)</f>
        <v>#REF!</v>
      </c>
      <c r="F307" s="199" t="e">
        <f t="shared" ref="F307:F312" si="14">+D307-E307</f>
        <v>#REF!</v>
      </c>
      <c r="G307" s="139" t="s">
        <v>528</v>
      </c>
      <c r="H307" s="182">
        <v>409000</v>
      </c>
    </row>
    <row r="308" spans="1:8" s="139" customFormat="1" ht="15" hidden="1">
      <c r="A308" s="139">
        <v>306</v>
      </c>
      <c r="B308" s="139" t="s">
        <v>679</v>
      </c>
      <c r="C308" s="139" t="s">
        <v>351</v>
      </c>
      <c r="D308" s="199">
        <v>10129000</v>
      </c>
      <c r="E308" s="199" t="e">
        <f>VLOOKUP(B308,#REF!,151,0)</f>
        <v>#REF!</v>
      </c>
      <c r="F308" s="199" t="e">
        <f t="shared" si="14"/>
        <v>#REF!</v>
      </c>
      <c r="G308" s="139" t="s">
        <v>528</v>
      </c>
      <c r="H308" s="182">
        <v>409000</v>
      </c>
    </row>
    <row r="309" spans="1:8" s="139" customFormat="1" ht="15" hidden="1">
      <c r="A309" s="139">
        <v>307</v>
      </c>
      <c r="B309" s="139" t="s">
        <v>275</v>
      </c>
      <c r="C309" s="139" t="s">
        <v>351</v>
      </c>
      <c r="D309" s="199">
        <v>8520000</v>
      </c>
      <c r="E309" s="199" t="e">
        <f>VLOOKUP(B309,#REF!,151,0)</f>
        <v>#REF!</v>
      </c>
      <c r="F309" s="199" t="e">
        <f t="shared" si="14"/>
        <v>#REF!</v>
      </c>
      <c r="G309" s="139" t="s">
        <v>528</v>
      </c>
      <c r="H309" s="182">
        <v>409000</v>
      </c>
    </row>
    <row r="310" spans="1:8" s="139" customFormat="1" ht="15" hidden="1">
      <c r="A310" s="139">
        <v>308</v>
      </c>
      <c r="B310" s="139" t="s">
        <v>274</v>
      </c>
      <c r="C310" s="139" t="s">
        <v>351</v>
      </c>
      <c r="D310" s="199">
        <v>8168000</v>
      </c>
      <c r="E310" s="199" t="e">
        <f>VLOOKUP(B310,#REF!,151,0)</f>
        <v>#REF!</v>
      </c>
      <c r="F310" s="199" t="e">
        <f t="shared" si="14"/>
        <v>#REF!</v>
      </c>
      <c r="G310" s="139" t="s">
        <v>528</v>
      </c>
      <c r="H310" s="182">
        <v>409000</v>
      </c>
    </row>
    <row r="311" spans="1:8" s="139" customFormat="1" ht="15" hidden="1">
      <c r="A311" s="139">
        <v>309</v>
      </c>
      <c r="B311" s="139" t="s">
        <v>680</v>
      </c>
      <c r="C311" s="139" t="s">
        <v>681</v>
      </c>
      <c r="D311" s="199">
        <v>16601000</v>
      </c>
      <c r="E311" s="199" t="e">
        <f>VLOOKUP(B311,#REF!,151,0)</f>
        <v>#REF!</v>
      </c>
      <c r="F311" s="199" t="e">
        <f t="shared" si="14"/>
        <v>#REF!</v>
      </c>
      <c r="G311" s="139" t="s">
        <v>528</v>
      </c>
      <c r="H311" s="182"/>
    </row>
    <row r="312" spans="1:8" s="139" customFormat="1" ht="15" hidden="1">
      <c r="A312" s="139">
        <v>310</v>
      </c>
      <c r="B312" s="139" t="s">
        <v>80</v>
      </c>
      <c r="C312" s="139" t="s">
        <v>681</v>
      </c>
      <c r="D312" s="199">
        <v>16848000</v>
      </c>
      <c r="E312" s="199" t="e">
        <f>VLOOKUP(B312,#REF!,151,0)</f>
        <v>#REF!</v>
      </c>
      <c r="F312" s="199" t="e">
        <f t="shared" si="14"/>
        <v>#REF!</v>
      </c>
      <c r="G312" s="139" t="s">
        <v>528</v>
      </c>
      <c r="H312" s="182">
        <v>409000</v>
      </c>
    </row>
    <row r="313" spans="1:8" s="139" customFormat="1" ht="15" hidden="1">
      <c r="A313" s="139">
        <v>311</v>
      </c>
      <c r="B313" s="139" t="s">
        <v>682</v>
      </c>
      <c r="C313" s="139" t="s">
        <v>28</v>
      </c>
      <c r="D313" s="199">
        <v>11176000</v>
      </c>
      <c r="E313" s="199" t="e">
        <f>VLOOKUP(B313,#REF!,151,0)</f>
        <v>#REF!</v>
      </c>
      <c r="F313" s="199" t="e">
        <f t="shared" ref="F313:F337" si="15">+D313-E313</f>
        <v>#REF!</v>
      </c>
      <c r="G313" s="139" t="s">
        <v>528</v>
      </c>
      <c r="H313" s="182"/>
    </row>
    <row r="314" spans="1:8" s="139" customFormat="1" ht="15" hidden="1">
      <c r="A314" s="139">
        <v>312</v>
      </c>
      <c r="B314" s="139" t="s">
        <v>683</v>
      </c>
      <c r="C314" s="139" t="s">
        <v>28</v>
      </c>
      <c r="D314" s="199">
        <v>10506000</v>
      </c>
      <c r="E314" s="199" t="e">
        <f>VLOOKUP(B314,#REF!,151,0)</f>
        <v>#REF!</v>
      </c>
      <c r="F314" s="199" t="e">
        <f t="shared" si="15"/>
        <v>#REF!</v>
      </c>
      <c r="G314" s="139" t="s">
        <v>528</v>
      </c>
      <c r="H314" s="182">
        <v>409000</v>
      </c>
    </row>
    <row r="315" spans="1:8" s="139" customFormat="1" ht="15" hidden="1">
      <c r="A315" s="139">
        <v>313</v>
      </c>
      <c r="B315" s="139" t="s">
        <v>684</v>
      </c>
      <c r="C315" s="139" t="s">
        <v>28</v>
      </c>
      <c r="D315" s="199">
        <v>8424000</v>
      </c>
      <c r="E315" s="199" t="e">
        <f>VLOOKUP(B315,#REF!,151,0)</f>
        <v>#REF!</v>
      </c>
      <c r="F315" s="199" t="e">
        <f t="shared" si="15"/>
        <v>#REF!</v>
      </c>
      <c r="G315" s="139" t="s">
        <v>528</v>
      </c>
      <c r="H315" s="182"/>
    </row>
    <row r="316" spans="1:8" s="139" customFormat="1" ht="15" hidden="1">
      <c r="A316" s="139">
        <v>314</v>
      </c>
      <c r="B316" s="139" t="s">
        <v>685</v>
      </c>
      <c r="C316" s="139" t="s">
        <v>28</v>
      </c>
      <c r="D316" s="199">
        <v>8013000</v>
      </c>
      <c r="E316" s="199" t="e">
        <f>VLOOKUP(B316,#REF!,151,0)</f>
        <v>#REF!</v>
      </c>
      <c r="F316" s="199" t="e">
        <f t="shared" si="15"/>
        <v>#REF!</v>
      </c>
      <c r="G316" s="139" t="s">
        <v>528</v>
      </c>
      <c r="H316" s="182"/>
    </row>
    <row r="317" spans="1:8">
      <c r="A317" s="183">
        <v>315</v>
      </c>
      <c r="B317" s="183" t="s">
        <v>283</v>
      </c>
      <c r="C317" s="183" t="s">
        <v>28</v>
      </c>
      <c r="D317" s="203">
        <v>10211000</v>
      </c>
      <c r="E317" s="203" t="e">
        <f>VLOOKUP(B317,#REF!,151,0)</f>
        <v>#REF!</v>
      </c>
      <c r="F317" s="203" t="e">
        <f t="shared" si="15"/>
        <v>#REF!</v>
      </c>
      <c r="G317" s="183" t="s">
        <v>528</v>
      </c>
      <c r="H317" s="204">
        <v>429000</v>
      </c>
    </row>
    <row r="318" spans="1:8" s="139" customFormat="1" ht="15" hidden="1">
      <c r="A318" s="139">
        <v>316</v>
      </c>
      <c r="B318" s="139" t="s">
        <v>687</v>
      </c>
      <c r="C318" s="139" t="s">
        <v>28</v>
      </c>
      <c r="D318" s="199">
        <v>11400000</v>
      </c>
      <c r="E318" s="199" t="e">
        <f>VLOOKUP(B318,#REF!,151,0)</f>
        <v>#REF!</v>
      </c>
      <c r="F318" s="199" t="e">
        <f t="shared" si="15"/>
        <v>#REF!</v>
      </c>
      <c r="G318" s="139" t="s">
        <v>528</v>
      </c>
      <c r="H318" s="182"/>
    </row>
    <row r="319" spans="1:8" s="139" customFormat="1" ht="15" hidden="1">
      <c r="A319" s="139">
        <v>317</v>
      </c>
      <c r="B319" s="139" t="s">
        <v>688</v>
      </c>
      <c r="C319" s="139" t="s">
        <v>28</v>
      </c>
      <c r="D319" s="199">
        <v>10909000</v>
      </c>
      <c r="E319" s="199" t="e">
        <f>VLOOKUP(B319,#REF!,151,0)</f>
        <v>#REF!</v>
      </c>
      <c r="F319" s="199" t="e">
        <f t="shared" si="15"/>
        <v>#REF!</v>
      </c>
      <c r="G319" s="139" t="s">
        <v>528</v>
      </c>
      <c r="H319" s="182"/>
    </row>
    <row r="320" spans="1:8" s="139" customFormat="1" ht="15" hidden="1">
      <c r="A320" s="139">
        <v>318</v>
      </c>
      <c r="B320" s="139" t="s">
        <v>413</v>
      </c>
      <c r="C320" s="139" t="s">
        <v>28</v>
      </c>
      <c r="D320" s="199">
        <v>9476000</v>
      </c>
      <c r="E320" s="199" t="e">
        <f>VLOOKUP(B320,#REF!,151,0)</f>
        <v>#REF!</v>
      </c>
      <c r="F320" s="199" t="e">
        <f t="shared" si="15"/>
        <v>#REF!</v>
      </c>
      <c r="G320" s="139" t="s">
        <v>528</v>
      </c>
      <c r="H320" s="182">
        <v>409000</v>
      </c>
    </row>
    <row r="321" spans="1:8" s="139" customFormat="1" ht="15" hidden="1">
      <c r="A321" s="139">
        <v>319</v>
      </c>
      <c r="B321" s="139" t="s">
        <v>689</v>
      </c>
      <c r="C321" s="139" t="s">
        <v>28</v>
      </c>
      <c r="D321" s="199">
        <v>5292000</v>
      </c>
      <c r="E321" s="199" t="e">
        <f>VLOOKUP(B321,#REF!,151,0)</f>
        <v>#REF!</v>
      </c>
      <c r="F321" s="199" t="e">
        <f t="shared" si="15"/>
        <v>#REF!</v>
      </c>
      <c r="G321" s="139" t="s">
        <v>528</v>
      </c>
      <c r="H321" s="182"/>
    </row>
    <row r="322" spans="1:8" s="139" customFormat="1" ht="15" hidden="1">
      <c r="A322" s="139">
        <v>320</v>
      </c>
      <c r="B322" s="139" t="s">
        <v>142</v>
      </c>
      <c r="C322" s="139" t="s">
        <v>28</v>
      </c>
      <c r="D322" s="199">
        <v>9956000</v>
      </c>
      <c r="E322" s="199" t="e">
        <f>VLOOKUP(B322,#REF!,151,0)</f>
        <v>#REF!</v>
      </c>
      <c r="F322" s="199" t="e">
        <f t="shared" si="15"/>
        <v>#REF!</v>
      </c>
      <c r="G322" s="139" t="s">
        <v>528</v>
      </c>
      <c r="H322" s="182">
        <v>409000</v>
      </c>
    </row>
    <row r="323" spans="1:8" s="139" customFormat="1" ht="15" hidden="1">
      <c r="A323" s="139">
        <v>321</v>
      </c>
      <c r="B323" s="139" t="s">
        <v>690</v>
      </c>
      <c r="C323" s="139" t="s">
        <v>28</v>
      </c>
      <c r="D323" s="199">
        <v>10763000</v>
      </c>
      <c r="E323" s="199" t="e">
        <f>VLOOKUP(B323,#REF!,151,0)</f>
        <v>#REF!</v>
      </c>
      <c r="F323" s="199" t="e">
        <f t="shared" si="15"/>
        <v>#REF!</v>
      </c>
      <c r="G323" s="139" t="s">
        <v>528</v>
      </c>
      <c r="H323" s="182"/>
    </row>
    <row r="324" spans="1:8" s="139" customFormat="1" ht="15" hidden="1">
      <c r="A324" s="139">
        <v>322</v>
      </c>
      <c r="B324" s="139" t="s">
        <v>691</v>
      </c>
      <c r="C324" s="139" t="s">
        <v>28</v>
      </c>
      <c r="D324" s="199">
        <v>9887000</v>
      </c>
      <c r="E324" s="199" t="e">
        <f>VLOOKUP(B324,#REF!,151,0)</f>
        <v>#REF!</v>
      </c>
      <c r="F324" s="199" t="e">
        <f t="shared" si="15"/>
        <v>#REF!</v>
      </c>
      <c r="G324" s="139" t="s">
        <v>528</v>
      </c>
      <c r="H324" s="182"/>
    </row>
    <row r="325" spans="1:8" s="139" customFormat="1" ht="15" hidden="1">
      <c r="A325" s="139">
        <v>323</v>
      </c>
      <c r="B325" s="139" t="s">
        <v>692</v>
      </c>
      <c r="C325" s="139" t="s">
        <v>28</v>
      </c>
      <c r="D325" s="199">
        <v>6648000</v>
      </c>
      <c r="E325" s="199" t="e">
        <f>VLOOKUP(B325,#REF!,151,0)</f>
        <v>#REF!</v>
      </c>
      <c r="F325" s="199" t="e">
        <f t="shared" si="15"/>
        <v>#REF!</v>
      </c>
      <c r="G325" s="139" t="s">
        <v>528</v>
      </c>
      <c r="H325" s="182"/>
    </row>
    <row r="326" spans="1:8" s="139" customFormat="1" ht="15" hidden="1">
      <c r="A326" s="139">
        <v>324</v>
      </c>
      <c r="B326" s="139" t="s">
        <v>693</v>
      </c>
      <c r="C326" s="139" t="s">
        <v>28</v>
      </c>
      <c r="D326" s="199">
        <v>6660000</v>
      </c>
      <c r="E326" s="199" t="e">
        <f>VLOOKUP(B326,#REF!,151,0)</f>
        <v>#REF!</v>
      </c>
      <c r="F326" s="199" t="e">
        <f t="shared" si="15"/>
        <v>#REF!</v>
      </c>
      <c r="G326" s="139" t="s">
        <v>528</v>
      </c>
      <c r="H326" s="182"/>
    </row>
    <row r="327" spans="1:8" s="139" customFormat="1" ht="15" hidden="1">
      <c r="A327" s="139">
        <v>325</v>
      </c>
      <c r="B327" s="139" t="s">
        <v>412</v>
      </c>
      <c r="C327" s="139" t="s">
        <v>28</v>
      </c>
      <c r="D327" s="199">
        <v>4039000</v>
      </c>
      <c r="E327" s="199" t="e">
        <f>VLOOKUP(B327,#REF!,151,0)</f>
        <v>#REF!</v>
      </c>
      <c r="F327" s="199" t="e">
        <f t="shared" si="15"/>
        <v>#REF!</v>
      </c>
      <c r="G327" s="139" t="s">
        <v>528</v>
      </c>
      <c r="H327" s="182">
        <v>409000</v>
      </c>
    </row>
    <row r="328" spans="1:8" s="139" customFormat="1" ht="15" hidden="1">
      <c r="A328" s="139">
        <v>326</v>
      </c>
      <c r="B328" s="139" t="s">
        <v>694</v>
      </c>
      <c r="C328" s="139" t="s">
        <v>28</v>
      </c>
      <c r="D328" s="199">
        <v>7067000</v>
      </c>
      <c r="E328" s="199" t="e">
        <f>VLOOKUP(B328,#REF!,151,0)</f>
        <v>#REF!</v>
      </c>
      <c r="F328" s="199" t="e">
        <f t="shared" si="15"/>
        <v>#REF!</v>
      </c>
      <c r="G328" s="139" t="s">
        <v>528</v>
      </c>
      <c r="H328" s="182"/>
    </row>
    <row r="329" spans="1:8" s="139" customFormat="1" ht="15" hidden="1">
      <c r="A329" s="139">
        <v>327</v>
      </c>
      <c r="B329" s="139" t="s">
        <v>432</v>
      </c>
      <c r="C329" s="139" t="s">
        <v>28</v>
      </c>
      <c r="D329" s="199">
        <v>7431000</v>
      </c>
      <c r="E329" s="199" t="e">
        <f>VLOOKUP(B329,#REF!,151,0)</f>
        <v>#REF!</v>
      </c>
      <c r="F329" s="199" t="e">
        <f t="shared" si="15"/>
        <v>#REF!</v>
      </c>
      <c r="G329" s="139" t="s">
        <v>528</v>
      </c>
      <c r="H329" s="182">
        <v>409000</v>
      </c>
    </row>
    <row r="330" spans="1:8" s="139" customFormat="1" ht="15" hidden="1">
      <c r="A330" s="139">
        <v>328</v>
      </c>
      <c r="B330" s="139" t="s">
        <v>695</v>
      </c>
      <c r="C330" s="139" t="s">
        <v>28</v>
      </c>
      <c r="D330" s="199">
        <v>5989000</v>
      </c>
      <c r="E330" s="199" t="e">
        <f>VLOOKUP(B330,#REF!,151,0)</f>
        <v>#REF!</v>
      </c>
      <c r="F330" s="199" t="e">
        <f t="shared" si="15"/>
        <v>#REF!</v>
      </c>
      <c r="G330" s="139" t="s">
        <v>528</v>
      </c>
      <c r="H330" s="182"/>
    </row>
    <row r="331" spans="1:8" s="139" customFormat="1" ht="15" hidden="1">
      <c r="A331" s="139">
        <v>329</v>
      </c>
      <c r="B331" s="139" t="s">
        <v>425</v>
      </c>
      <c r="C331" s="139" t="s">
        <v>28</v>
      </c>
      <c r="D331" s="199">
        <v>7961000</v>
      </c>
      <c r="E331" s="199" t="e">
        <f>VLOOKUP(B331,#REF!,151,0)</f>
        <v>#REF!</v>
      </c>
      <c r="F331" s="199" t="e">
        <f t="shared" si="15"/>
        <v>#REF!</v>
      </c>
      <c r="G331" s="139" t="s">
        <v>528</v>
      </c>
      <c r="H331" s="182">
        <v>409000</v>
      </c>
    </row>
    <row r="332" spans="1:8" s="139" customFormat="1" ht="15" hidden="1">
      <c r="A332" s="139">
        <v>330</v>
      </c>
      <c r="B332" s="139" t="s">
        <v>696</v>
      </c>
      <c r="C332" s="139" t="s">
        <v>28</v>
      </c>
      <c r="D332" s="199">
        <v>9651000</v>
      </c>
      <c r="E332" s="199" t="e">
        <f>VLOOKUP(B332,#REF!,151,0)</f>
        <v>#REF!</v>
      </c>
      <c r="F332" s="199" t="e">
        <f t="shared" si="15"/>
        <v>#REF!</v>
      </c>
      <c r="G332" s="139" t="s">
        <v>528</v>
      </c>
      <c r="H332" s="182">
        <v>409000</v>
      </c>
    </row>
    <row r="333" spans="1:8" s="139" customFormat="1" ht="15" hidden="1">
      <c r="A333" s="139">
        <v>331</v>
      </c>
      <c r="B333" s="139" t="s">
        <v>422</v>
      </c>
      <c r="C333" s="139" t="s">
        <v>28</v>
      </c>
      <c r="D333" s="199">
        <v>10321000</v>
      </c>
      <c r="E333" s="199" t="e">
        <f>VLOOKUP(B333,#REF!,151,0)</f>
        <v>#REF!</v>
      </c>
      <c r="F333" s="199" t="e">
        <f t="shared" si="15"/>
        <v>#REF!</v>
      </c>
      <c r="G333" s="139" t="s">
        <v>528</v>
      </c>
      <c r="H333" s="182">
        <v>409000</v>
      </c>
    </row>
    <row r="334" spans="1:8" s="139" customFormat="1" ht="15" hidden="1">
      <c r="A334" s="139">
        <v>332</v>
      </c>
      <c r="B334" s="139" t="s">
        <v>442</v>
      </c>
      <c r="C334" s="139" t="s">
        <v>28</v>
      </c>
      <c r="D334" s="199">
        <v>2549000</v>
      </c>
      <c r="E334" s="199" t="e">
        <f>VLOOKUP(B334,#REF!,151,0)</f>
        <v>#REF!</v>
      </c>
      <c r="F334" s="199" t="e">
        <f t="shared" si="15"/>
        <v>#REF!</v>
      </c>
      <c r="G334" s="139" t="s">
        <v>528</v>
      </c>
      <c r="H334" s="182">
        <v>409000</v>
      </c>
    </row>
    <row r="335" spans="1:8" s="139" customFormat="1" ht="15" hidden="1">
      <c r="A335" s="139">
        <v>333</v>
      </c>
      <c r="B335" s="139" t="s">
        <v>452</v>
      </c>
      <c r="C335" s="139" t="s">
        <v>28</v>
      </c>
      <c r="D335" s="199">
        <v>10771000</v>
      </c>
      <c r="E335" s="199" t="e">
        <f>VLOOKUP(B335,#REF!,151,0)</f>
        <v>#REF!</v>
      </c>
      <c r="F335" s="199" t="e">
        <f t="shared" si="15"/>
        <v>#REF!</v>
      </c>
      <c r="G335" s="139" t="s">
        <v>528</v>
      </c>
      <c r="H335" s="182">
        <v>409000</v>
      </c>
    </row>
    <row r="336" spans="1:8" s="139" customFormat="1" ht="15" hidden="1">
      <c r="A336" s="139">
        <v>334</v>
      </c>
      <c r="B336" s="139" t="s">
        <v>697</v>
      </c>
      <c r="C336" s="139" t="s">
        <v>28</v>
      </c>
      <c r="D336" s="199">
        <v>835000</v>
      </c>
      <c r="E336" s="199" t="e">
        <f>VLOOKUP(B336,#REF!,151,0)</f>
        <v>#REF!</v>
      </c>
      <c r="F336" s="199" t="e">
        <f t="shared" si="15"/>
        <v>#REF!</v>
      </c>
      <c r="G336" s="139" t="s">
        <v>528</v>
      </c>
      <c r="H336" s="182"/>
    </row>
    <row r="337" spans="1:8" s="139" customFormat="1" ht="15" hidden="1">
      <c r="A337" s="139">
        <v>335</v>
      </c>
      <c r="B337" s="139" t="s">
        <v>698</v>
      </c>
      <c r="C337" s="139" t="s">
        <v>28</v>
      </c>
      <c r="D337" s="199">
        <v>335000</v>
      </c>
      <c r="E337" s="199" t="e">
        <f>VLOOKUP(B337,#REF!,151,0)</f>
        <v>#REF!</v>
      </c>
      <c r="F337" s="199" t="e">
        <f t="shared" si="15"/>
        <v>#REF!</v>
      </c>
      <c r="G337" s="139" t="s">
        <v>528</v>
      </c>
      <c r="H337" s="182"/>
    </row>
    <row r="338" spans="1:8" s="139" customFormat="1" ht="15" hidden="1">
      <c r="A338" s="139">
        <v>336</v>
      </c>
      <c r="B338" s="139" t="s">
        <v>699</v>
      </c>
      <c r="C338" s="139" t="s">
        <v>28</v>
      </c>
      <c r="D338" s="199">
        <v>11756000</v>
      </c>
      <c r="E338" s="199" t="e">
        <f>VLOOKUP(B338,#REF!,151,0)</f>
        <v>#REF!</v>
      </c>
      <c r="F338" s="199" t="e">
        <f t="shared" ref="F338:F359" si="16">+D338-E338</f>
        <v>#REF!</v>
      </c>
      <c r="G338" s="139" t="s">
        <v>528</v>
      </c>
      <c r="H338" s="182">
        <v>429000</v>
      </c>
    </row>
    <row r="339" spans="1:8" s="139" customFormat="1" ht="15" hidden="1">
      <c r="A339" s="139">
        <v>337</v>
      </c>
      <c r="B339" s="139" t="s">
        <v>700</v>
      </c>
      <c r="C339" s="139" t="s">
        <v>28</v>
      </c>
      <c r="D339" s="199">
        <v>12307000</v>
      </c>
      <c r="E339" s="199" t="e">
        <f>VLOOKUP(B339,#REF!,151,0)</f>
        <v>#REF!</v>
      </c>
      <c r="F339" s="199" t="e">
        <f t="shared" si="16"/>
        <v>#REF!</v>
      </c>
      <c r="G339" s="139" t="s">
        <v>528</v>
      </c>
      <c r="H339" s="182"/>
    </row>
    <row r="340" spans="1:8" s="139" customFormat="1" ht="15" hidden="1">
      <c r="A340" s="139">
        <v>338</v>
      </c>
      <c r="B340" s="139" t="s">
        <v>701</v>
      </c>
      <c r="C340" s="139" t="s">
        <v>28</v>
      </c>
      <c r="D340" s="199">
        <v>10936000</v>
      </c>
      <c r="E340" s="199" t="e">
        <f>VLOOKUP(B340,#REF!,151,0)</f>
        <v>#REF!</v>
      </c>
      <c r="F340" s="199" t="e">
        <f t="shared" si="16"/>
        <v>#REF!</v>
      </c>
      <c r="G340" s="139" t="s">
        <v>528</v>
      </c>
      <c r="H340" s="182">
        <v>409000</v>
      </c>
    </row>
    <row r="341" spans="1:8" s="139" customFormat="1" ht="15" hidden="1">
      <c r="A341" s="139">
        <v>339</v>
      </c>
      <c r="B341" s="139" t="s">
        <v>702</v>
      </c>
      <c r="C341" s="139" t="s">
        <v>28</v>
      </c>
      <c r="D341" s="199">
        <v>12556000</v>
      </c>
      <c r="E341" s="199" t="e">
        <f>VLOOKUP(B341,#REF!,151,0)</f>
        <v>#REF!</v>
      </c>
      <c r="F341" s="199" t="e">
        <f t="shared" si="16"/>
        <v>#REF!</v>
      </c>
      <c r="G341" s="139" t="s">
        <v>528</v>
      </c>
      <c r="H341" s="182"/>
    </row>
    <row r="342" spans="1:8" s="139" customFormat="1" ht="15" hidden="1">
      <c r="A342" s="139">
        <v>340</v>
      </c>
      <c r="B342" s="139" t="s">
        <v>703</v>
      </c>
      <c r="C342" s="139" t="s">
        <v>28</v>
      </c>
      <c r="D342" s="199">
        <v>12768000</v>
      </c>
      <c r="E342" s="199" t="e">
        <f>VLOOKUP(B342,#REF!,151,0)</f>
        <v>#REF!</v>
      </c>
      <c r="F342" s="199" t="e">
        <f t="shared" si="16"/>
        <v>#REF!</v>
      </c>
      <c r="G342" s="139" t="s">
        <v>528</v>
      </c>
      <c r="H342" s="182">
        <v>409000</v>
      </c>
    </row>
    <row r="343" spans="1:8" s="139" customFormat="1" ht="15" hidden="1">
      <c r="A343" s="139">
        <v>341</v>
      </c>
      <c r="B343" s="139" t="s">
        <v>333</v>
      </c>
      <c r="C343" s="139" t="s">
        <v>28</v>
      </c>
      <c r="D343" s="199">
        <v>10746000</v>
      </c>
      <c r="E343" s="199" t="e">
        <f>VLOOKUP(B343,#REF!,151,0)</f>
        <v>#REF!</v>
      </c>
      <c r="F343" s="199" t="e">
        <f t="shared" si="16"/>
        <v>#REF!</v>
      </c>
      <c r="G343" s="139" t="s">
        <v>528</v>
      </c>
      <c r="H343" s="182">
        <v>409000</v>
      </c>
    </row>
    <row r="344" spans="1:8" s="139" customFormat="1" ht="15" hidden="1">
      <c r="A344" s="139">
        <v>342</v>
      </c>
      <c r="B344" s="139" t="s">
        <v>199</v>
      </c>
      <c r="C344" s="139" t="s">
        <v>28</v>
      </c>
      <c r="D344" s="199">
        <v>11200000</v>
      </c>
      <c r="E344" s="199" t="e">
        <f>VLOOKUP(B344,#REF!,151,0)</f>
        <v>#REF!</v>
      </c>
      <c r="F344" s="199" t="e">
        <f t="shared" si="16"/>
        <v>#REF!</v>
      </c>
      <c r="G344" s="139" t="s">
        <v>528</v>
      </c>
      <c r="H344" s="182">
        <v>461000</v>
      </c>
    </row>
    <row r="345" spans="1:8" s="139" customFormat="1" ht="15" hidden="1">
      <c r="A345" s="139">
        <v>343</v>
      </c>
      <c r="B345" s="139" t="s">
        <v>704</v>
      </c>
      <c r="C345" s="139" t="s">
        <v>28</v>
      </c>
      <c r="D345" s="199">
        <v>13206000</v>
      </c>
      <c r="E345" s="199" t="e">
        <f>VLOOKUP(B345,#REF!,151,0)</f>
        <v>#REF!</v>
      </c>
      <c r="F345" s="199" t="e">
        <f t="shared" si="16"/>
        <v>#REF!</v>
      </c>
      <c r="G345" s="139" t="s">
        <v>528</v>
      </c>
      <c r="H345" s="182"/>
    </row>
    <row r="346" spans="1:8" s="139" customFormat="1" ht="15" hidden="1">
      <c r="A346" s="139">
        <v>344</v>
      </c>
      <c r="B346" s="139" t="s">
        <v>300</v>
      </c>
      <c r="C346" s="139" t="s">
        <v>28</v>
      </c>
      <c r="D346" s="199">
        <v>7998000</v>
      </c>
      <c r="E346" s="199" t="e">
        <f>VLOOKUP(B346,#REF!,151,0)</f>
        <v>#REF!</v>
      </c>
      <c r="F346" s="199" t="e">
        <f t="shared" si="16"/>
        <v>#REF!</v>
      </c>
      <c r="G346" s="139" t="s">
        <v>528</v>
      </c>
      <c r="H346" s="182"/>
    </row>
    <row r="347" spans="1:8" s="139" customFormat="1" ht="15" hidden="1">
      <c r="A347" s="139">
        <v>345</v>
      </c>
      <c r="B347" s="139" t="s">
        <v>454</v>
      </c>
      <c r="C347" s="139" t="s">
        <v>28</v>
      </c>
      <c r="D347" s="199">
        <v>10222000</v>
      </c>
      <c r="E347" s="199" t="e">
        <f>VLOOKUP(B347,#REF!,151,0)</f>
        <v>#REF!</v>
      </c>
      <c r="F347" s="199" t="e">
        <f t="shared" si="16"/>
        <v>#REF!</v>
      </c>
      <c r="G347" s="139" t="s">
        <v>528</v>
      </c>
      <c r="H347" s="182">
        <v>409000</v>
      </c>
    </row>
    <row r="348" spans="1:8" s="139" customFormat="1" ht="15" hidden="1">
      <c r="A348" s="139">
        <v>346</v>
      </c>
      <c r="B348" s="139" t="s">
        <v>137</v>
      </c>
      <c r="C348" s="139" t="s">
        <v>28</v>
      </c>
      <c r="D348" s="199">
        <v>10739000</v>
      </c>
      <c r="E348" s="199" t="e">
        <f>VLOOKUP(B348,#REF!,151,0)</f>
        <v>#REF!</v>
      </c>
      <c r="F348" s="199" t="e">
        <f t="shared" si="16"/>
        <v>#REF!</v>
      </c>
      <c r="G348" s="139" t="s">
        <v>528</v>
      </c>
      <c r="H348" s="182"/>
    </row>
    <row r="349" spans="1:8" s="139" customFormat="1" ht="15" hidden="1">
      <c r="A349" s="139">
        <v>347</v>
      </c>
      <c r="B349" s="139" t="s">
        <v>414</v>
      </c>
      <c r="C349" s="139" t="s">
        <v>28</v>
      </c>
      <c r="D349" s="199">
        <v>11934000</v>
      </c>
      <c r="E349" s="199" t="e">
        <f>VLOOKUP(B349,#REF!,151,0)</f>
        <v>#REF!</v>
      </c>
      <c r="F349" s="199" t="e">
        <f t="shared" si="16"/>
        <v>#REF!</v>
      </c>
      <c r="G349" s="139" t="s">
        <v>528</v>
      </c>
      <c r="H349" s="182">
        <v>409000</v>
      </c>
    </row>
    <row r="350" spans="1:8" s="139" customFormat="1" ht="15" hidden="1">
      <c r="A350" s="139">
        <v>348</v>
      </c>
      <c r="B350" s="139" t="s">
        <v>433</v>
      </c>
      <c r="C350" s="139" t="s">
        <v>28</v>
      </c>
      <c r="D350" s="199">
        <v>11556000</v>
      </c>
      <c r="E350" s="199" t="e">
        <f>VLOOKUP(B350,#REF!,151,0)</f>
        <v>#REF!</v>
      </c>
      <c r="F350" s="199" t="e">
        <f t="shared" si="16"/>
        <v>#REF!</v>
      </c>
      <c r="G350" s="139" t="s">
        <v>528</v>
      </c>
      <c r="H350" s="182">
        <v>409000</v>
      </c>
    </row>
    <row r="351" spans="1:8" s="139" customFormat="1" ht="15" hidden="1">
      <c r="A351" s="139">
        <v>349</v>
      </c>
      <c r="B351" s="139" t="s">
        <v>705</v>
      </c>
      <c r="C351" s="139" t="s">
        <v>28</v>
      </c>
      <c r="D351" s="199">
        <v>10645000</v>
      </c>
      <c r="E351" s="199" t="e">
        <f>VLOOKUP(B351,#REF!,151,0)</f>
        <v>#REF!</v>
      </c>
      <c r="F351" s="199" t="e">
        <f t="shared" si="16"/>
        <v>#REF!</v>
      </c>
      <c r="G351" s="139" t="s">
        <v>528</v>
      </c>
      <c r="H351" s="182"/>
    </row>
    <row r="352" spans="1:8" s="139" customFormat="1" ht="15" hidden="1">
      <c r="A352" s="139">
        <v>350</v>
      </c>
      <c r="B352" s="139" t="s">
        <v>434</v>
      </c>
      <c r="C352" s="139" t="s">
        <v>28</v>
      </c>
      <c r="D352" s="199">
        <v>10643000</v>
      </c>
      <c r="E352" s="199" t="e">
        <f>VLOOKUP(B352,#REF!,151,0)</f>
        <v>#REF!</v>
      </c>
      <c r="F352" s="199" t="e">
        <f t="shared" si="16"/>
        <v>#REF!</v>
      </c>
      <c r="G352" s="139" t="s">
        <v>528</v>
      </c>
      <c r="H352" s="182">
        <v>409000</v>
      </c>
    </row>
    <row r="353" spans="1:8" s="139" customFormat="1" ht="15" hidden="1">
      <c r="A353" s="139">
        <v>351</v>
      </c>
      <c r="B353" s="139" t="s">
        <v>411</v>
      </c>
      <c r="C353" s="139" t="s">
        <v>28</v>
      </c>
      <c r="D353" s="199">
        <v>11214000</v>
      </c>
      <c r="E353" s="199" t="e">
        <f>VLOOKUP(B353,#REF!,151,0)</f>
        <v>#REF!</v>
      </c>
      <c r="F353" s="199" t="e">
        <f t="shared" si="16"/>
        <v>#REF!</v>
      </c>
      <c r="G353" s="139" t="s">
        <v>528</v>
      </c>
      <c r="H353" s="182">
        <v>409000</v>
      </c>
    </row>
    <row r="354" spans="1:8" s="139" customFormat="1" ht="15" hidden="1">
      <c r="A354" s="139">
        <v>352</v>
      </c>
      <c r="B354" s="139" t="s">
        <v>212</v>
      </c>
      <c r="C354" s="139" t="s">
        <v>28</v>
      </c>
      <c r="D354" s="199">
        <v>9850000</v>
      </c>
      <c r="E354" s="199" t="e">
        <f>VLOOKUP(B354,#REF!,151,0)</f>
        <v>#REF!</v>
      </c>
      <c r="F354" s="199" t="e">
        <f t="shared" si="16"/>
        <v>#REF!</v>
      </c>
      <c r="G354" s="139" t="s">
        <v>528</v>
      </c>
      <c r="H354" s="182">
        <v>409000</v>
      </c>
    </row>
    <row r="355" spans="1:8" s="139" customFormat="1" ht="15" hidden="1">
      <c r="A355" s="139">
        <v>353</v>
      </c>
      <c r="B355" s="139" t="s">
        <v>308</v>
      </c>
      <c r="C355" s="139" t="s">
        <v>28</v>
      </c>
      <c r="D355" s="199">
        <v>11715000</v>
      </c>
      <c r="E355" s="199" t="e">
        <f>VLOOKUP(B355,#REF!,151,0)</f>
        <v>#REF!</v>
      </c>
      <c r="F355" s="199" t="e">
        <f t="shared" si="16"/>
        <v>#REF!</v>
      </c>
      <c r="G355" s="139" t="s">
        <v>528</v>
      </c>
      <c r="H355" s="182">
        <v>409000</v>
      </c>
    </row>
    <row r="356" spans="1:8" s="139" customFormat="1" ht="15" hidden="1">
      <c r="A356" s="139">
        <v>354</v>
      </c>
      <c r="B356" s="139" t="s">
        <v>435</v>
      </c>
      <c r="C356" s="139" t="s">
        <v>28</v>
      </c>
      <c r="D356" s="199">
        <v>0</v>
      </c>
      <c r="E356" s="199" t="e">
        <f>VLOOKUP(B356,#REF!,151,0)</f>
        <v>#REF!</v>
      </c>
      <c r="F356" s="199" t="e">
        <f t="shared" si="16"/>
        <v>#REF!</v>
      </c>
      <c r="G356" s="139" t="s">
        <v>528</v>
      </c>
      <c r="H356" s="182"/>
    </row>
    <row r="357" spans="1:8" s="139" customFormat="1" ht="15" hidden="1">
      <c r="A357" s="139">
        <v>355</v>
      </c>
      <c r="B357" s="139" t="s">
        <v>706</v>
      </c>
      <c r="C357" s="139" t="s">
        <v>28</v>
      </c>
      <c r="D357" s="199">
        <v>8560000</v>
      </c>
      <c r="E357" s="199" t="e">
        <f>VLOOKUP(B357,#REF!,151,0)</f>
        <v>#REF!</v>
      </c>
      <c r="F357" s="199" t="e">
        <f t="shared" si="16"/>
        <v>#REF!</v>
      </c>
      <c r="G357" s="139" t="s">
        <v>528</v>
      </c>
      <c r="H357" s="182">
        <v>409000</v>
      </c>
    </row>
    <row r="358" spans="1:8" s="139" customFormat="1" ht="15" hidden="1">
      <c r="A358" s="139">
        <v>356</v>
      </c>
      <c r="B358" s="139" t="s">
        <v>707</v>
      </c>
      <c r="C358" s="139" t="s">
        <v>28</v>
      </c>
      <c r="D358" s="199">
        <v>8383000</v>
      </c>
      <c r="E358" s="199" t="e">
        <f>VLOOKUP(B358,#REF!,151,0)</f>
        <v>#REF!</v>
      </c>
      <c r="F358" s="199" t="e">
        <f t="shared" si="16"/>
        <v>#REF!</v>
      </c>
      <c r="G358" s="139" t="s">
        <v>528</v>
      </c>
      <c r="H358" s="182"/>
    </row>
    <row r="359" spans="1:8" s="139" customFormat="1" ht="15" hidden="1">
      <c r="A359" s="139">
        <v>357</v>
      </c>
      <c r="B359" s="139" t="s">
        <v>451</v>
      </c>
      <c r="C359" s="139" t="s">
        <v>28</v>
      </c>
      <c r="D359" s="199">
        <v>10096000</v>
      </c>
      <c r="E359" s="199" t="e">
        <f>VLOOKUP(B359,#REF!,151,0)</f>
        <v>#REF!</v>
      </c>
      <c r="F359" s="199" t="e">
        <f t="shared" si="16"/>
        <v>#REF!</v>
      </c>
      <c r="G359" s="139" t="s">
        <v>528</v>
      </c>
      <c r="H359" s="182">
        <v>409000</v>
      </c>
    </row>
    <row r="360" spans="1:8" s="139" customFormat="1" ht="15" hidden="1">
      <c r="A360" s="139">
        <v>358</v>
      </c>
      <c r="B360" s="139" t="s">
        <v>708</v>
      </c>
      <c r="C360" s="139" t="s">
        <v>709</v>
      </c>
      <c r="D360" s="199">
        <v>3838000</v>
      </c>
      <c r="E360" s="199" t="e">
        <f>VLOOKUP(B360,#REF!,151,0)</f>
        <v>#REF!</v>
      </c>
      <c r="F360" s="199" t="e">
        <f t="shared" ref="F360:F368" si="17">+D360-E360</f>
        <v>#REF!</v>
      </c>
      <c r="G360" s="139" t="s">
        <v>528</v>
      </c>
      <c r="H360" s="182">
        <v>409000</v>
      </c>
    </row>
    <row r="361" spans="1:8" s="139" customFormat="1" ht="15" hidden="1">
      <c r="A361" s="139">
        <v>359</v>
      </c>
      <c r="B361" s="139" t="s">
        <v>710</v>
      </c>
      <c r="C361" s="139" t="s">
        <v>709</v>
      </c>
      <c r="D361" s="199">
        <v>3032000</v>
      </c>
      <c r="E361" s="199" t="e">
        <f>VLOOKUP(B361,#REF!,151,0)</f>
        <v>#REF!</v>
      </c>
      <c r="F361" s="199" t="e">
        <f t="shared" si="17"/>
        <v>#REF!</v>
      </c>
      <c r="G361" s="139" t="s">
        <v>528</v>
      </c>
      <c r="H361" s="182">
        <v>409000</v>
      </c>
    </row>
    <row r="362" spans="1:8" s="139" customFormat="1" ht="15" hidden="1">
      <c r="A362" s="139">
        <v>360</v>
      </c>
      <c r="B362" s="139" t="s">
        <v>711</v>
      </c>
      <c r="C362" s="139" t="s">
        <v>709</v>
      </c>
      <c r="D362" s="199">
        <v>4101000</v>
      </c>
      <c r="E362" s="199" t="e">
        <f>VLOOKUP(B362,#REF!,151,0)</f>
        <v>#REF!</v>
      </c>
      <c r="F362" s="199" t="e">
        <f t="shared" si="17"/>
        <v>#REF!</v>
      </c>
      <c r="G362" s="139" t="s">
        <v>528</v>
      </c>
      <c r="H362" s="182">
        <v>409000</v>
      </c>
    </row>
    <row r="363" spans="1:8">
      <c r="A363" s="183">
        <v>361</v>
      </c>
      <c r="B363" s="183" t="s">
        <v>461</v>
      </c>
      <c r="C363" s="183" t="s">
        <v>709</v>
      </c>
      <c r="D363" s="203">
        <v>2371000</v>
      </c>
      <c r="E363" s="203" t="e">
        <f>VLOOKUP(B363,#REF!,151,0)</f>
        <v>#REF!</v>
      </c>
      <c r="F363" s="203" t="e">
        <f t="shared" si="17"/>
        <v>#REF!</v>
      </c>
      <c r="G363" s="183" t="s">
        <v>528</v>
      </c>
      <c r="H363" s="204">
        <v>409000</v>
      </c>
    </row>
    <row r="364" spans="1:8" s="139" customFormat="1" ht="15" hidden="1">
      <c r="A364" s="139">
        <v>362</v>
      </c>
      <c r="B364" s="139" t="s">
        <v>713</v>
      </c>
      <c r="C364" s="139" t="s">
        <v>709</v>
      </c>
      <c r="D364" s="199">
        <v>2854000</v>
      </c>
      <c r="E364" s="199" t="e">
        <f>VLOOKUP(B364,#REF!,151,0)</f>
        <v>#REF!</v>
      </c>
      <c r="F364" s="199" t="e">
        <f t="shared" si="17"/>
        <v>#REF!</v>
      </c>
      <c r="G364" s="139" t="s">
        <v>528</v>
      </c>
      <c r="H364" s="182">
        <v>409000</v>
      </c>
    </row>
    <row r="365" spans="1:8" s="139" customFormat="1" ht="15" hidden="1">
      <c r="A365" s="139">
        <v>363</v>
      </c>
      <c r="B365" s="139" t="s">
        <v>714</v>
      </c>
      <c r="C365" s="139" t="s">
        <v>709</v>
      </c>
      <c r="D365" s="199">
        <v>1807000</v>
      </c>
      <c r="E365" s="199" t="e">
        <f>VLOOKUP(B365,#REF!,151,0)</f>
        <v>#REF!</v>
      </c>
      <c r="F365" s="199" t="e">
        <f t="shared" si="17"/>
        <v>#REF!</v>
      </c>
      <c r="G365" s="139" t="s">
        <v>528</v>
      </c>
      <c r="H365" s="182">
        <v>409000</v>
      </c>
    </row>
    <row r="366" spans="1:8" s="139" customFormat="1" ht="15" hidden="1">
      <c r="A366" s="139">
        <v>364</v>
      </c>
      <c r="B366" s="139" t="s">
        <v>715</v>
      </c>
      <c r="C366" s="139" t="s">
        <v>709</v>
      </c>
      <c r="D366" s="199">
        <v>3751000</v>
      </c>
      <c r="E366" s="199" t="e">
        <f>VLOOKUP(B366,#REF!,151,0)</f>
        <v>#REF!</v>
      </c>
      <c r="F366" s="199" t="e">
        <f t="shared" si="17"/>
        <v>#REF!</v>
      </c>
      <c r="G366" s="139" t="s">
        <v>528</v>
      </c>
      <c r="H366" s="182">
        <v>409000</v>
      </c>
    </row>
    <row r="367" spans="1:8" s="139" customFormat="1" ht="15" hidden="1">
      <c r="A367" s="139">
        <v>365</v>
      </c>
      <c r="B367" s="139" t="s">
        <v>134</v>
      </c>
      <c r="C367" s="139" t="s">
        <v>709</v>
      </c>
      <c r="D367" s="199">
        <v>4010000</v>
      </c>
      <c r="E367" s="199" t="e">
        <f>VLOOKUP(B367,#REF!,151,0)</f>
        <v>#REF!</v>
      </c>
      <c r="F367" s="199" t="e">
        <f t="shared" si="17"/>
        <v>#REF!</v>
      </c>
      <c r="G367" s="139" t="s">
        <v>528</v>
      </c>
      <c r="H367" s="182">
        <v>409000</v>
      </c>
    </row>
    <row r="368" spans="1:8" s="139" customFormat="1" ht="15" hidden="1">
      <c r="A368" s="139">
        <v>366</v>
      </c>
      <c r="B368" s="139" t="s">
        <v>426</v>
      </c>
      <c r="C368" s="139" t="s">
        <v>709</v>
      </c>
      <c r="D368" s="199">
        <v>4048000</v>
      </c>
      <c r="E368" s="199" t="e">
        <f>VLOOKUP(B368,#REF!,151,0)</f>
        <v>#REF!</v>
      </c>
      <c r="F368" s="199" t="e">
        <f t="shared" si="17"/>
        <v>#REF!</v>
      </c>
      <c r="G368" s="139" t="s">
        <v>528</v>
      </c>
      <c r="H368" s="182">
        <v>409000</v>
      </c>
    </row>
    <row r="369" spans="1:8" s="139" customFormat="1" ht="15" hidden="1">
      <c r="A369" s="139">
        <v>367</v>
      </c>
      <c r="B369" s="139" t="s">
        <v>147</v>
      </c>
      <c r="C369" s="139" t="s">
        <v>719</v>
      </c>
      <c r="D369" s="199">
        <v>9544000</v>
      </c>
      <c r="E369" s="199" t="e">
        <f>VLOOKUP(B369,#REF!,151,0)</f>
        <v>#REF!</v>
      </c>
      <c r="F369" s="199" t="e">
        <f>+D369-E369</f>
        <v>#REF!</v>
      </c>
      <c r="G369" s="139" t="s">
        <v>721</v>
      </c>
      <c r="H369" s="182">
        <v>409000</v>
      </c>
    </row>
    <row r="370" spans="1:8">
      <c r="A370" s="183">
        <v>368</v>
      </c>
      <c r="B370" s="183" t="s">
        <v>716</v>
      </c>
      <c r="C370" s="183" t="s">
        <v>719</v>
      </c>
      <c r="D370" s="203">
        <v>9672000</v>
      </c>
      <c r="E370" s="203" t="e">
        <f>VLOOKUP(B370,#REF!,151,0)</f>
        <v>#REF!</v>
      </c>
      <c r="F370" s="203" t="e">
        <f>+D370-E370</f>
        <v>#REF!</v>
      </c>
      <c r="G370" s="183" t="s">
        <v>720</v>
      </c>
      <c r="H370" s="204">
        <v>409000</v>
      </c>
    </row>
    <row r="371" spans="1:8">
      <c r="A371" s="183">
        <v>369</v>
      </c>
      <c r="B371" s="183" t="s">
        <v>717</v>
      </c>
      <c r="C371" s="183" t="s">
        <v>719</v>
      </c>
      <c r="D371" s="203">
        <v>6545000</v>
      </c>
      <c r="E371" s="203" t="e">
        <f>VLOOKUP(B371,#REF!,151,0)</f>
        <v>#REF!</v>
      </c>
      <c r="F371" s="203" t="e">
        <f>+D371-E371</f>
        <v>#REF!</v>
      </c>
      <c r="G371" s="183" t="s">
        <v>720</v>
      </c>
      <c r="H371" s="204">
        <v>409000</v>
      </c>
    </row>
    <row r="372" spans="1:8" s="139" customFormat="1" ht="15" hidden="1">
      <c r="A372" s="139">
        <v>370</v>
      </c>
      <c r="B372" s="139" t="s">
        <v>718</v>
      </c>
      <c r="C372" s="139" t="s">
        <v>719</v>
      </c>
      <c r="D372" s="199">
        <v>788000</v>
      </c>
      <c r="E372" s="199" t="e">
        <f>VLOOKUP(B372,#REF!,151,0)</f>
        <v>#REF!</v>
      </c>
      <c r="F372" s="199" t="e">
        <f>+D372-E372</f>
        <v>#REF!</v>
      </c>
      <c r="G372" s="139" t="s">
        <v>720</v>
      </c>
      <c r="H372" s="182"/>
    </row>
    <row r="373" spans="1:8" s="139" customFormat="1" ht="15" hidden="1">
      <c r="A373" s="139">
        <v>371</v>
      </c>
      <c r="D373" s="199"/>
      <c r="E373" s="199"/>
      <c r="F373" s="199"/>
      <c r="H373" s="182"/>
    </row>
    <row r="374" spans="1:8" s="139" customFormat="1" ht="15" hidden="1">
      <c r="A374" s="139">
        <v>372</v>
      </c>
      <c r="D374" s="199"/>
      <c r="E374" s="199"/>
      <c r="F374" s="199"/>
      <c r="H374" s="182"/>
    </row>
    <row r="375" spans="1:8" s="139" customFormat="1" ht="15" hidden="1">
      <c r="A375" s="139">
        <v>373</v>
      </c>
      <c r="D375" s="199"/>
      <c r="E375" s="199"/>
      <c r="F375" s="199"/>
      <c r="H375" s="182"/>
    </row>
    <row r="376" spans="1:8" s="139" customFormat="1" ht="15" hidden="1">
      <c r="A376" s="139">
        <v>374</v>
      </c>
      <c r="D376" s="199"/>
      <c r="E376" s="199"/>
      <c r="F376" s="199">
        <f>150*0.7</f>
        <v>105</v>
      </c>
      <c r="H376" s="182"/>
    </row>
    <row r="377" spans="1:8" s="139" customFormat="1" ht="15" hidden="1">
      <c r="A377" s="139">
        <v>375</v>
      </c>
      <c r="D377" s="199"/>
      <c r="E377" s="199"/>
      <c r="F377" s="199">
        <v>130</v>
      </c>
      <c r="H377" s="182"/>
    </row>
    <row r="378" spans="1:8" s="139" customFormat="1" ht="15" hidden="1">
      <c r="A378" s="139">
        <v>376</v>
      </c>
      <c r="D378" s="199"/>
      <c r="E378" s="199"/>
      <c r="F378" s="199"/>
      <c r="H378" s="182"/>
    </row>
    <row r="379" spans="1:8" s="139" customFormat="1" ht="15" hidden="1">
      <c r="A379" s="139">
        <v>377</v>
      </c>
      <c r="D379" s="199"/>
      <c r="E379" s="199"/>
      <c r="F379" s="199"/>
      <c r="H379" s="182"/>
    </row>
    <row r="380" spans="1:8" s="139" customFormat="1" ht="15" hidden="1">
      <c r="A380" s="139">
        <v>378</v>
      </c>
      <c r="D380" s="199"/>
      <c r="E380" s="199"/>
      <c r="F380" s="199"/>
      <c r="H380" s="182"/>
    </row>
    <row r="381" spans="1:8" s="139" customFormat="1" ht="15" hidden="1">
      <c r="A381" s="139">
        <v>379</v>
      </c>
      <c r="D381" s="199"/>
      <c r="E381" s="199"/>
      <c r="F381" s="199"/>
      <c r="H381" s="182"/>
    </row>
    <row r="382" spans="1:8" s="139" customFormat="1" ht="15" hidden="1">
      <c r="A382" s="139">
        <v>380</v>
      </c>
      <c r="D382" s="199"/>
      <c r="E382" s="199"/>
      <c r="F382" s="199"/>
      <c r="H382" s="182"/>
    </row>
    <row r="383" spans="1:8" s="139" customFormat="1" ht="15" hidden="1">
      <c r="A383" s="139">
        <v>381</v>
      </c>
      <c r="D383" s="199"/>
      <c r="E383" s="199"/>
      <c r="F383" s="199"/>
      <c r="H383" s="182"/>
    </row>
    <row r="384" spans="1:8" s="139" customFormat="1" ht="15" hidden="1">
      <c r="A384" s="139">
        <v>382</v>
      </c>
      <c r="D384" s="199"/>
      <c r="E384" s="199"/>
      <c r="F384" s="199"/>
      <c r="H384" s="182"/>
    </row>
    <row r="385" spans="1:8" s="139" customFormat="1" ht="15" hidden="1">
      <c r="A385" s="139">
        <v>383</v>
      </c>
      <c r="D385" s="199"/>
      <c r="E385" s="199"/>
      <c r="F385" s="199"/>
      <c r="H385" s="182"/>
    </row>
    <row r="386" spans="1:8" s="139" customFormat="1" ht="15" hidden="1">
      <c r="A386" s="139">
        <v>384</v>
      </c>
      <c r="D386" s="199"/>
      <c r="E386" s="199"/>
      <c r="F386" s="199"/>
      <c r="H386" s="182"/>
    </row>
    <row r="387" spans="1:8" s="139" customFormat="1" ht="15" hidden="1">
      <c r="A387" s="139">
        <v>385</v>
      </c>
      <c r="D387" s="199"/>
      <c r="E387" s="199"/>
      <c r="F387" s="199"/>
      <c r="H387" s="182"/>
    </row>
    <row r="388" spans="1:8" s="139" customFormat="1" ht="15" hidden="1">
      <c r="A388" s="139">
        <v>386</v>
      </c>
      <c r="D388" s="199"/>
      <c r="E388" s="199"/>
      <c r="F388" s="199"/>
      <c r="H388" s="182"/>
    </row>
    <row r="389" spans="1:8" s="139" customFormat="1" ht="15" hidden="1">
      <c r="A389" s="139">
        <v>387</v>
      </c>
      <c r="D389" s="199"/>
      <c r="E389" s="199"/>
      <c r="F389" s="199"/>
      <c r="H389" s="182"/>
    </row>
    <row r="390" spans="1:8" s="139" customFormat="1" ht="15" hidden="1">
      <c r="A390" s="139">
        <v>388</v>
      </c>
      <c r="D390" s="199"/>
      <c r="E390" s="199"/>
      <c r="F390" s="199"/>
      <c r="H390" s="182"/>
    </row>
    <row r="391" spans="1:8" s="139" customFormat="1" ht="15" hidden="1">
      <c r="A391" s="139">
        <v>389</v>
      </c>
      <c r="D391" s="199"/>
      <c r="E391" s="199"/>
      <c r="F391" s="199"/>
      <c r="H391" s="182"/>
    </row>
    <row r="392" spans="1:8" s="139" customFormat="1" ht="15" hidden="1">
      <c r="A392" s="139">
        <v>390</v>
      </c>
      <c r="D392" s="199"/>
      <c r="E392" s="199"/>
      <c r="F392" s="199"/>
      <c r="H392" s="182"/>
    </row>
    <row r="393" spans="1:8" s="139" customFormat="1" ht="15" hidden="1">
      <c r="A393" s="139">
        <v>391</v>
      </c>
      <c r="D393" s="199"/>
      <c r="E393" s="199"/>
      <c r="F393" s="199"/>
      <c r="H393" s="182"/>
    </row>
    <row r="394" spans="1:8" s="139" customFormat="1" ht="15" hidden="1">
      <c r="A394" s="139">
        <v>392</v>
      </c>
      <c r="D394" s="199"/>
      <c r="E394" s="199"/>
      <c r="F394" s="199"/>
      <c r="H394" s="182"/>
    </row>
    <row r="395" spans="1:8" s="139" customFormat="1" ht="15" hidden="1">
      <c r="A395" s="139">
        <v>393</v>
      </c>
      <c r="D395" s="199"/>
      <c r="E395" s="199"/>
      <c r="F395" s="199"/>
      <c r="H395" s="182"/>
    </row>
    <row r="396" spans="1:8" s="139" customFormat="1" ht="15" hidden="1">
      <c r="A396" s="139">
        <v>394</v>
      </c>
      <c r="D396" s="199"/>
      <c r="E396" s="199"/>
      <c r="F396" s="199"/>
      <c r="H396" s="182"/>
    </row>
    <row r="397" spans="1:8" s="139" customFormat="1" ht="15" hidden="1">
      <c r="A397" s="139">
        <v>395</v>
      </c>
      <c r="D397" s="199"/>
      <c r="E397" s="199"/>
      <c r="F397" s="199"/>
      <c r="H397" s="182"/>
    </row>
    <row r="398" spans="1:8" s="139" customFormat="1" ht="15" hidden="1">
      <c r="A398" s="139">
        <v>396</v>
      </c>
      <c r="D398" s="199"/>
      <c r="E398" s="199"/>
      <c r="F398" s="199"/>
      <c r="H398" s="182"/>
    </row>
    <row r="399" spans="1:8" s="139" customFormat="1" ht="15" hidden="1">
      <c r="A399" s="139">
        <v>397</v>
      </c>
      <c r="D399" s="199"/>
      <c r="E399" s="199"/>
      <c r="F399" s="199"/>
      <c r="H399" s="182"/>
    </row>
    <row r="400" spans="1:8" s="139" customFormat="1" ht="15" hidden="1">
      <c r="A400" s="139">
        <v>398</v>
      </c>
      <c r="D400" s="199"/>
      <c r="E400" s="199"/>
      <c r="F400" s="199"/>
      <c r="H400" s="182"/>
    </row>
    <row r="401" spans="1:8" s="139" customFormat="1" ht="15" hidden="1">
      <c r="A401" s="139">
        <v>399</v>
      </c>
      <c r="D401" s="199"/>
      <c r="E401" s="199"/>
      <c r="F401" s="199"/>
      <c r="H401" s="182"/>
    </row>
    <row r="402" spans="1:8" s="139" customFormat="1" ht="15" hidden="1">
      <c r="A402" s="139">
        <v>400</v>
      </c>
      <c r="D402" s="199"/>
      <c r="E402" s="199"/>
      <c r="F402" s="199"/>
      <c r="H402" s="182"/>
    </row>
    <row r="403" spans="1:8" s="139" customFormat="1" ht="15" hidden="1">
      <c r="A403" s="139">
        <v>401</v>
      </c>
      <c r="D403" s="199"/>
      <c r="E403" s="199"/>
      <c r="F403" s="199"/>
      <c r="H403" s="182"/>
    </row>
    <row r="404" spans="1:8" s="139" customFormat="1" ht="15" hidden="1">
      <c r="A404" s="139">
        <v>402</v>
      </c>
      <c r="D404" s="199"/>
      <c r="E404" s="199"/>
      <c r="F404" s="199"/>
      <c r="H404" s="182"/>
    </row>
    <row r="405" spans="1:8" s="139" customFormat="1" ht="15" hidden="1">
      <c r="A405" s="139">
        <v>403</v>
      </c>
      <c r="D405" s="199"/>
      <c r="E405" s="199"/>
      <c r="F405" s="199"/>
      <c r="H405" s="182"/>
    </row>
    <row r="406" spans="1:8" s="139" customFormat="1" ht="15" hidden="1">
      <c r="A406" s="139">
        <v>404</v>
      </c>
      <c r="D406" s="199"/>
      <c r="E406" s="199"/>
      <c r="F406" s="199"/>
      <c r="H406" s="182"/>
    </row>
    <row r="407" spans="1:8" s="139" customFormat="1" ht="15" hidden="1">
      <c r="A407" s="139">
        <v>405</v>
      </c>
      <c r="D407" s="199"/>
      <c r="E407" s="199"/>
      <c r="F407" s="199"/>
      <c r="H407" s="182"/>
    </row>
    <row r="408" spans="1:8" s="139" customFormat="1" ht="15" hidden="1">
      <c r="A408" s="139">
        <v>406</v>
      </c>
      <c r="D408" s="199"/>
      <c r="E408" s="199"/>
      <c r="F408" s="199"/>
      <c r="H408" s="182"/>
    </row>
    <row r="409" spans="1:8" s="139" customFormat="1" ht="15" hidden="1">
      <c r="A409" s="139">
        <v>407</v>
      </c>
      <c r="D409" s="199"/>
      <c r="E409" s="199"/>
      <c r="F409" s="199"/>
      <c r="H409" s="182"/>
    </row>
    <row r="410" spans="1:8" s="139" customFormat="1" ht="15" hidden="1">
      <c r="A410" s="139">
        <v>408</v>
      </c>
      <c r="D410" s="199"/>
      <c r="E410" s="199"/>
      <c r="F410" s="199"/>
      <c r="H410" s="182"/>
    </row>
    <row r="411" spans="1:8" s="139" customFormat="1" ht="15" hidden="1">
      <c r="A411" s="139">
        <v>409</v>
      </c>
      <c r="D411" s="199"/>
      <c r="E411" s="199"/>
      <c r="F411" s="199"/>
      <c r="H411" s="182"/>
    </row>
    <row r="412" spans="1:8" s="139" customFormat="1" ht="15" hidden="1">
      <c r="A412" s="139">
        <v>410</v>
      </c>
      <c r="D412" s="199"/>
      <c r="E412" s="199"/>
      <c r="F412" s="199"/>
      <c r="H412" s="182"/>
    </row>
    <row r="413" spans="1:8" s="139" customFormat="1" ht="15" hidden="1">
      <c r="A413" s="139">
        <v>411</v>
      </c>
      <c r="D413" s="199"/>
      <c r="E413" s="199"/>
      <c r="F413" s="199"/>
      <c r="H413" s="182"/>
    </row>
    <row r="414" spans="1:8" s="139" customFormat="1" ht="15" hidden="1">
      <c r="A414" s="139">
        <v>412</v>
      </c>
      <c r="D414" s="199"/>
      <c r="E414" s="199"/>
      <c r="F414" s="199"/>
      <c r="H414" s="182"/>
    </row>
    <row r="415" spans="1:8" s="139" customFormat="1" ht="15" hidden="1">
      <c r="A415" s="139">
        <v>413</v>
      </c>
      <c r="D415" s="199"/>
      <c r="E415" s="199"/>
      <c r="F415" s="199"/>
      <c r="H415" s="182"/>
    </row>
    <row r="416" spans="1:8" s="139" customFormat="1" ht="15" hidden="1">
      <c r="A416" s="139">
        <v>414</v>
      </c>
      <c r="D416" s="199"/>
      <c r="E416" s="199"/>
      <c r="F416" s="199"/>
      <c r="H416" s="182"/>
    </row>
    <row r="417" spans="1:8" s="139" customFormat="1" ht="15" hidden="1">
      <c r="A417" s="139">
        <v>415</v>
      </c>
      <c r="D417" s="199"/>
      <c r="E417" s="199"/>
      <c r="F417" s="199"/>
      <c r="H417" s="182"/>
    </row>
    <row r="418" spans="1:8" s="139" customFormat="1" ht="15" hidden="1">
      <c r="A418" s="139">
        <v>416</v>
      </c>
      <c r="D418" s="199"/>
      <c r="E418" s="199"/>
      <c r="F418" s="199"/>
      <c r="H418" s="182"/>
    </row>
    <row r="419" spans="1:8" s="139" customFormat="1" ht="15" hidden="1">
      <c r="A419" s="139">
        <v>417</v>
      </c>
      <c r="D419" s="199"/>
      <c r="E419" s="199"/>
      <c r="F419" s="199"/>
      <c r="H419" s="182"/>
    </row>
    <row r="420" spans="1:8" s="139" customFormat="1" ht="15" hidden="1">
      <c r="A420" s="139">
        <v>418</v>
      </c>
      <c r="D420" s="199"/>
      <c r="E420" s="199"/>
      <c r="F420" s="199"/>
      <c r="H420" s="182"/>
    </row>
    <row r="421" spans="1:8" s="139" customFormat="1" ht="15" hidden="1">
      <c r="A421" s="139">
        <v>419</v>
      </c>
      <c r="D421" s="199"/>
      <c r="E421" s="199"/>
      <c r="F421" s="199"/>
      <c r="H421" s="182"/>
    </row>
    <row r="422" spans="1:8" s="139" customFormat="1" ht="15" hidden="1">
      <c r="A422" s="139">
        <v>420</v>
      </c>
      <c r="D422" s="199"/>
      <c r="E422" s="199"/>
      <c r="F422" s="199"/>
      <c r="H422" s="182"/>
    </row>
    <row r="423" spans="1:8" s="139" customFormat="1" ht="15" hidden="1">
      <c r="A423" s="139">
        <v>421</v>
      </c>
      <c r="D423" s="199"/>
      <c r="E423" s="199"/>
      <c r="F423" s="199"/>
      <c r="H423" s="182"/>
    </row>
    <row r="424" spans="1:8" s="139" customFormat="1" ht="15" hidden="1">
      <c r="A424" s="139">
        <v>422</v>
      </c>
      <c r="D424" s="199"/>
      <c r="E424" s="199"/>
      <c r="F424" s="199"/>
      <c r="H424" s="182"/>
    </row>
    <row r="425" spans="1:8" s="139" customFormat="1" ht="15" hidden="1">
      <c r="A425" s="139">
        <v>423</v>
      </c>
      <c r="D425" s="199"/>
      <c r="E425" s="199"/>
      <c r="F425" s="199"/>
      <c r="H425" s="182"/>
    </row>
    <row r="426" spans="1:8" s="139" customFormat="1" ht="15" hidden="1">
      <c r="A426" s="139">
        <v>424</v>
      </c>
      <c r="D426" s="199"/>
      <c r="E426" s="199"/>
      <c r="F426" s="199"/>
      <c r="H426" s="182"/>
    </row>
    <row r="427" spans="1:8" s="139" customFormat="1" ht="15" hidden="1">
      <c r="A427" s="139">
        <v>425</v>
      </c>
      <c r="D427" s="199"/>
      <c r="E427" s="199"/>
      <c r="F427" s="199"/>
      <c r="H427" s="182"/>
    </row>
    <row r="428" spans="1:8" s="139" customFormat="1" ht="15" hidden="1">
      <c r="A428" s="139">
        <v>426</v>
      </c>
      <c r="D428" s="199"/>
      <c r="E428" s="199"/>
      <c r="F428" s="199"/>
      <c r="H428" s="182"/>
    </row>
    <row r="429" spans="1:8" s="139" customFormat="1" ht="15" hidden="1">
      <c r="A429" s="139">
        <v>427</v>
      </c>
      <c r="D429" s="199"/>
      <c r="E429" s="199"/>
      <c r="F429" s="199"/>
      <c r="H429" s="182"/>
    </row>
    <row r="430" spans="1:8" s="139" customFormat="1" ht="15" hidden="1">
      <c r="A430" s="139">
        <v>428</v>
      </c>
      <c r="D430" s="199"/>
      <c r="E430" s="199"/>
      <c r="F430" s="199"/>
      <c r="H430" s="182"/>
    </row>
    <row r="431" spans="1:8" s="139" customFormat="1" ht="15" hidden="1">
      <c r="A431" s="139">
        <v>429</v>
      </c>
      <c r="D431" s="199"/>
      <c r="E431" s="199"/>
      <c r="F431" s="199"/>
      <c r="H431" s="182"/>
    </row>
    <row r="432" spans="1:8" s="139" customFormat="1" ht="15" hidden="1">
      <c r="A432" s="139">
        <v>430</v>
      </c>
      <c r="D432" s="199"/>
      <c r="E432" s="199"/>
      <c r="F432" s="199"/>
      <c r="H432" s="182"/>
    </row>
    <row r="433" spans="1:8" s="139" customFormat="1" ht="15" hidden="1">
      <c r="A433" s="139">
        <v>431</v>
      </c>
      <c r="D433" s="199"/>
      <c r="E433" s="199"/>
      <c r="F433" s="199"/>
      <c r="H433" s="182"/>
    </row>
    <row r="434" spans="1:8" s="139" customFormat="1" ht="15" hidden="1">
      <c r="A434" s="139">
        <v>432</v>
      </c>
      <c r="D434" s="199"/>
      <c r="E434" s="199"/>
      <c r="F434" s="199"/>
      <c r="H434" s="182"/>
    </row>
    <row r="435" spans="1:8" s="139" customFormat="1" ht="15" hidden="1">
      <c r="A435" s="139">
        <v>433</v>
      </c>
      <c r="D435" s="199"/>
      <c r="E435" s="199"/>
      <c r="F435" s="199"/>
      <c r="H435" s="182"/>
    </row>
    <row r="436" spans="1:8" s="139" customFormat="1" ht="15" hidden="1">
      <c r="A436" s="139">
        <v>434</v>
      </c>
      <c r="D436" s="199"/>
      <c r="E436" s="199"/>
      <c r="F436" s="199"/>
      <c r="H436" s="182"/>
    </row>
    <row r="437" spans="1:8" s="139" customFormat="1" ht="15" hidden="1">
      <c r="A437" s="139">
        <v>435</v>
      </c>
      <c r="D437" s="199"/>
      <c r="E437" s="199"/>
      <c r="F437" s="199"/>
      <c r="H437" s="182"/>
    </row>
    <row r="438" spans="1:8" s="139" customFormat="1" ht="15" hidden="1">
      <c r="A438" s="139">
        <v>436</v>
      </c>
      <c r="D438" s="199"/>
      <c r="E438" s="199"/>
      <c r="F438" s="199"/>
      <c r="H438" s="182"/>
    </row>
    <row r="439" spans="1:8" s="139" customFormat="1" ht="15" hidden="1">
      <c r="A439" s="139">
        <v>437</v>
      </c>
      <c r="D439" s="199"/>
      <c r="E439" s="199"/>
      <c r="F439" s="199"/>
      <c r="H439" s="182"/>
    </row>
    <row r="440" spans="1:8" s="139" customFormat="1" ht="15" hidden="1">
      <c r="A440" s="139">
        <v>438</v>
      </c>
      <c r="D440" s="199"/>
      <c r="E440" s="199"/>
      <c r="F440" s="199"/>
      <c r="H440" s="182"/>
    </row>
    <row r="441" spans="1:8" s="139" customFormat="1" ht="15" hidden="1">
      <c r="A441" s="139">
        <v>439</v>
      </c>
      <c r="D441" s="199"/>
      <c r="E441" s="199"/>
      <c r="F441" s="199"/>
      <c r="H441" s="182"/>
    </row>
    <row r="442" spans="1:8" s="139" customFormat="1" ht="15" hidden="1">
      <c r="A442" s="139">
        <v>440</v>
      </c>
      <c r="D442" s="199"/>
      <c r="E442" s="199"/>
      <c r="F442" s="199"/>
      <c r="H442" s="182"/>
    </row>
    <row r="443" spans="1:8" s="139" customFormat="1" ht="15" hidden="1">
      <c r="A443" s="139">
        <v>441</v>
      </c>
      <c r="D443" s="199"/>
      <c r="E443" s="199"/>
      <c r="F443" s="199"/>
      <c r="H443" s="182"/>
    </row>
    <row r="444" spans="1:8" s="139" customFormat="1" ht="15" hidden="1">
      <c r="A444" s="139">
        <v>442</v>
      </c>
      <c r="D444" s="199"/>
      <c r="E444" s="199"/>
      <c r="F444" s="199"/>
      <c r="H444" s="182"/>
    </row>
    <row r="445" spans="1:8" s="139" customFormat="1" ht="15" hidden="1">
      <c r="A445" s="139">
        <v>443</v>
      </c>
      <c r="D445" s="199"/>
      <c r="E445" s="199"/>
      <c r="F445" s="199"/>
      <c r="H445" s="182"/>
    </row>
    <row r="446" spans="1:8" s="139" customFormat="1" ht="15" hidden="1">
      <c r="A446" s="139">
        <v>444</v>
      </c>
      <c r="D446" s="199"/>
      <c r="E446" s="199"/>
      <c r="F446" s="199"/>
      <c r="H446" s="182"/>
    </row>
    <row r="447" spans="1:8" s="139" customFormat="1" ht="15" hidden="1">
      <c r="A447" s="139">
        <v>445</v>
      </c>
      <c r="D447" s="199"/>
      <c r="E447" s="199"/>
      <c r="F447" s="199"/>
      <c r="H447" s="182"/>
    </row>
    <row r="448" spans="1:8" s="139" customFormat="1" ht="15" hidden="1">
      <c r="A448" s="139">
        <v>446</v>
      </c>
      <c r="D448" s="199"/>
      <c r="E448" s="199"/>
      <c r="F448" s="199"/>
      <c r="H448" s="182"/>
    </row>
    <row r="449" spans="1:8" s="139" customFormat="1" ht="15" hidden="1">
      <c r="A449" s="139">
        <v>447</v>
      </c>
      <c r="D449" s="199"/>
      <c r="E449" s="199"/>
      <c r="F449" s="199"/>
      <c r="H449" s="182"/>
    </row>
    <row r="450" spans="1:8" s="139" customFormat="1" ht="15" hidden="1">
      <c r="A450" s="139">
        <v>448</v>
      </c>
      <c r="D450" s="199"/>
      <c r="E450" s="199"/>
      <c r="F450" s="199"/>
      <c r="H450" s="182"/>
    </row>
    <row r="451" spans="1:8" s="139" customFormat="1" ht="15" hidden="1">
      <c r="A451" s="139">
        <v>449</v>
      </c>
      <c r="D451" s="199"/>
      <c r="E451" s="199"/>
      <c r="F451" s="199"/>
      <c r="H451" s="182"/>
    </row>
    <row r="452" spans="1:8" s="139" customFormat="1" ht="15" hidden="1">
      <c r="A452" s="139">
        <v>450</v>
      </c>
      <c r="D452" s="199"/>
      <c r="E452" s="199"/>
      <c r="F452" s="199"/>
      <c r="H452" s="182"/>
    </row>
    <row r="453" spans="1:8" s="139" customFormat="1" ht="15" hidden="1">
      <c r="A453" s="139">
        <v>451</v>
      </c>
      <c r="D453" s="199"/>
      <c r="E453" s="199"/>
      <c r="F453" s="199"/>
      <c r="H453" s="182"/>
    </row>
    <row r="454" spans="1:8" s="139" customFormat="1" ht="15" hidden="1">
      <c r="A454" s="139">
        <v>452</v>
      </c>
      <c r="D454" s="199"/>
      <c r="E454" s="199"/>
      <c r="F454" s="199"/>
      <c r="H454" s="182"/>
    </row>
    <row r="455" spans="1:8" s="139" customFormat="1" ht="15" hidden="1">
      <c r="A455" s="139">
        <v>453</v>
      </c>
      <c r="D455" s="199"/>
      <c r="E455" s="199"/>
      <c r="F455" s="199"/>
      <c r="H455" s="182"/>
    </row>
    <row r="456" spans="1:8" s="139" customFormat="1" ht="15" hidden="1">
      <c r="A456" s="139">
        <v>454</v>
      </c>
      <c r="D456" s="199"/>
      <c r="E456" s="199"/>
      <c r="F456" s="199"/>
      <c r="H456" s="182"/>
    </row>
    <row r="457" spans="1:8" s="139" customFormat="1" ht="15" hidden="1">
      <c r="A457" s="139">
        <v>455</v>
      </c>
      <c r="D457" s="199"/>
      <c r="E457" s="199"/>
      <c r="F457" s="199"/>
      <c r="H457" s="182"/>
    </row>
    <row r="458" spans="1:8" s="139" customFormat="1" ht="15" hidden="1">
      <c r="A458" s="139">
        <v>456</v>
      </c>
      <c r="D458" s="199"/>
      <c r="E458" s="199"/>
      <c r="F458" s="199"/>
      <c r="H458" s="182"/>
    </row>
    <row r="459" spans="1:8" s="139" customFormat="1" ht="15" hidden="1">
      <c r="A459" s="139">
        <v>457</v>
      </c>
      <c r="D459" s="199"/>
      <c r="E459" s="199"/>
      <c r="F459" s="199"/>
      <c r="H459" s="182"/>
    </row>
  </sheetData>
  <autoFilter ref="A2:H459" xr:uid="{1B5698D4-A871-487B-9DB9-A82EDE34A0C0}">
    <filterColumn colId="4">
      <filters>
        <filter val="#N/A"/>
      </filters>
    </filterColumn>
    <filterColumn colId="7">
      <filters>
        <filter val="409,000"/>
        <filter val="429,000"/>
        <filter val="463,050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5236-8510-42F7-97D7-B6D1BF99D277}">
  <dimension ref="A2:H459"/>
  <sheetViews>
    <sheetView workbookViewId="0">
      <selection activeCell="C16" sqref="C16"/>
    </sheetView>
  </sheetViews>
  <sheetFormatPr baseColWidth="10" defaultColWidth="9.19921875" defaultRowHeight="15"/>
  <cols>
    <col min="1" max="1" width="9.19921875" style="139"/>
    <col min="2" max="2" width="32.19921875" style="139" customWidth="1"/>
    <col min="3" max="3" width="17.59765625" style="139" customWidth="1"/>
    <col min="4" max="4" width="14.19921875" style="199" bestFit="1" customWidth="1"/>
    <col min="5" max="6" width="14.19921875" style="199" customWidth="1"/>
    <col min="7" max="7" width="9.19921875" style="139"/>
    <col min="8" max="8" width="13.19921875" style="182" bestFit="1" customWidth="1"/>
    <col min="9" max="16384" width="9.19921875" style="139"/>
  </cols>
  <sheetData>
    <row r="2" spans="1:8">
      <c r="A2" s="139" t="s">
        <v>0</v>
      </c>
      <c r="B2" s="139" t="s">
        <v>524</v>
      </c>
      <c r="C2" s="139" t="s">
        <v>474</v>
      </c>
      <c r="D2" s="199" t="s">
        <v>525</v>
      </c>
      <c r="F2" s="199" t="s">
        <v>481</v>
      </c>
      <c r="G2" s="139" t="s">
        <v>526</v>
      </c>
      <c r="H2" s="182" t="s">
        <v>609</v>
      </c>
    </row>
    <row r="3" spans="1:8">
      <c r="A3" s="139">
        <v>1</v>
      </c>
      <c r="B3" s="139" t="s">
        <v>69</v>
      </c>
      <c r="C3" s="139" t="s">
        <v>527</v>
      </c>
      <c r="D3" s="199">
        <v>12897000</v>
      </c>
      <c r="E3" s="199" t="e">
        <f>VLOOKUP(B3,#REF!,151,0)</f>
        <v>#REF!</v>
      </c>
      <c r="F3" s="199" t="e">
        <f>+D3-E3</f>
        <v>#REF!</v>
      </c>
      <c r="G3" s="139" t="s">
        <v>528</v>
      </c>
      <c r="H3" s="182">
        <v>461000</v>
      </c>
    </row>
    <row r="4" spans="1:8">
      <c r="A4" s="139">
        <v>2</v>
      </c>
      <c r="B4" s="139" t="s">
        <v>529</v>
      </c>
      <c r="C4" s="139" t="s">
        <v>530</v>
      </c>
      <c r="D4" s="199">
        <v>13476000</v>
      </c>
      <c r="E4" s="199" t="e">
        <f>VLOOKUP(B4,#REF!,151,0)</f>
        <v>#REF!</v>
      </c>
      <c r="F4" s="199" t="e">
        <f t="shared" ref="F4:F67" si="0">+D4-E4</f>
        <v>#REF!</v>
      </c>
      <c r="G4" s="139" t="s">
        <v>528</v>
      </c>
      <c r="H4" s="182">
        <v>461000</v>
      </c>
    </row>
    <row r="5" spans="1:8">
      <c r="A5" s="139">
        <v>3</v>
      </c>
      <c r="B5" s="139" t="s">
        <v>140</v>
      </c>
      <c r="C5" s="139" t="s">
        <v>530</v>
      </c>
      <c r="D5" s="199">
        <v>15230000</v>
      </c>
      <c r="E5" s="199" t="e">
        <f>VLOOKUP(B5,#REF!,151,0)</f>
        <v>#REF!</v>
      </c>
      <c r="F5" s="199" t="e">
        <f t="shared" si="0"/>
        <v>#REF!</v>
      </c>
      <c r="G5" s="139" t="s">
        <v>528</v>
      </c>
      <c r="H5" s="182">
        <v>461000</v>
      </c>
    </row>
    <row r="6" spans="1:8">
      <c r="A6" s="139">
        <v>4</v>
      </c>
      <c r="B6" s="139" t="s">
        <v>531</v>
      </c>
      <c r="C6" s="139" t="s">
        <v>532</v>
      </c>
      <c r="D6" s="199">
        <v>10503000</v>
      </c>
      <c r="E6" s="199" t="e">
        <f>VLOOKUP(B6,#REF!,151,0)</f>
        <v>#REF!</v>
      </c>
      <c r="F6" s="199" t="e">
        <f t="shared" si="0"/>
        <v>#REF!</v>
      </c>
      <c r="G6" s="139" t="s">
        <v>528</v>
      </c>
      <c r="H6" s="182">
        <v>461000</v>
      </c>
    </row>
    <row r="7" spans="1:8">
      <c r="A7" s="139">
        <v>5</v>
      </c>
      <c r="B7" s="139" t="s">
        <v>533</v>
      </c>
      <c r="C7" s="139" t="s">
        <v>534</v>
      </c>
      <c r="D7" s="199">
        <v>13650000</v>
      </c>
      <c r="E7" s="199" t="e">
        <f>VLOOKUP(B7,#REF!,151,0)</f>
        <v>#REF!</v>
      </c>
      <c r="F7" s="199" t="e">
        <f t="shared" si="0"/>
        <v>#REF!</v>
      </c>
      <c r="G7" s="139" t="s">
        <v>528</v>
      </c>
      <c r="H7" s="182">
        <v>461000</v>
      </c>
    </row>
    <row r="8" spans="1:8" ht="14.25" customHeight="1">
      <c r="A8" s="139">
        <v>6</v>
      </c>
      <c r="B8" s="139" t="s">
        <v>100</v>
      </c>
      <c r="C8" s="139" t="s">
        <v>535</v>
      </c>
      <c r="D8" s="199">
        <v>11317000</v>
      </c>
      <c r="E8" s="199" t="e">
        <f>VLOOKUP(B8,#REF!,151,0)</f>
        <v>#REF!</v>
      </c>
      <c r="F8" s="199" t="e">
        <f t="shared" si="0"/>
        <v>#REF!</v>
      </c>
      <c r="G8" s="139" t="s">
        <v>528</v>
      </c>
      <c r="H8" s="182">
        <v>461000</v>
      </c>
    </row>
    <row r="9" spans="1:8">
      <c r="A9" s="139">
        <v>7</v>
      </c>
      <c r="B9" s="139" t="s">
        <v>536</v>
      </c>
      <c r="C9" s="139" t="s">
        <v>25</v>
      </c>
      <c r="D9" s="199">
        <v>7501000</v>
      </c>
      <c r="E9" s="199" t="e">
        <f>VLOOKUP(B9,#REF!,151,0)</f>
        <v>#REF!</v>
      </c>
      <c r="F9" s="199" t="e">
        <f t="shared" si="0"/>
        <v>#REF!</v>
      </c>
      <c r="G9" s="139" t="s">
        <v>528</v>
      </c>
      <c r="H9" s="182">
        <v>409000</v>
      </c>
    </row>
    <row r="10" spans="1:8">
      <c r="A10" s="139">
        <v>8</v>
      </c>
      <c r="B10" s="139" t="s">
        <v>537</v>
      </c>
      <c r="C10" s="139" t="s">
        <v>25</v>
      </c>
      <c r="D10" s="199">
        <v>6560000</v>
      </c>
      <c r="E10" s="199" t="e">
        <f>VLOOKUP(B10,#REF!,151,0)</f>
        <v>#REF!</v>
      </c>
      <c r="F10" s="199" t="e">
        <f t="shared" si="0"/>
        <v>#REF!</v>
      </c>
      <c r="G10" s="139" t="s">
        <v>528</v>
      </c>
    </row>
    <row r="11" spans="1:8">
      <c r="A11" s="139">
        <v>9</v>
      </c>
      <c r="B11" s="139" t="s">
        <v>538</v>
      </c>
      <c r="C11" s="139" t="s">
        <v>25</v>
      </c>
      <c r="D11" s="199">
        <v>4549000</v>
      </c>
      <c r="E11" s="199" t="e">
        <f>VLOOKUP(B11,#REF!,151,0)</f>
        <v>#REF!</v>
      </c>
      <c r="F11" s="199" t="e">
        <f t="shared" si="0"/>
        <v>#REF!</v>
      </c>
      <c r="G11" s="139" t="s">
        <v>528</v>
      </c>
      <c r="H11" s="182">
        <v>409000</v>
      </c>
    </row>
    <row r="12" spans="1:8">
      <c r="A12" s="139">
        <v>10</v>
      </c>
      <c r="B12" s="139" t="s">
        <v>539</v>
      </c>
      <c r="C12" s="139" t="s">
        <v>25</v>
      </c>
      <c r="D12" s="199">
        <v>7240000</v>
      </c>
      <c r="E12" s="199" t="e">
        <f>VLOOKUP(B12,#REF!,151,0)</f>
        <v>#REF!</v>
      </c>
      <c r="F12" s="199" t="e">
        <f t="shared" si="0"/>
        <v>#REF!</v>
      </c>
      <c r="G12" s="139" t="s">
        <v>528</v>
      </c>
    </row>
    <row r="13" spans="1:8">
      <c r="A13" s="139">
        <v>11</v>
      </c>
      <c r="B13" s="139" t="s">
        <v>540</v>
      </c>
      <c r="C13" s="139" t="s">
        <v>25</v>
      </c>
      <c r="D13" s="199">
        <v>6850000</v>
      </c>
      <c r="E13" s="199" t="e">
        <f>VLOOKUP(B13,#REF!,151,0)</f>
        <v>#REF!</v>
      </c>
      <c r="F13" s="199" t="e">
        <f t="shared" si="0"/>
        <v>#REF!</v>
      </c>
      <c r="G13" s="139" t="s">
        <v>528</v>
      </c>
    </row>
    <row r="14" spans="1:8">
      <c r="A14" s="139">
        <v>12</v>
      </c>
      <c r="B14" s="139" t="s">
        <v>541</v>
      </c>
      <c r="C14" s="139" t="s">
        <v>25</v>
      </c>
      <c r="D14" s="199">
        <v>7351000</v>
      </c>
      <c r="E14" s="199" t="e">
        <f>VLOOKUP(B14,#REF!,151,0)</f>
        <v>#REF!</v>
      </c>
      <c r="F14" s="199" t="e">
        <f t="shared" si="0"/>
        <v>#REF!</v>
      </c>
      <c r="G14" s="139" t="s">
        <v>528</v>
      </c>
      <c r="H14" s="182">
        <v>409000</v>
      </c>
    </row>
    <row r="15" spans="1:8">
      <c r="A15" s="139">
        <v>13</v>
      </c>
      <c r="B15" s="139" t="s">
        <v>542</v>
      </c>
      <c r="C15" s="139" t="s">
        <v>25</v>
      </c>
      <c r="D15" s="199">
        <v>10842000</v>
      </c>
      <c r="E15" s="199" t="e">
        <f>VLOOKUP(B15,#REF!,151,0)</f>
        <v>#REF!</v>
      </c>
      <c r="F15" s="199" t="e">
        <f t="shared" si="0"/>
        <v>#REF!</v>
      </c>
      <c r="G15" s="139" t="s">
        <v>528</v>
      </c>
      <c r="H15" s="182">
        <v>409000</v>
      </c>
    </row>
    <row r="16" spans="1:8">
      <c r="A16" s="139">
        <v>14</v>
      </c>
      <c r="B16" s="139" t="s">
        <v>543</v>
      </c>
      <c r="C16" s="139" t="s">
        <v>25</v>
      </c>
      <c r="D16" s="199">
        <v>7806000</v>
      </c>
      <c r="E16" s="199" t="e">
        <f>VLOOKUP(B16,#REF!,151,0)</f>
        <v>#REF!</v>
      </c>
      <c r="F16" s="199" t="e">
        <f t="shared" si="0"/>
        <v>#REF!</v>
      </c>
      <c r="G16" s="139" t="s">
        <v>528</v>
      </c>
      <c r="H16" s="182">
        <v>409000</v>
      </c>
    </row>
    <row r="17" spans="1:8">
      <c r="A17" s="139">
        <v>15</v>
      </c>
      <c r="B17" s="139" t="s">
        <v>544</v>
      </c>
      <c r="C17" s="139" t="s">
        <v>25</v>
      </c>
      <c r="D17" s="199">
        <v>7766000</v>
      </c>
      <c r="E17" s="199" t="e">
        <f>VLOOKUP(B17,#REF!,151,0)</f>
        <v>#REF!</v>
      </c>
      <c r="F17" s="199" t="e">
        <f t="shared" si="0"/>
        <v>#REF!</v>
      </c>
      <c r="G17" s="139" t="s">
        <v>528</v>
      </c>
      <c r="H17" s="182">
        <v>409000</v>
      </c>
    </row>
    <row r="18" spans="1:8">
      <c r="A18" s="139">
        <v>16</v>
      </c>
      <c r="B18" s="139" t="s">
        <v>545</v>
      </c>
      <c r="C18" s="139" t="s">
        <v>25</v>
      </c>
      <c r="D18" s="199">
        <v>11186000</v>
      </c>
      <c r="E18" s="199" t="e">
        <f>VLOOKUP(B18,#REF!,151,0)</f>
        <v>#REF!</v>
      </c>
      <c r="F18" s="199" t="e">
        <f t="shared" si="0"/>
        <v>#REF!</v>
      </c>
      <c r="G18" s="139" t="s">
        <v>528</v>
      </c>
    </row>
    <row r="19" spans="1:8">
      <c r="A19" s="139">
        <v>17</v>
      </c>
      <c r="B19" s="139" t="s">
        <v>98</v>
      </c>
      <c r="C19" s="139" t="s">
        <v>25</v>
      </c>
      <c r="D19" s="199">
        <v>8022000</v>
      </c>
      <c r="E19" s="199" t="e">
        <f>VLOOKUP(B19,#REF!,151,0)</f>
        <v>#REF!</v>
      </c>
      <c r="F19" s="199" t="e">
        <f t="shared" si="0"/>
        <v>#REF!</v>
      </c>
      <c r="G19" s="139" t="s">
        <v>528</v>
      </c>
      <c r="H19" s="182">
        <v>409000</v>
      </c>
    </row>
    <row r="20" spans="1:8">
      <c r="A20" s="139">
        <v>18</v>
      </c>
      <c r="B20" s="139" t="s">
        <v>546</v>
      </c>
      <c r="C20" s="139" t="s">
        <v>25</v>
      </c>
      <c r="D20" s="199">
        <v>0</v>
      </c>
      <c r="E20" s="199" t="e">
        <f>VLOOKUP(B20,#REF!,151,0)</f>
        <v>#REF!</v>
      </c>
      <c r="F20" s="199" t="e">
        <f t="shared" si="0"/>
        <v>#REF!</v>
      </c>
      <c r="G20" s="139" t="s">
        <v>528</v>
      </c>
    </row>
    <row r="21" spans="1:8">
      <c r="A21" s="139">
        <v>19</v>
      </c>
      <c r="B21" s="139" t="s">
        <v>547</v>
      </c>
      <c r="C21" s="139" t="s">
        <v>25</v>
      </c>
      <c r="D21" s="199">
        <v>7747000</v>
      </c>
      <c r="E21" s="199" t="e">
        <f>VLOOKUP(B21,#REF!,151,0)</f>
        <v>#REF!</v>
      </c>
      <c r="F21" s="199" t="e">
        <f t="shared" si="0"/>
        <v>#REF!</v>
      </c>
      <c r="G21" s="139" t="s">
        <v>528</v>
      </c>
    </row>
    <row r="22" spans="1:8">
      <c r="A22" s="139">
        <v>20</v>
      </c>
      <c r="B22" s="139" t="s">
        <v>548</v>
      </c>
      <c r="C22" s="139" t="s">
        <v>25</v>
      </c>
      <c r="D22" s="199">
        <v>9018000</v>
      </c>
      <c r="E22" s="199" t="e">
        <f>VLOOKUP(B22,#REF!,151,0)</f>
        <v>#REF!</v>
      </c>
      <c r="F22" s="199" t="e">
        <f t="shared" si="0"/>
        <v>#REF!</v>
      </c>
      <c r="G22" s="139" t="s">
        <v>528</v>
      </c>
    </row>
    <row r="23" spans="1:8">
      <c r="A23" s="139">
        <v>21</v>
      </c>
      <c r="B23" s="139" t="s">
        <v>549</v>
      </c>
      <c r="C23" s="139" t="s">
        <v>25</v>
      </c>
      <c r="D23" s="199">
        <v>9213000</v>
      </c>
      <c r="E23" s="199" t="e">
        <f>VLOOKUP(B23,#REF!,151,0)</f>
        <v>#REF!</v>
      </c>
      <c r="F23" s="199" t="e">
        <f t="shared" si="0"/>
        <v>#REF!</v>
      </c>
      <c r="G23" s="139" t="s">
        <v>528</v>
      </c>
    </row>
    <row r="24" spans="1:8">
      <c r="A24" s="139">
        <v>22</v>
      </c>
      <c r="B24" s="139" t="s">
        <v>550</v>
      </c>
      <c r="C24" s="139" t="s">
        <v>25</v>
      </c>
      <c r="D24" s="199">
        <v>8857000</v>
      </c>
      <c r="E24" s="199" t="e">
        <f>VLOOKUP(B24,#REF!,151,0)</f>
        <v>#REF!</v>
      </c>
      <c r="F24" s="199" t="e">
        <f t="shared" si="0"/>
        <v>#REF!</v>
      </c>
      <c r="G24" s="139" t="s">
        <v>528</v>
      </c>
      <c r="H24" s="182">
        <v>409000</v>
      </c>
    </row>
    <row r="25" spans="1:8">
      <c r="A25" s="139">
        <v>23</v>
      </c>
      <c r="B25" s="139" t="s">
        <v>551</v>
      </c>
      <c r="C25" s="139" t="s">
        <v>25</v>
      </c>
      <c r="D25" s="199">
        <v>7553000</v>
      </c>
      <c r="E25" s="199" t="e">
        <f>VLOOKUP(B25,#REF!,151,0)</f>
        <v>#REF!</v>
      </c>
      <c r="F25" s="199" t="e">
        <f t="shared" si="0"/>
        <v>#REF!</v>
      </c>
      <c r="G25" s="139" t="s">
        <v>528</v>
      </c>
    </row>
    <row r="26" spans="1:8">
      <c r="A26" s="139">
        <v>24</v>
      </c>
      <c r="B26" s="139" t="s">
        <v>552</v>
      </c>
      <c r="C26" s="139" t="s">
        <v>25</v>
      </c>
      <c r="D26" s="199">
        <v>8759000</v>
      </c>
      <c r="E26" s="199" t="e">
        <f>VLOOKUP(B26,#REF!,151,0)</f>
        <v>#REF!</v>
      </c>
      <c r="F26" s="199" t="e">
        <f t="shared" si="0"/>
        <v>#REF!</v>
      </c>
      <c r="G26" s="139" t="s">
        <v>528</v>
      </c>
      <c r="H26" s="182">
        <v>409000</v>
      </c>
    </row>
    <row r="27" spans="1:8">
      <c r="A27" s="139">
        <v>25</v>
      </c>
      <c r="B27" s="139" t="s">
        <v>553</v>
      </c>
      <c r="C27" s="139" t="s">
        <v>25</v>
      </c>
      <c r="D27" s="199">
        <v>10935000</v>
      </c>
      <c r="E27" s="199" t="e">
        <f>VLOOKUP(B27,#REF!,151,0)</f>
        <v>#REF!</v>
      </c>
      <c r="F27" s="199" t="e">
        <f t="shared" si="0"/>
        <v>#REF!</v>
      </c>
      <c r="G27" s="139" t="s">
        <v>528</v>
      </c>
      <c r="H27" s="182">
        <v>409000</v>
      </c>
    </row>
    <row r="28" spans="1:8">
      <c r="A28" s="139">
        <v>26</v>
      </c>
      <c r="B28" s="139" t="s">
        <v>554</v>
      </c>
      <c r="C28" s="139" t="s">
        <v>25</v>
      </c>
      <c r="D28" s="199">
        <v>11344000</v>
      </c>
      <c r="E28" s="199" t="e">
        <f>VLOOKUP(B28,#REF!,151,0)</f>
        <v>#REF!</v>
      </c>
      <c r="F28" s="199" t="e">
        <f t="shared" si="0"/>
        <v>#REF!</v>
      </c>
      <c r="G28" s="139" t="s">
        <v>528</v>
      </c>
    </row>
    <row r="29" spans="1:8">
      <c r="A29" s="139">
        <v>27</v>
      </c>
      <c r="B29" s="139" t="s">
        <v>555</v>
      </c>
      <c r="C29" s="139" t="s">
        <v>25</v>
      </c>
      <c r="D29" s="199">
        <v>8424000</v>
      </c>
      <c r="E29" s="199" t="e">
        <f>VLOOKUP(B29,#REF!,151,0)</f>
        <v>#REF!</v>
      </c>
      <c r="F29" s="199" t="e">
        <f t="shared" si="0"/>
        <v>#REF!</v>
      </c>
      <c r="G29" s="139" t="s">
        <v>528</v>
      </c>
      <c r="H29" s="182">
        <v>409000</v>
      </c>
    </row>
    <row r="30" spans="1:8">
      <c r="A30" s="139">
        <v>28</v>
      </c>
      <c r="B30" s="139" t="s">
        <v>556</v>
      </c>
      <c r="C30" s="139" t="s">
        <v>25</v>
      </c>
      <c r="D30" s="199">
        <v>11370000</v>
      </c>
      <c r="E30" s="199" t="e">
        <f>VLOOKUP(B30,#REF!,151,0)</f>
        <v>#REF!</v>
      </c>
      <c r="F30" s="199" t="e">
        <f t="shared" si="0"/>
        <v>#REF!</v>
      </c>
      <c r="G30" s="139" t="s">
        <v>528</v>
      </c>
      <c r="H30" s="182">
        <v>409000</v>
      </c>
    </row>
    <row r="31" spans="1:8">
      <c r="A31" s="139">
        <v>29</v>
      </c>
      <c r="B31" s="139" t="s">
        <v>557</v>
      </c>
      <c r="C31" s="139" t="s">
        <v>25</v>
      </c>
      <c r="D31" s="199">
        <v>1991000</v>
      </c>
      <c r="E31" s="199" t="e">
        <f>VLOOKUP(B31,#REF!,151,0)</f>
        <v>#REF!</v>
      </c>
      <c r="F31" s="199" t="e">
        <f t="shared" si="0"/>
        <v>#REF!</v>
      </c>
      <c r="G31" s="139" t="s">
        <v>528</v>
      </c>
    </row>
    <row r="32" spans="1:8">
      <c r="A32" s="139">
        <v>30</v>
      </c>
      <c r="B32" s="139" t="s">
        <v>65</v>
      </c>
      <c r="C32" s="139" t="s">
        <v>25</v>
      </c>
      <c r="D32" s="199">
        <v>2590000</v>
      </c>
      <c r="E32" s="199" t="e">
        <f>VLOOKUP(B32,#REF!,151,0)</f>
        <v>#REF!</v>
      </c>
      <c r="F32" s="199" t="e">
        <f t="shared" si="0"/>
        <v>#REF!</v>
      </c>
      <c r="G32" s="139" t="s">
        <v>528</v>
      </c>
    </row>
    <row r="33" spans="1:8">
      <c r="A33" s="139">
        <v>31</v>
      </c>
      <c r="B33" s="139" t="s">
        <v>558</v>
      </c>
      <c r="C33" s="139" t="s">
        <v>167</v>
      </c>
      <c r="D33" s="199">
        <v>8599000</v>
      </c>
      <c r="E33" s="199" t="e">
        <f>VLOOKUP(B33,#REF!,151,0)</f>
        <v>#REF!</v>
      </c>
      <c r="F33" s="199" t="e">
        <f t="shared" si="0"/>
        <v>#REF!</v>
      </c>
      <c r="G33" s="139" t="s">
        <v>528</v>
      </c>
      <c r="H33" s="182">
        <v>461000</v>
      </c>
    </row>
    <row r="34" spans="1:8">
      <c r="A34" s="139">
        <v>32</v>
      </c>
      <c r="B34" s="139" t="s">
        <v>207</v>
      </c>
      <c r="C34" s="139" t="s">
        <v>167</v>
      </c>
      <c r="D34" s="199">
        <v>8949000</v>
      </c>
      <c r="E34" s="199" t="e">
        <f>VLOOKUP(B34,#REF!,151,0)</f>
        <v>#REF!</v>
      </c>
      <c r="F34" s="199" t="e">
        <f t="shared" si="0"/>
        <v>#REF!</v>
      </c>
      <c r="G34" s="139" t="s">
        <v>528</v>
      </c>
      <c r="H34" s="182">
        <v>461000</v>
      </c>
    </row>
    <row r="35" spans="1:8">
      <c r="A35" s="139">
        <v>33</v>
      </c>
      <c r="B35" s="139" t="s">
        <v>345</v>
      </c>
      <c r="C35" s="139" t="s">
        <v>167</v>
      </c>
      <c r="D35" s="199">
        <v>7229000</v>
      </c>
      <c r="E35" s="199" t="e">
        <f>VLOOKUP(B35,#REF!,151,0)</f>
        <v>#REF!</v>
      </c>
      <c r="F35" s="199" t="e">
        <f t="shared" si="0"/>
        <v>#REF!</v>
      </c>
      <c r="G35" s="139" t="s">
        <v>528</v>
      </c>
      <c r="H35" s="182">
        <v>409000</v>
      </c>
    </row>
    <row r="36" spans="1:8">
      <c r="A36" s="139">
        <v>34</v>
      </c>
      <c r="B36" s="139" t="s">
        <v>330</v>
      </c>
      <c r="C36" s="139" t="s">
        <v>167</v>
      </c>
      <c r="D36" s="199">
        <v>9801000</v>
      </c>
      <c r="E36" s="199" t="e">
        <f>VLOOKUP(B36,#REF!,151,0)</f>
        <v>#REF!</v>
      </c>
      <c r="F36" s="199" t="e">
        <f t="shared" si="0"/>
        <v>#REF!</v>
      </c>
      <c r="G36" s="139" t="s">
        <v>528</v>
      </c>
      <c r="H36" s="182">
        <v>409000</v>
      </c>
    </row>
    <row r="37" spans="1:8">
      <c r="A37" s="139">
        <v>35</v>
      </c>
      <c r="B37" s="139" t="s">
        <v>335</v>
      </c>
      <c r="C37" s="139" t="s">
        <v>167</v>
      </c>
      <c r="D37" s="199">
        <v>7310000</v>
      </c>
      <c r="E37" s="199" t="e">
        <f>VLOOKUP(B37,#REF!,151,0)</f>
        <v>#REF!</v>
      </c>
      <c r="F37" s="199" t="e">
        <f t="shared" si="0"/>
        <v>#REF!</v>
      </c>
      <c r="G37" s="139" t="s">
        <v>528</v>
      </c>
      <c r="H37" s="182">
        <v>409000</v>
      </c>
    </row>
    <row r="38" spans="1:8">
      <c r="A38" s="139">
        <v>36</v>
      </c>
      <c r="B38" s="139" t="s">
        <v>61</v>
      </c>
      <c r="C38" s="139" t="s">
        <v>167</v>
      </c>
      <c r="D38" s="199">
        <v>9017000</v>
      </c>
      <c r="E38" s="199" t="e">
        <f>VLOOKUP(B38,#REF!,151,0)</f>
        <v>#REF!</v>
      </c>
      <c r="F38" s="199" t="e">
        <f t="shared" si="0"/>
        <v>#REF!</v>
      </c>
      <c r="G38" s="139" t="s">
        <v>528</v>
      </c>
      <c r="H38" s="182">
        <v>461000</v>
      </c>
    </row>
    <row r="39" spans="1:8">
      <c r="A39" s="139">
        <v>37</v>
      </c>
      <c r="B39" s="139" t="s">
        <v>261</v>
      </c>
      <c r="C39" s="139" t="s">
        <v>167</v>
      </c>
      <c r="D39" s="199">
        <v>5233000</v>
      </c>
      <c r="E39" s="199" t="e">
        <f>VLOOKUP(B39,#REF!,151,0)</f>
        <v>#REF!</v>
      </c>
      <c r="F39" s="199" t="e">
        <f t="shared" si="0"/>
        <v>#REF!</v>
      </c>
      <c r="G39" s="139" t="s">
        <v>528</v>
      </c>
      <c r="H39" s="182">
        <v>409000</v>
      </c>
    </row>
    <row r="40" spans="1:8">
      <c r="A40" s="139">
        <v>38</v>
      </c>
      <c r="B40" s="139" t="s">
        <v>559</v>
      </c>
      <c r="C40" s="139" t="s">
        <v>167</v>
      </c>
      <c r="D40" s="199">
        <v>7854000</v>
      </c>
      <c r="E40" s="199" t="e">
        <f>VLOOKUP(B40,#REF!,151,0)</f>
        <v>#REF!</v>
      </c>
      <c r="F40" s="199" t="e">
        <f t="shared" si="0"/>
        <v>#REF!</v>
      </c>
      <c r="G40" s="139" t="s">
        <v>528</v>
      </c>
    </row>
    <row r="41" spans="1:8">
      <c r="A41" s="139">
        <v>39</v>
      </c>
      <c r="B41" s="139" t="s">
        <v>459</v>
      </c>
      <c r="C41" s="139" t="s">
        <v>167</v>
      </c>
      <c r="D41" s="199">
        <v>2840000</v>
      </c>
      <c r="E41" s="199" t="e">
        <f>VLOOKUP(B41,#REF!,151,0)</f>
        <v>#REF!</v>
      </c>
      <c r="F41" s="199" t="e">
        <f t="shared" si="0"/>
        <v>#REF!</v>
      </c>
      <c r="G41" s="139" t="s">
        <v>528</v>
      </c>
      <c r="H41" s="182">
        <v>409000</v>
      </c>
    </row>
    <row r="42" spans="1:8">
      <c r="A42" s="139">
        <v>40</v>
      </c>
      <c r="B42" s="139" t="s">
        <v>84</v>
      </c>
      <c r="C42" s="139" t="s">
        <v>167</v>
      </c>
      <c r="D42" s="199">
        <v>9788000</v>
      </c>
      <c r="E42" s="199" t="e">
        <f>VLOOKUP(B42,#REF!,151,0)</f>
        <v>#REF!</v>
      </c>
      <c r="F42" s="199" t="e">
        <f t="shared" si="0"/>
        <v>#REF!</v>
      </c>
      <c r="G42" s="139" t="s">
        <v>528</v>
      </c>
    </row>
    <row r="43" spans="1:8">
      <c r="A43" s="139">
        <v>41</v>
      </c>
      <c r="B43" s="139" t="s">
        <v>560</v>
      </c>
      <c r="C43" s="139" t="s">
        <v>167</v>
      </c>
      <c r="D43" s="199">
        <v>7725000</v>
      </c>
      <c r="E43" s="199" t="e">
        <f>VLOOKUP(B43,#REF!,151,0)</f>
        <v>#REF!</v>
      </c>
      <c r="F43" s="199" t="e">
        <f t="shared" si="0"/>
        <v>#REF!</v>
      </c>
      <c r="G43" s="139" t="s">
        <v>528</v>
      </c>
      <c r="H43" s="182">
        <v>409000</v>
      </c>
    </row>
    <row r="44" spans="1:8" s="200" customFormat="1">
      <c r="A44" s="139">
        <v>42</v>
      </c>
      <c r="B44" s="200" t="s">
        <v>51</v>
      </c>
      <c r="C44" s="200" t="s">
        <v>167</v>
      </c>
      <c r="D44" s="201">
        <v>10626000</v>
      </c>
      <c r="E44" s="201" t="e">
        <f>VLOOKUP(B44,#REF!,151,0)</f>
        <v>#REF!</v>
      </c>
      <c r="F44" s="201" t="e">
        <f t="shared" si="0"/>
        <v>#REF!</v>
      </c>
      <c r="G44" s="200" t="s">
        <v>528</v>
      </c>
      <c r="H44" s="202">
        <v>514000</v>
      </c>
    </row>
    <row r="45" spans="1:8">
      <c r="A45" s="139">
        <v>43</v>
      </c>
      <c r="B45" s="139" t="s">
        <v>561</v>
      </c>
      <c r="C45" s="139" t="s">
        <v>167</v>
      </c>
      <c r="D45" s="199">
        <v>9525000</v>
      </c>
      <c r="E45" s="199" t="e">
        <f>VLOOKUP(B45,#REF!,151,0)</f>
        <v>#REF!</v>
      </c>
      <c r="F45" s="199" t="e">
        <f t="shared" si="0"/>
        <v>#REF!</v>
      </c>
      <c r="G45" s="139" t="s">
        <v>528</v>
      </c>
      <c r="H45" s="182">
        <v>461000</v>
      </c>
    </row>
    <row r="46" spans="1:8">
      <c r="A46" s="139">
        <v>44</v>
      </c>
      <c r="B46" s="139" t="s">
        <v>441</v>
      </c>
      <c r="C46" s="139" t="s">
        <v>167</v>
      </c>
      <c r="D46" s="199">
        <v>8712000</v>
      </c>
      <c r="E46" s="199" t="e">
        <f>VLOOKUP(B46,#REF!,151,0)</f>
        <v>#REF!</v>
      </c>
      <c r="F46" s="199" t="e">
        <f t="shared" si="0"/>
        <v>#REF!</v>
      </c>
      <c r="G46" s="139" t="s">
        <v>528</v>
      </c>
      <c r="H46" s="182">
        <v>409000</v>
      </c>
    </row>
    <row r="47" spans="1:8">
      <c r="A47" s="139">
        <v>45</v>
      </c>
      <c r="B47" s="139" t="s">
        <v>282</v>
      </c>
      <c r="C47" s="139" t="s">
        <v>167</v>
      </c>
      <c r="D47" s="199">
        <v>0</v>
      </c>
      <c r="E47" s="199" t="e">
        <f>VLOOKUP(B47,#REF!,151,0)</f>
        <v>#REF!</v>
      </c>
      <c r="F47" s="199" t="e">
        <f t="shared" si="0"/>
        <v>#REF!</v>
      </c>
      <c r="G47" s="139" t="s">
        <v>528</v>
      </c>
    </row>
    <row r="48" spans="1:8">
      <c r="A48" s="139">
        <v>46</v>
      </c>
      <c r="B48" s="139" t="s">
        <v>562</v>
      </c>
      <c r="C48" s="139" t="s">
        <v>167</v>
      </c>
      <c r="D48" s="199">
        <v>4835000</v>
      </c>
      <c r="E48" s="199" t="e">
        <f>VLOOKUP(B48,#REF!,151,0)</f>
        <v>#REF!</v>
      </c>
      <c r="F48" s="199" t="e">
        <f t="shared" si="0"/>
        <v>#REF!</v>
      </c>
      <c r="G48" s="139" t="s">
        <v>528</v>
      </c>
    </row>
    <row r="49" spans="1:8">
      <c r="A49" s="139">
        <v>47</v>
      </c>
      <c r="B49" s="139" t="s">
        <v>563</v>
      </c>
      <c r="C49" s="139" t="s">
        <v>564</v>
      </c>
      <c r="D49" s="199">
        <v>6149000</v>
      </c>
      <c r="E49" s="199" t="e">
        <f>VLOOKUP(B49,#REF!,151,0)</f>
        <v>#REF!</v>
      </c>
      <c r="F49" s="199" t="e">
        <f t="shared" si="0"/>
        <v>#REF!</v>
      </c>
      <c r="G49" s="139" t="s">
        <v>528</v>
      </c>
      <c r="H49" s="182">
        <v>409000</v>
      </c>
    </row>
    <row r="50" spans="1:8">
      <c r="A50" s="139">
        <v>48</v>
      </c>
      <c r="B50" s="139" t="s">
        <v>565</v>
      </c>
      <c r="C50" s="139" t="s">
        <v>564</v>
      </c>
      <c r="D50" s="199">
        <v>6951000</v>
      </c>
      <c r="E50" s="199" t="e">
        <f>VLOOKUP(B50,#REF!,151,0)</f>
        <v>#REF!</v>
      </c>
      <c r="F50" s="199" t="e">
        <f t="shared" si="0"/>
        <v>#REF!</v>
      </c>
      <c r="G50" s="139" t="s">
        <v>528</v>
      </c>
      <c r="H50" s="182">
        <v>429000</v>
      </c>
    </row>
    <row r="51" spans="1:8">
      <c r="A51" s="139">
        <v>49</v>
      </c>
      <c r="B51" s="139" t="s">
        <v>566</v>
      </c>
      <c r="C51" s="139" t="s">
        <v>564</v>
      </c>
      <c r="D51" s="199">
        <v>6706000</v>
      </c>
      <c r="E51" s="199" t="e">
        <f>VLOOKUP(B51,#REF!,151,0)</f>
        <v>#REF!</v>
      </c>
      <c r="F51" s="199" t="e">
        <f t="shared" si="0"/>
        <v>#REF!</v>
      </c>
      <c r="G51" s="139" t="s">
        <v>528</v>
      </c>
      <c r="H51" s="182">
        <v>409000</v>
      </c>
    </row>
    <row r="52" spans="1:8" s="200" customFormat="1">
      <c r="A52" s="139">
        <v>50</v>
      </c>
      <c r="B52" s="200" t="s">
        <v>81</v>
      </c>
      <c r="C52" s="200" t="s">
        <v>564</v>
      </c>
      <c r="D52" s="201">
        <v>7320000</v>
      </c>
      <c r="E52" s="201" t="e">
        <f>VLOOKUP(B52,#REF!,151,0)</f>
        <v>#REF!</v>
      </c>
      <c r="F52" s="201" t="e">
        <f t="shared" si="0"/>
        <v>#REF!</v>
      </c>
      <c r="G52" s="200" t="s">
        <v>528</v>
      </c>
      <c r="H52" s="202"/>
    </row>
    <row r="53" spans="1:8">
      <c r="A53" s="139">
        <v>51</v>
      </c>
      <c r="B53" s="139" t="s">
        <v>567</v>
      </c>
      <c r="C53" s="139" t="s">
        <v>568</v>
      </c>
      <c r="D53" s="199">
        <v>9570000</v>
      </c>
      <c r="E53" s="199" t="e">
        <f>VLOOKUP(B53,#REF!,151,0)</f>
        <v>#REF!</v>
      </c>
      <c r="F53" s="199" t="e">
        <f t="shared" si="0"/>
        <v>#REF!</v>
      </c>
      <c r="G53" s="139" t="s">
        <v>528</v>
      </c>
    </row>
    <row r="54" spans="1:8">
      <c r="A54" s="139">
        <v>52</v>
      </c>
      <c r="B54" s="139" t="s">
        <v>569</v>
      </c>
      <c r="C54" s="139" t="s">
        <v>568</v>
      </c>
      <c r="D54" s="199">
        <v>8827000</v>
      </c>
      <c r="E54" s="199" t="e">
        <f>VLOOKUP(B54,#REF!,151,0)</f>
        <v>#REF!</v>
      </c>
      <c r="F54" s="199" t="e">
        <f t="shared" si="0"/>
        <v>#REF!</v>
      </c>
      <c r="G54" s="139" t="s">
        <v>528</v>
      </c>
      <c r="H54" s="182">
        <v>409000</v>
      </c>
    </row>
    <row r="55" spans="1:8">
      <c r="A55" s="139">
        <v>53</v>
      </c>
      <c r="B55" s="139" t="s">
        <v>570</v>
      </c>
      <c r="C55" s="139" t="s">
        <v>571</v>
      </c>
      <c r="D55" s="199">
        <v>4813000</v>
      </c>
      <c r="E55" s="199" t="e">
        <f>VLOOKUP(B55,#REF!,151,0)</f>
        <v>#REF!</v>
      </c>
      <c r="F55" s="199" t="e">
        <f t="shared" si="0"/>
        <v>#REF!</v>
      </c>
      <c r="G55" s="139" t="s">
        <v>528</v>
      </c>
    </row>
    <row r="56" spans="1:8">
      <c r="A56" s="139">
        <v>54</v>
      </c>
      <c r="B56" s="139" t="s">
        <v>572</v>
      </c>
      <c r="C56" s="139" t="s">
        <v>571</v>
      </c>
      <c r="D56" s="199">
        <v>8993000</v>
      </c>
      <c r="E56" s="199" t="e">
        <f>VLOOKUP(B56,#REF!,151,0)</f>
        <v>#REF!</v>
      </c>
      <c r="F56" s="199" t="e">
        <f t="shared" si="0"/>
        <v>#REF!</v>
      </c>
      <c r="G56" s="139" t="s">
        <v>528</v>
      </c>
    </row>
    <row r="57" spans="1:8">
      <c r="A57" s="139">
        <v>55</v>
      </c>
      <c r="B57" s="139" t="s">
        <v>573</v>
      </c>
      <c r="C57" s="139" t="s">
        <v>571</v>
      </c>
      <c r="D57" s="199">
        <v>8705000</v>
      </c>
      <c r="E57" s="199" t="e">
        <f>VLOOKUP(B57,#REF!,151,0)</f>
        <v>#REF!</v>
      </c>
      <c r="F57" s="199" t="e">
        <f t="shared" si="0"/>
        <v>#REF!</v>
      </c>
      <c r="G57" s="139" t="s">
        <v>528</v>
      </c>
    </row>
    <row r="58" spans="1:8">
      <c r="A58" s="139">
        <v>56</v>
      </c>
      <c r="B58" s="139" t="s">
        <v>574</v>
      </c>
      <c r="C58" s="139" t="s">
        <v>571</v>
      </c>
      <c r="D58" s="199">
        <v>11547000</v>
      </c>
      <c r="E58" s="199" t="e">
        <f>VLOOKUP(B58,#REF!,151,0)</f>
        <v>#REF!</v>
      </c>
      <c r="F58" s="199" t="e">
        <f t="shared" si="0"/>
        <v>#REF!</v>
      </c>
      <c r="G58" s="139" t="s">
        <v>528</v>
      </c>
    </row>
    <row r="59" spans="1:8">
      <c r="A59" s="139">
        <v>57</v>
      </c>
      <c r="B59" s="139" t="s">
        <v>575</v>
      </c>
      <c r="C59" s="139" t="s">
        <v>571</v>
      </c>
      <c r="D59" s="199">
        <v>0</v>
      </c>
      <c r="E59" s="199" t="e">
        <f>VLOOKUP(B59,#REF!,151,0)</f>
        <v>#REF!</v>
      </c>
      <c r="F59" s="199" t="e">
        <f t="shared" si="0"/>
        <v>#REF!</v>
      </c>
      <c r="G59" s="139" t="s">
        <v>528</v>
      </c>
    </row>
    <row r="60" spans="1:8">
      <c r="A60" s="139">
        <v>58</v>
      </c>
      <c r="B60" s="139" t="s">
        <v>576</v>
      </c>
      <c r="C60" s="139" t="s">
        <v>571</v>
      </c>
      <c r="D60" s="199">
        <v>6900000</v>
      </c>
      <c r="E60" s="199" t="e">
        <f>VLOOKUP(B60,#REF!,151,0)</f>
        <v>#REF!</v>
      </c>
      <c r="F60" s="199" t="e">
        <f t="shared" si="0"/>
        <v>#REF!</v>
      </c>
      <c r="G60" s="139" t="s">
        <v>528</v>
      </c>
    </row>
    <row r="61" spans="1:8">
      <c r="A61" s="139">
        <v>59</v>
      </c>
      <c r="B61" s="139" t="s">
        <v>577</v>
      </c>
      <c r="C61" s="139" t="s">
        <v>571</v>
      </c>
      <c r="D61" s="199">
        <v>6685000</v>
      </c>
      <c r="E61" s="199" t="e">
        <f>VLOOKUP(B61,#REF!,151,0)</f>
        <v>#REF!</v>
      </c>
      <c r="F61" s="199" t="e">
        <f t="shared" si="0"/>
        <v>#REF!</v>
      </c>
      <c r="G61" s="139" t="s">
        <v>528</v>
      </c>
    </row>
    <row r="62" spans="1:8">
      <c r="A62" s="139">
        <v>60</v>
      </c>
      <c r="B62" s="139" t="s">
        <v>578</v>
      </c>
      <c r="C62" s="139" t="s">
        <v>571</v>
      </c>
      <c r="D62" s="199">
        <v>6190000</v>
      </c>
      <c r="E62" s="199" t="e">
        <f>VLOOKUP(B62,#REF!,151,0)</f>
        <v>#REF!</v>
      </c>
      <c r="F62" s="199" t="e">
        <f t="shared" si="0"/>
        <v>#REF!</v>
      </c>
      <c r="G62" s="139" t="s">
        <v>528</v>
      </c>
    </row>
    <row r="63" spans="1:8">
      <c r="A63" s="139">
        <v>61</v>
      </c>
      <c r="B63" s="139" t="s">
        <v>579</v>
      </c>
      <c r="C63" s="139" t="s">
        <v>571</v>
      </c>
      <c r="D63" s="199">
        <v>7562000</v>
      </c>
      <c r="E63" s="199" t="e">
        <f>VLOOKUP(B63,#REF!,151,0)</f>
        <v>#REF!</v>
      </c>
      <c r="F63" s="199" t="e">
        <f t="shared" si="0"/>
        <v>#REF!</v>
      </c>
      <c r="G63" s="139" t="s">
        <v>528</v>
      </c>
      <c r="H63" s="182">
        <v>463050</v>
      </c>
    </row>
    <row r="64" spans="1:8">
      <c r="A64" s="139">
        <v>62</v>
      </c>
      <c r="B64" s="139" t="s">
        <v>580</v>
      </c>
      <c r="C64" s="139" t="s">
        <v>310</v>
      </c>
      <c r="D64" s="199">
        <v>5400000</v>
      </c>
      <c r="E64" s="199" t="e">
        <f>VLOOKUP(B64,#REF!,151,0)</f>
        <v>#REF!</v>
      </c>
      <c r="F64" s="199" t="e">
        <f t="shared" si="0"/>
        <v>#REF!</v>
      </c>
      <c r="G64" s="139" t="s">
        <v>528</v>
      </c>
    </row>
    <row r="65" spans="1:8">
      <c r="A65" s="139">
        <v>63</v>
      </c>
      <c r="B65" s="139" t="s">
        <v>581</v>
      </c>
      <c r="C65" s="139" t="s">
        <v>310</v>
      </c>
      <c r="D65" s="199">
        <v>6680000</v>
      </c>
      <c r="E65" s="199" t="e">
        <f>VLOOKUP(B65,#REF!,151,0)</f>
        <v>#REF!</v>
      </c>
      <c r="F65" s="199" t="e">
        <f t="shared" si="0"/>
        <v>#REF!</v>
      </c>
      <c r="G65" s="139" t="s">
        <v>528</v>
      </c>
    </row>
    <row r="66" spans="1:8">
      <c r="A66" s="139">
        <v>64</v>
      </c>
      <c r="B66" s="139" t="s">
        <v>299</v>
      </c>
      <c r="C66" s="139" t="s">
        <v>310</v>
      </c>
      <c r="D66" s="199">
        <v>6490000</v>
      </c>
      <c r="E66" s="199" t="e">
        <f>VLOOKUP(B66,#REF!,151,0)</f>
        <v>#REF!</v>
      </c>
      <c r="F66" s="199" t="e">
        <f t="shared" si="0"/>
        <v>#REF!</v>
      </c>
      <c r="G66" s="139" t="s">
        <v>528</v>
      </c>
      <c r="H66" s="182">
        <v>409000</v>
      </c>
    </row>
    <row r="67" spans="1:8">
      <c r="A67" s="139">
        <v>65</v>
      </c>
      <c r="B67" s="139" t="s">
        <v>341</v>
      </c>
      <c r="C67" s="139" t="s">
        <v>310</v>
      </c>
      <c r="D67" s="199">
        <v>5253000</v>
      </c>
      <c r="E67" s="199" t="e">
        <f>VLOOKUP(B67,#REF!,151,0)</f>
        <v>#REF!</v>
      </c>
      <c r="F67" s="199" t="e">
        <f t="shared" si="0"/>
        <v>#REF!</v>
      </c>
      <c r="G67" s="139" t="s">
        <v>528</v>
      </c>
      <c r="H67" s="182">
        <v>409000</v>
      </c>
    </row>
    <row r="68" spans="1:8">
      <c r="A68" s="139">
        <v>66</v>
      </c>
      <c r="B68" s="139" t="s">
        <v>344</v>
      </c>
      <c r="C68" s="139" t="s">
        <v>310</v>
      </c>
      <c r="D68" s="199">
        <v>6137000</v>
      </c>
      <c r="E68" s="199" t="e">
        <f>VLOOKUP(B68,#REF!,151,0)</f>
        <v>#REF!</v>
      </c>
      <c r="F68" s="199" t="e">
        <f t="shared" ref="F68:F131" si="1">+D68-E68</f>
        <v>#REF!</v>
      </c>
      <c r="G68" s="139" t="s">
        <v>528</v>
      </c>
      <c r="H68" s="182">
        <v>409000</v>
      </c>
    </row>
    <row r="69" spans="1:8">
      <c r="A69" s="139">
        <v>67</v>
      </c>
      <c r="B69" s="139" t="s">
        <v>582</v>
      </c>
      <c r="C69" s="139" t="s">
        <v>310</v>
      </c>
      <c r="D69" s="199">
        <v>5720000</v>
      </c>
      <c r="E69" s="199" t="e">
        <f>VLOOKUP(B69,#REF!,151,0)</f>
        <v>#REF!</v>
      </c>
      <c r="F69" s="199" t="e">
        <f t="shared" si="1"/>
        <v>#REF!</v>
      </c>
      <c r="G69" s="139" t="s">
        <v>528</v>
      </c>
    </row>
    <row r="70" spans="1:8">
      <c r="A70" s="139">
        <v>68</v>
      </c>
      <c r="B70" s="139" t="s">
        <v>424</v>
      </c>
      <c r="C70" s="139" t="s">
        <v>310</v>
      </c>
      <c r="D70" s="199">
        <v>5606000</v>
      </c>
      <c r="E70" s="199" t="e">
        <f>VLOOKUP(B70,#REF!,151,0)</f>
        <v>#REF!</v>
      </c>
      <c r="F70" s="199" t="e">
        <f t="shared" si="1"/>
        <v>#REF!</v>
      </c>
      <c r="G70" s="139" t="s">
        <v>528</v>
      </c>
      <c r="H70" s="182">
        <v>409000</v>
      </c>
    </row>
    <row r="71" spans="1:8">
      <c r="A71" s="139">
        <v>69</v>
      </c>
      <c r="B71" s="139" t="s">
        <v>306</v>
      </c>
      <c r="C71" s="139" t="s">
        <v>310</v>
      </c>
      <c r="D71" s="199">
        <v>6490000</v>
      </c>
      <c r="E71" s="199" t="e">
        <f>VLOOKUP(B71,#REF!,151,0)</f>
        <v>#REF!</v>
      </c>
      <c r="F71" s="199" t="e">
        <f t="shared" si="1"/>
        <v>#REF!</v>
      </c>
      <c r="G71" s="139" t="s">
        <v>528</v>
      </c>
      <c r="H71" s="182">
        <v>409000</v>
      </c>
    </row>
    <row r="72" spans="1:8">
      <c r="A72" s="139">
        <v>70</v>
      </c>
      <c r="B72" s="139" t="s">
        <v>440</v>
      </c>
      <c r="C72" s="139" t="s">
        <v>310</v>
      </c>
      <c r="D72" s="199">
        <v>5960000</v>
      </c>
      <c r="E72" s="199" t="e">
        <f>VLOOKUP(B72,#REF!,151,0)</f>
        <v>#REF!</v>
      </c>
      <c r="F72" s="199" t="e">
        <f t="shared" si="1"/>
        <v>#REF!</v>
      </c>
      <c r="G72" s="139" t="s">
        <v>528</v>
      </c>
      <c r="H72" s="182">
        <v>409000</v>
      </c>
    </row>
    <row r="73" spans="1:8">
      <c r="A73" s="139">
        <v>71</v>
      </c>
      <c r="B73" s="139" t="s">
        <v>462</v>
      </c>
      <c r="C73" s="139" t="s">
        <v>310</v>
      </c>
      <c r="D73" s="199">
        <v>0</v>
      </c>
      <c r="E73" s="199" t="e">
        <f>VLOOKUP(B73,#REF!,151,0)</f>
        <v>#REF!</v>
      </c>
      <c r="F73" s="199" t="e">
        <f t="shared" si="1"/>
        <v>#REF!</v>
      </c>
      <c r="G73" s="139" t="s">
        <v>528</v>
      </c>
    </row>
    <row r="74" spans="1:8">
      <c r="A74" s="139">
        <v>72</v>
      </c>
      <c r="B74" s="139" t="s">
        <v>583</v>
      </c>
      <c r="C74" s="139" t="s">
        <v>310</v>
      </c>
      <c r="D74" s="199">
        <v>6560000</v>
      </c>
      <c r="E74" s="199" t="e">
        <f>VLOOKUP(B74,#REF!,151,0)</f>
        <v>#REF!</v>
      </c>
      <c r="F74" s="199" t="e">
        <f t="shared" si="1"/>
        <v>#REF!</v>
      </c>
      <c r="G74" s="139" t="s">
        <v>528</v>
      </c>
    </row>
    <row r="75" spans="1:8">
      <c r="A75" s="139">
        <v>73</v>
      </c>
      <c r="B75" s="139" t="s">
        <v>584</v>
      </c>
      <c r="C75" s="139" t="s">
        <v>310</v>
      </c>
      <c r="D75" s="199">
        <v>3320000</v>
      </c>
      <c r="E75" s="199" t="e">
        <f>VLOOKUP(B75,#REF!,151,0)</f>
        <v>#REF!</v>
      </c>
      <c r="F75" s="199" t="e">
        <f t="shared" si="1"/>
        <v>#REF!</v>
      </c>
      <c r="G75" s="139" t="s">
        <v>528</v>
      </c>
    </row>
    <row r="76" spans="1:8">
      <c r="A76" s="139">
        <v>74</v>
      </c>
      <c r="B76" s="139" t="s">
        <v>585</v>
      </c>
      <c r="C76" s="139" t="s">
        <v>310</v>
      </c>
      <c r="D76" s="199">
        <v>5880000</v>
      </c>
      <c r="E76" s="199" t="e">
        <f>VLOOKUP(B76,#REF!,151,0)</f>
        <v>#REF!</v>
      </c>
      <c r="F76" s="199" t="e">
        <f t="shared" si="1"/>
        <v>#REF!</v>
      </c>
      <c r="G76" s="139" t="s">
        <v>528</v>
      </c>
    </row>
    <row r="77" spans="1:8">
      <c r="A77" s="139">
        <v>75</v>
      </c>
      <c r="B77" s="139" t="s">
        <v>586</v>
      </c>
      <c r="C77" s="139" t="s">
        <v>170</v>
      </c>
      <c r="D77" s="199">
        <v>7362000</v>
      </c>
      <c r="E77" s="199" t="e">
        <f>VLOOKUP(B77,#REF!,151,0)</f>
        <v>#REF!</v>
      </c>
      <c r="F77" s="199" t="e">
        <f t="shared" si="1"/>
        <v>#REF!</v>
      </c>
      <c r="G77" s="139" t="s">
        <v>528</v>
      </c>
      <c r="H77" s="182">
        <v>429000</v>
      </c>
    </row>
    <row r="78" spans="1:8">
      <c r="A78" s="139">
        <v>76</v>
      </c>
      <c r="B78" s="139" t="s">
        <v>128</v>
      </c>
      <c r="C78" s="139" t="s">
        <v>170</v>
      </c>
      <c r="D78" s="199">
        <v>8878000</v>
      </c>
      <c r="E78" s="199" t="e">
        <f>VLOOKUP(B78,#REF!,151,0)</f>
        <v>#REF!</v>
      </c>
      <c r="F78" s="199" t="e">
        <f t="shared" si="1"/>
        <v>#REF!</v>
      </c>
      <c r="G78" s="139" t="s">
        <v>528</v>
      </c>
      <c r="H78" s="182">
        <v>429000</v>
      </c>
    </row>
    <row r="79" spans="1:8" s="200" customFormat="1">
      <c r="A79" s="139">
        <v>77</v>
      </c>
      <c r="B79" s="200" t="s">
        <v>587</v>
      </c>
      <c r="C79" s="200" t="s">
        <v>170</v>
      </c>
      <c r="D79" s="201">
        <v>7190000</v>
      </c>
      <c r="E79" s="201" t="e">
        <f>VLOOKUP(B79,#REF!,151,0)</f>
        <v>#REF!</v>
      </c>
      <c r="F79" s="201" t="e">
        <f t="shared" si="1"/>
        <v>#REF!</v>
      </c>
      <c r="G79" s="200" t="s">
        <v>528</v>
      </c>
      <c r="H79" s="202">
        <v>409000</v>
      </c>
    </row>
    <row r="80" spans="1:8">
      <c r="A80" s="139">
        <v>78</v>
      </c>
      <c r="B80" s="139" t="s">
        <v>280</v>
      </c>
      <c r="C80" s="139" t="s">
        <v>170</v>
      </c>
      <c r="D80" s="199">
        <v>9313000</v>
      </c>
      <c r="E80" s="199" t="e">
        <f>VLOOKUP(B80,#REF!,151,0)</f>
        <v>#REF!</v>
      </c>
      <c r="F80" s="199" t="e">
        <f t="shared" si="1"/>
        <v>#REF!</v>
      </c>
      <c r="G80" s="139" t="s">
        <v>528</v>
      </c>
      <c r="H80" s="182">
        <v>429000</v>
      </c>
    </row>
    <row r="81" spans="1:8">
      <c r="A81" s="139">
        <v>79</v>
      </c>
      <c r="B81" s="139" t="s">
        <v>588</v>
      </c>
      <c r="C81" s="139" t="s">
        <v>170</v>
      </c>
      <c r="D81" s="199">
        <v>7994000</v>
      </c>
      <c r="E81" s="199" t="e">
        <f>VLOOKUP(B81,#REF!,151,0)</f>
        <v>#REF!</v>
      </c>
      <c r="F81" s="199" t="e">
        <f t="shared" si="1"/>
        <v>#REF!</v>
      </c>
      <c r="G81" s="139" t="s">
        <v>528</v>
      </c>
      <c r="H81" s="182">
        <v>409000</v>
      </c>
    </row>
    <row r="82" spans="1:8">
      <c r="A82" s="139">
        <v>80</v>
      </c>
      <c r="B82" s="139" t="s">
        <v>589</v>
      </c>
      <c r="C82" s="139" t="s">
        <v>170</v>
      </c>
      <c r="D82" s="199">
        <v>8224000</v>
      </c>
      <c r="E82" s="199" t="e">
        <f>VLOOKUP(B82,#REF!,151,0)</f>
        <v>#REF!</v>
      </c>
      <c r="F82" s="199" t="e">
        <f t="shared" si="1"/>
        <v>#REF!</v>
      </c>
      <c r="G82" s="139" t="s">
        <v>528</v>
      </c>
      <c r="H82" s="182">
        <v>409000</v>
      </c>
    </row>
    <row r="83" spans="1:8">
      <c r="A83" s="139">
        <v>81</v>
      </c>
      <c r="B83" s="139" t="s">
        <v>453</v>
      </c>
      <c r="C83" s="139" t="s">
        <v>170</v>
      </c>
      <c r="D83" s="199">
        <v>7619000</v>
      </c>
      <c r="E83" s="199" t="e">
        <f>VLOOKUP(B83,#REF!,151,0)</f>
        <v>#REF!</v>
      </c>
      <c r="F83" s="199" t="e">
        <f t="shared" si="1"/>
        <v>#REF!</v>
      </c>
      <c r="G83" s="139" t="s">
        <v>528</v>
      </c>
      <c r="H83" s="182">
        <v>409000</v>
      </c>
    </row>
    <row r="84" spans="1:8">
      <c r="A84" s="139">
        <v>82</v>
      </c>
      <c r="B84" s="139" t="s">
        <v>331</v>
      </c>
      <c r="C84" s="139" t="s">
        <v>590</v>
      </c>
      <c r="D84" s="199">
        <v>7994000</v>
      </c>
      <c r="E84" s="199" t="e">
        <f>VLOOKUP(B84,#REF!,151,0)</f>
        <v>#REF!</v>
      </c>
      <c r="F84" s="199" t="e">
        <f t="shared" si="1"/>
        <v>#REF!</v>
      </c>
      <c r="G84" s="139" t="s">
        <v>528</v>
      </c>
      <c r="H84" s="182">
        <v>409000</v>
      </c>
    </row>
    <row r="85" spans="1:8">
      <c r="A85" s="139">
        <v>83</v>
      </c>
      <c r="B85" s="139" t="s">
        <v>318</v>
      </c>
      <c r="C85" s="139" t="s">
        <v>590</v>
      </c>
      <c r="D85" s="199">
        <v>7534000</v>
      </c>
      <c r="E85" s="199" t="e">
        <f>VLOOKUP(B85,#REF!,151,0)</f>
        <v>#REF!</v>
      </c>
      <c r="F85" s="199" t="e">
        <f t="shared" si="1"/>
        <v>#REF!</v>
      </c>
      <c r="G85" s="139" t="s">
        <v>528</v>
      </c>
      <c r="H85" s="182">
        <v>409000</v>
      </c>
    </row>
    <row r="86" spans="1:8">
      <c r="A86" s="139">
        <v>84</v>
      </c>
      <c r="B86" s="139" t="s">
        <v>277</v>
      </c>
      <c r="C86" s="139" t="s">
        <v>590</v>
      </c>
      <c r="D86" s="199">
        <v>8294000</v>
      </c>
      <c r="E86" s="199" t="e">
        <f>VLOOKUP(B86,#REF!,151,0)</f>
        <v>#REF!</v>
      </c>
      <c r="F86" s="199" t="e">
        <f t="shared" si="1"/>
        <v>#REF!</v>
      </c>
      <c r="G86" s="139" t="s">
        <v>528</v>
      </c>
      <c r="H86" s="182">
        <v>409000</v>
      </c>
    </row>
    <row r="87" spans="1:8">
      <c r="A87" s="139">
        <v>85</v>
      </c>
      <c r="B87" s="139" t="s">
        <v>591</v>
      </c>
      <c r="C87" s="139" t="s">
        <v>590</v>
      </c>
      <c r="D87" s="199">
        <v>9094000</v>
      </c>
      <c r="E87" s="199" t="e">
        <f>VLOOKUP(B87,#REF!,151,0)</f>
        <v>#REF!</v>
      </c>
      <c r="F87" s="199" t="e">
        <f t="shared" si="1"/>
        <v>#REF!</v>
      </c>
      <c r="G87" s="139" t="s">
        <v>528</v>
      </c>
    </row>
    <row r="88" spans="1:8">
      <c r="A88" s="139">
        <v>86</v>
      </c>
      <c r="B88" s="139" t="s">
        <v>449</v>
      </c>
      <c r="C88" s="139" t="s">
        <v>590</v>
      </c>
      <c r="D88" s="199">
        <v>8610000</v>
      </c>
      <c r="E88" s="199" t="e">
        <f>VLOOKUP(B88,#REF!,151,0)</f>
        <v>#REF!</v>
      </c>
      <c r="F88" s="199" t="e">
        <f t="shared" si="1"/>
        <v>#REF!</v>
      </c>
      <c r="G88" s="139" t="s">
        <v>528</v>
      </c>
      <c r="H88" s="182">
        <v>409000</v>
      </c>
    </row>
    <row r="89" spans="1:8">
      <c r="A89" s="139">
        <v>87</v>
      </c>
      <c r="B89" s="139" t="s">
        <v>592</v>
      </c>
      <c r="C89" s="139" t="s">
        <v>182</v>
      </c>
      <c r="D89" s="199">
        <v>13218000</v>
      </c>
      <c r="E89" s="199" t="e">
        <f>VLOOKUP(B89,#REF!,151,0)</f>
        <v>#REF!</v>
      </c>
      <c r="F89" s="199" t="e">
        <f t="shared" si="1"/>
        <v>#REF!</v>
      </c>
      <c r="G89" s="139" t="s">
        <v>528</v>
      </c>
    </row>
    <row r="90" spans="1:8">
      <c r="A90" s="139">
        <v>88</v>
      </c>
      <c r="B90" s="139" t="s">
        <v>593</v>
      </c>
      <c r="C90" s="139" t="s">
        <v>182</v>
      </c>
      <c r="D90" s="199">
        <v>11241000</v>
      </c>
      <c r="E90" s="199" t="e">
        <f>VLOOKUP(B90,#REF!,151,0)</f>
        <v>#REF!</v>
      </c>
      <c r="F90" s="199" t="e">
        <f t="shared" si="1"/>
        <v>#REF!</v>
      </c>
      <c r="G90" s="139" t="s">
        <v>528</v>
      </c>
      <c r="H90" s="182">
        <v>409000</v>
      </c>
    </row>
    <row r="91" spans="1:8">
      <c r="A91" s="139">
        <v>89</v>
      </c>
      <c r="B91" s="139" t="s">
        <v>313</v>
      </c>
      <c r="C91" s="139" t="s">
        <v>182</v>
      </c>
      <c r="D91" s="199">
        <v>11009000</v>
      </c>
      <c r="E91" s="199" t="e">
        <f>VLOOKUP(B91,#REF!,151,0)</f>
        <v>#REF!</v>
      </c>
      <c r="F91" s="199" t="e">
        <f t="shared" si="1"/>
        <v>#REF!</v>
      </c>
      <c r="G91" s="139" t="s">
        <v>528</v>
      </c>
      <c r="H91" s="182">
        <v>409000</v>
      </c>
    </row>
    <row r="92" spans="1:8">
      <c r="A92" s="139">
        <v>90</v>
      </c>
      <c r="B92" s="139" t="s">
        <v>336</v>
      </c>
      <c r="C92" s="139" t="s">
        <v>182</v>
      </c>
      <c r="D92" s="199">
        <v>9141000</v>
      </c>
      <c r="E92" s="199" t="e">
        <f>VLOOKUP(B92,#REF!,151,0)</f>
        <v>#REF!</v>
      </c>
      <c r="F92" s="199" t="e">
        <f t="shared" si="1"/>
        <v>#REF!</v>
      </c>
      <c r="G92" s="139" t="s">
        <v>528</v>
      </c>
      <c r="H92" s="182">
        <v>409000</v>
      </c>
    </row>
    <row r="93" spans="1:8" s="200" customFormat="1">
      <c r="A93" s="139">
        <v>91</v>
      </c>
      <c r="B93" s="200" t="s">
        <v>57</v>
      </c>
      <c r="C93" s="200" t="s">
        <v>182</v>
      </c>
      <c r="D93" s="201">
        <v>11939000</v>
      </c>
      <c r="E93" s="201" t="e">
        <f>VLOOKUP(B93,#REF!,151,0)</f>
        <v>#REF!</v>
      </c>
      <c r="F93" s="201" t="e">
        <f t="shared" si="1"/>
        <v>#REF!</v>
      </c>
      <c r="G93" s="200" t="s">
        <v>528</v>
      </c>
      <c r="H93" s="202">
        <v>409000</v>
      </c>
    </row>
    <row r="94" spans="1:8">
      <c r="A94" s="139">
        <v>92</v>
      </c>
      <c r="B94" s="139" t="s">
        <v>594</v>
      </c>
      <c r="C94" s="139" t="s">
        <v>182</v>
      </c>
      <c r="D94" s="199">
        <v>9715000</v>
      </c>
      <c r="E94" s="199" t="e">
        <f>VLOOKUP(B94,#REF!,151,0)</f>
        <v>#REF!</v>
      </c>
      <c r="F94" s="199" t="e">
        <f t="shared" si="1"/>
        <v>#REF!</v>
      </c>
      <c r="G94" s="139" t="s">
        <v>528</v>
      </c>
    </row>
    <row r="95" spans="1:8">
      <c r="A95" s="139">
        <v>93</v>
      </c>
      <c r="B95" s="139" t="s">
        <v>595</v>
      </c>
      <c r="C95" s="139" t="s">
        <v>182</v>
      </c>
      <c r="D95" s="199">
        <v>4987000</v>
      </c>
      <c r="E95" s="199" t="e">
        <f>VLOOKUP(B95,#REF!,151,0)</f>
        <v>#REF!</v>
      </c>
      <c r="F95" s="199" t="e">
        <f t="shared" si="1"/>
        <v>#REF!</v>
      </c>
      <c r="G95" s="139" t="s">
        <v>528</v>
      </c>
      <c r="H95" s="182">
        <v>409000</v>
      </c>
    </row>
    <row r="96" spans="1:8">
      <c r="A96" s="139">
        <v>94</v>
      </c>
      <c r="B96" s="139" t="s">
        <v>418</v>
      </c>
      <c r="C96" s="139" t="s">
        <v>596</v>
      </c>
      <c r="D96" s="199">
        <v>10861000</v>
      </c>
      <c r="E96" s="199" t="e">
        <f>VLOOKUP(B96,#REF!,151,0)</f>
        <v>#REF!</v>
      </c>
      <c r="F96" s="199" t="e">
        <f t="shared" si="1"/>
        <v>#REF!</v>
      </c>
      <c r="G96" s="139" t="s">
        <v>528</v>
      </c>
      <c r="H96" s="182">
        <v>409000</v>
      </c>
    </row>
    <row r="97" spans="1:8">
      <c r="A97" s="139">
        <v>95</v>
      </c>
      <c r="B97" s="139" t="s">
        <v>597</v>
      </c>
      <c r="C97" s="139" t="s">
        <v>596</v>
      </c>
      <c r="D97" s="199">
        <v>0</v>
      </c>
      <c r="E97" s="199" t="e">
        <f>VLOOKUP(B97,#REF!,151,0)</f>
        <v>#REF!</v>
      </c>
      <c r="F97" s="199" t="e">
        <f t="shared" si="1"/>
        <v>#REF!</v>
      </c>
      <c r="G97" s="139" t="s">
        <v>528</v>
      </c>
    </row>
    <row r="98" spans="1:8">
      <c r="A98" s="139">
        <v>96</v>
      </c>
      <c r="B98" s="139" t="s">
        <v>598</v>
      </c>
      <c r="C98" s="139" t="s">
        <v>596</v>
      </c>
      <c r="D98" s="199">
        <v>9184000</v>
      </c>
      <c r="E98" s="199" t="e">
        <f>VLOOKUP(B98,#REF!,151,0)</f>
        <v>#REF!</v>
      </c>
      <c r="F98" s="199" t="e">
        <f t="shared" si="1"/>
        <v>#REF!</v>
      </c>
      <c r="G98" s="139" t="s">
        <v>528</v>
      </c>
      <c r="H98" s="182">
        <v>463050</v>
      </c>
    </row>
    <row r="99" spans="1:8">
      <c r="A99" s="139">
        <v>97</v>
      </c>
      <c r="B99" s="139" t="s">
        <v>599</v>
      </c>
      <c r="C99" s="139" t="s">
        <v>596</v>
      </c>
      <c r="D99" s="199">
        <v>12552000</v>
      </c>
      <c r="E99" s="199" t="e">
        <f>VLOOKUP(B99,#REF!,151,0)</f>
        <v>#REF!</v>
      </c>
      <c r="F99" s="199" t="e">
        <f t="shared" si="1"/>
        <v>#REF!</v>
      </c>
      <c r="G99" s="139" t="s">
        <v>528</v>
      </c>
    </row>
    <row r="100" spans="1:8">
      <c r="A100" s="139">
        <v>98</v>
      </c>
      <c r="B100" s="139" t="s">
        <v>600</v>
      </c>
      <c r="C100" s="139" t="s">
        <v>182</v>
      </c>
      <c r="D100" s="199">
        <v>7992000</v>
      </c>
      <c r="E100" s="199" t="e">
        <f>VLOOKUP(B100,#REF!,151,0)</f>
        <v>#REF!</v>
      </c>
      <c r="F100" s="199" t="e">
        <f t="shared" si="1"/>
        <v>#REF!</v>
      </c>
      <c r="G100" s="139" t="s">
        <v>528</v>
      </c>
    </row>
    <row r="101" spans="1:8">
      <c r="A101" s="139">
        <v>99</v>
      </c>
      <c r="B101" s="139" t="s">
        <v>397</v>
      </c>
      <c r="C101" s="139" t="s">
        <v>182</v>
      </c>
      <c r="D101" s="199">
        <v>9043000</v>
      </c>
      <c r="E101" s="199" t="e">
        <f>VLOOKUP(B101,#REF!,151,0)</f>
        <v>#REF!</v>
      </c>
      <c r="F101" s="199" t="e">
        <f t="shared" si="1"/>
        <v>#REF!</v>
      </c>
      <c r="G101" s="139" t="s">
        <v>528</v>
      </c>
      <c r="H101" s="182">
        <v>409000</v>
      </c>
    </row>
    <row r="102" spans="1:8">
      <c r="A102" s="139">
        <v>100</v>
      </c>
      <c r="B102" s="139" t="s">
        <v>259</v>
      </c>
      <c r="C102" s="139" t="s">
        <v>182</v>
      </c>
      <c r="D102" s="199">
        <v>11615000</v>
      </c>
      <c r="E102" s="199" t="e">
        <f>VLOOKUP(B102,#REF!,151,0)</f>
        <v>#REF!</v>
      </c>
      <c r="F102" s="199" t="e">
        <f t="shared" si="1"/>
        <v>#REF!</v>
      </c>
      <c r="G102" s="139" t="s">
        <v>528</v>
      </c>
      <c r="H102" s="182">
        <v>409000</v>
      </c>
    </row>
    <row r="103" spans="1:8">
      <c r="A103" s="139">
        <v>101</v>
      </c>
      <c r="B103" s="139" t="s">
        <v>321</v>
      </c>
      <c r="C103" s="139" t="s">
        <v>601</v>
      </c>
      <c r="D103" s="199">
        <v>9864000</v>
      </c>
      <c r="E103" s="199" t="e">
        <f>VLOOKUP(B103,#REF!,151,0)</f>
        <v>#REF!</v>
      </c>
      <c r="F103" s="199" t="e">
        <f t="shared" si="1"/>
        <v>#REF!</v>
      </c>
      <c r="G103" s="139" t="s">
        <v>528</v>
      </c>
      <c r="H103" s="182">
        <v>409000</v>
      </c>
    </row>
    <row r="104" spans="1:8">
      <c r="A104" s="139">
        <v>102</v>
      </c>
      <c r="B104" s="139" t="s">
        <v>29</v>
      </c>
      <c r="C104" s="139" t="s">
        <v>601</v>
      </c>
      <c r="D104" s="199">
        <v>8524000</v>
      </c>
      <c r="E104" s="199" t="e">
        <f>VLOOKUP(B104,#REF!,151,0)</f>
        <v>#REF!</v>
      </c>
      <c r="F104" s="199" t="e">
        <f t="shared" si="1"/>
        <v>#REF!</v>
      </c>
      <c r="G104" s="139" t="s">
        <v>528</v>
      </c>
      <c r="H104" s="182">
        <v>429000</v>
      </c>
    </row>
    <row r="105" spans="1:8">
      <c r="A105" s="139">
        <v>103</v>
      </c>
      <c r="B105" s="139" t="s">
        <v>66</v>
      </c>
      <c r="C105" s="139" t="s">
        <v>601</v>
      </c>
      <c r="D105" s="199">
        <v>6705000</v>
      </c>
      <c r="E105" s="199" t="e">
        <f>VLOOKUP(B105,#REF!,151,0)</f>
        <v>#REF!</v>
      </c>
      <c r="F105" s="199" t="e">
        <f t="shared" si="1"/>
        <v>#REF!</v>
      </c>
      <c r="G105" s="139" t="s">
        <v>528</v>
      </c>
      <c r="H105" s="182">
        <v>409000</v>
      </c>
    </row>
    <row r="106" spans="1:8">
      <c r="A106" s="139">
        <v>104</v>
      </c>
      <c r="B106" s="139" t="s">
        <v>193</v>
      </c>
      <c r="C106" s="139" t="s">
        <v>601</v>
      </c>
      <c r="D106" s="199">
        <v>8163000</v>
      </c>
      <c r="E106" s="199" t="e">
        <f>VLOOKUP(B106,#REF!,151,0)</f>
        <v>#REF!</v>
      </c>
      <c r="F106" s="199" t="e">
        <f t="shared" si="1"/>
        <v>#REF!</v>
      </c>
      <c r="G106" s="139" t="s">
        <v>528</v>
      </c>
      <c r="H106" s="182">
        <v>409000</v>
      </c>
    </row>
    <row r="107" spans="1:8">
      <c r="A107" s="139">
        <v>105</v>
      </c>
      <c r="B107" s="139" t="s">
        <v>455</v>
      </c>
      <c r="C107" s="139" t="s">
        <v>601</v>
      </c>
      <c r="D107" s="199">
        <v>9104000</v>
      </c>
      <c r="E107" s="199" t="e">
        <f>VLOOKUP(B107,#REF!,151,0)</f>
        <v>#REF!</v>
      </c>
      <c r="F107" s="199" t="e">
        <f t="shared" si="1"/>
        <v>#REF!</v>
      </c>
      <c r="G107" s="139" t="s">
        <v>528</v>
      </c>
      <c r="H107" s="182">
        <v>409000</v>
      </c>
    </row>
    <row r="108" spans="1:8">
      <c r="A108" s="139">
        <v>106</v>
      </c>
      <c r="B108" s="139" t="s">
        <v>602</v>
      </c>
      <c r="C108" s="139" t="s">
        <v>601</v>
      </c>
      <c r="D108" s="199">
        <v>8189000</v>
      </c>
      <c r="E108" s="199" t="e">
        <f>VLOOKUP(B108,#REF!,151,0)</f>
        <v>#REF!</v>
      </c>
      <c r="F108" s="199" t="e">
        <f t="shared" si="1"/>
        <v>#REF!</v>
      </c>
      <c r="G108" s="139" t="s">
        <v>528</v>
      </c>
    </row>
    <row r="109" spans="1:8">
      <c r="A109" s="139">
        <v>107</v>
      </c>
      <c r="B109" s="139" t="s">
        <v>456</v>
      </c>
      <c r="C109" s="139" t="s">
        <v>601</v>
      </c>
      <c r="D109" s="199">
        <v>9593000</v>
      </c>
      <c r="E109" s="199" t="e">
        <f>VLOOKUP(B109,#REF!,151,0)</f>
        <v>#REF!</v>
      </c>
      <c r="F109" s="199" t="e">
        <f t="shared" si="1"/>
        <v>#REF!</v>
      </c>
      <c r="G109" s="139" t="s">
        <v>528</v>
      </c>
      <c r="H109" s="182">
        <v>409000</v>
      </c>
    </row>
    <row r="110" spans="1:8">
      <c r="A110" s="139">
        <v>108</v>
      </c>
      <c r="B110" s="139" t="s">
        <v>603</v>
      </c>
      <c r="C110" s="139" t="s">
        <v>601</v>
      </c>
      <c r="D110" s="199">
        <v>8990000</v>
      </c>
      <c r="E110" s="199" t="e">
        <f>VLOOKUP(B110,#REF!,151,0)</f>
        <v>#REF!</v>
      </c>
      <c r="F110" s="199" t="e">
        <f t="shared" si="1"/>
        <v>#REF!</v>
      </c>
      <c r="G110" s="139" t="s">
        <v>528</v>
      </c>
      <c r="H110" s="182">
        <v>463050</v>
      </c>
    </row>
    <row r="111" spans="1:8">
      <c r="A111" s="139">
        <v>109</v>
      </c>
      <c r="B111" s="139" t="s">
        <v>59</v>
      </c>
      <c r="C111" s="139" t="s">
        <v>601</v>
      </c>
      <c r="D111" s="199">
        <v>8989000</v>
      </c>
      <c r="E111" s="199" t="e">
        <f>VLOOKUP(B111,#REF!,151,0)</f>
        <v>#REF!</v>
      </c>
      <c r="F111" s="199" t="e">
        <f t="shared" si="1"/>
        <v>#REF!</v>
      </c>
      <c r="G111" s="139" t="s">
        <v>528</v>
      </c>
      <c r="H111" s="182">
        <v>461000</v>
      </c>
    </row>
    <row r="112" spans="1:8">
      <c r="A112" s="139">
        <v>110</v>
      </c>
      <c r="B112" s="139" t="s">
        <v>604</v>
      </c>
      <c r="C112" s="139" t="s">
        <v>601</v>
      </c>
      <c r="D112" s="199">
        <v>9429000</v>
      </c>
      <c r="E112" s="199" t="e">
        <f>VLOOKUP(B112,#REF!,151,0)</f>
        <v>#REF!</v>
      </c>
      <c r="F112" s="199" t="e">
        <f t="shared" si="1"/>
        <v>#REF!</v>
      </c>
      <c r="G112" s="139" t="s">
        <v>528</v>
      </c>
      <c r="H112" s="182">
        <v>409000</v>
      </c>
    </row>
    <row r="113" spans="1:8">
      <c r="A113" s="139">
        <v>111</v>
      </c>
      <c r="B113" s="139" t="s">
        <v>290</v>
      </c>
      <c r="C113" s="139" t="s">
        <v>601</v>
      </c>
      <c r="D113" s="199">
        <v>9489000</v>
      </c>
      <c r="E113" s="199" t="e">
        <f>VLOOKUP(B113,#REF!,151,0)</f>
        <v>#REF!</v>
      </c>
      <c r="F113" s="199" t="e">
        <f t="shared" si="1"/>
        <v>#REF!</v>
      </c>
      <c r="G113" s="139" t="s">
        <v>528</v>
      </c>
      <c r="H113" s="182">
        <v>409000</v>
      </c>
    </row>
    <row r="114" spans="1:8">
      <c r="A114" s="139">
        <v>112</v>
      </c>
      <c r="B114" s="139" t="s">
        <v>67</v>
      </c>
      <c r="C114" s="139" t="s">
        <v>605</v>
      </c>
      <c r="D114" s="199">
        <v>9191000</v>
      </c>
      <c r="E114" s="199" t="e">
        <f>VLOOKUP(B114,#REF!,151,0)</f>
        <v>#REF!</v>
      </c>
      <c r="F114" s="199" t="e">
        <f t="shared" si="1"/>
        <v>#REF!</v>
      </c>
      <c r="G114" s="139" t="s">
        <v>528</v>
      </c>
      <c r="H114" s="182">
        <v>409000</v>
      </c>
    </row>
    <row r="115" spans="1:8">
      <c r="A115" s="139">
        <v>113</v>
      </c>
      <c r="B115" s="139" t="s">
        <v>606</v>
      </c>
      <c r="C115" s="139" t="s">
        <v>605</v>
      </c>
      <c r="D115" s="199">
        <v>9123000</v>
      </c>
      <c r="E115" s="199" t="e">
        <f>VLOOKUP(B115,#REF!,151,0)</f>
        <v>#REF!</v>
      </c>
      <c r="F115" s="199" t="e">
        <f t="shared" si="1"/>
        <v>#REF!</v>
      </c>
      <c r="G115" s="139" t="s">
        <v>528</v>
      </c>
      <c r="H115" s="182">
        <v>409000</v>
      </c>
    </row>
    <row r="116" spans="1:8">
      <c r="A116" s="139">
        <v>114</v>
      </c>
      <c r="B116" s="139" t="s">
        <v>230</v>
      </c>
      <c r="C116" s="139" t="s">
        <v>605</v>
      </c>
      <c r="D116" s="199">
        <v>8705000</v>
      </c>
      <c r="E116" s="199" t="e">
        <f>VLOOKUP(B116,#REF!,151,0)</f>
        <v>#REF!</v>
      </c>
      <c r="F116" s="199" t="e">
        <f t="shared" si="1"/>
        <v>#REF!</v>
      </c>
      <c r="G116" s="139" t="s">
        <v>528</v>
      </c>
      <c r="H116" s="182">
        <v>409000</v>
      </c>
    </row>
    <row r="117" spans="1:8">
      <c r="A117" s="139">
        <v>115</v>
      </c>
      <c r="B117" s="139" t="s">
        <v>233</v>
      </c>
      <c r="C117" s="139" t="s">
        <v>605</v>
      </c>
      <c r="D117" s="199">
        <v>9688000</v>
      </c>
      <c r="E117" s="199" t="e">
        <f>VLOOKUP(B117,#REF!,151,0)</f>
        <v>#REF!</v>
      </c>
      <c r="F117" s="199" t="e">
        <f t="shared" si="1"/>
        <v>#REF!</v>
      </c>
      <c r="G117" s="139" t="s">
        <v>528</v>
      </c>
      <c r="H117" s="182">
        <v>409000</v>
      </c>
    </row>
    <row r="118" spans="1:8">
      <c r="A118" s="139">
        <v>116</v>
      </c>
      <c r="B118" s="139" t="s">
        <v>323</v>
      </c>
      <c r="C118" s="139" t="s">
        <v>605</v>
      </c>
      <c r="D118" s="199">
        <v>10259000</v>
      </c>
      <c r="E118" s="199" t="e">
        <f>VLOOKUP(B118,#REF!,151,0)</f>
        <v>#REF!</v>
      </c>
      <c r="F118" s="199" t="e">
        <f t="shared" si="1"/>
        <v>#REF!</v>
      </c>
      <c r="G118" s="139" t="s">
        <v>528</v>
      </c>
      <c r="H118" s="182">
        <v>429000</v>
      </c>
    </row>
    <row r="119" spans="1:8">
      <c r="A119" s="139">
        <v>117</v>
      </c>
      <c r="B119" s="139" t="s">
        <v>334</v>
      </c>
      <c r="C119" s="139" t="s">
        <v>605</v>
      </c>
      <c r="D119" s="199">
        <v>9223000</v>
      </c>
      <c r="E119" s="199" t="e">
        <f>VLOOKUP(B119,#REF!,151,0)</f>
        <v>#REF!</v>
      </c>
      <c r="F119" s="199" t="e">
        <f t="shared" si="1"/>
        <v>#REF!</v>
      </c>
      <c r="G119" s="139" t="s">
        <v>528</v>
      </c>
      <c r="H119" s="182">
        <v>409000</v>
      </c>
    </row>
    <row r="120" spans="1:8">
      <c r="A120" s="139">
        <v>118</v>
      </c>
      <c r="B120" s="139" t="s">
        <v>607</v>
      </c>
      <c r="C120" s="139" t="s">
        <v>605</v>
      </c>
      <c r="D120" s="199">
        <v>9094000</v>
      </c>
      <c r="E120" s="199" t="e">
        <f>VLOOKUP(B120,#REF!,151,0)</f>
        <v>#REF!</v>
      </c>
      <c r="F120" s="199" t="e">
        <f t="shared" si="1"/>
        <v>#REF!</v>
      </c>
      <c r="G120" s="139" t="s">
        <v>528</v>
      </c>
      <c r="H120" s="182">
        <v>409000</v>
      </c>
    </row>
    <row r="121" spans="1:8">
      <c r="A121" s="139">
        <v>119</v>
      </c>
      <c r="B121" s="139" t="s">
        <v>194</v>
      </c>
      <c r="C121" s="139" t="s">
        <v>605</v>
      </c>
      <c r="D121" s="199">
        <v>7255000</v>
      </c>
      <c r="E121" s="199" t="e">
        <f>VLOOKUP(B121,#REF!,151,0)</f>
        <v>#REF!</v>
      </c>
      <c r="F121" s="199" t="e">
        <f t="shared" si="1"/>
        <v>#REF!</v>
      </c>
      <c r="G121" s="139" t="s">
        <v>528</v>
      </c>
      <c r="H121" s="182">
        <v>409000</v>
      </c>
    </row>
    <row r="122" spans="1:8">
      <c r="A122" s="139">
        <v>120</v>
      </c>
      <c r="B122" s="139" t="s">
        <v>438</v>
      </c>
      <c r="C122" s="139" t="s">
        <v>605</v>
      </c>
      <c r="D122" s="199">
        <v>7359000</v>
      </c>
      <c r="E122" s="199" t="e">
        <f>VLOOKUP(B122,#REF!,151,0)</f>
        <v>#REF!</v>
      </c>
      <c r="F122" s="199" t="e">
        <f t="shared" si="1"/>
        <v>#REF!</v>
      </c>
      <c r="G122" s="139" t="s">
        <v>528</v>
      </c>
      <c r="H122" s="182">
        <v>409000</v>
      </c>
    </row>
    <row r="123" spans="1:8">
      <c r="A123" s="139">
        <v>121</v>
      </c>
      <c r="B123" s="139" t="s">
        <v>238</v>
      </c>
      <c r="C123" s="139" t="s">
        <v>605</v>
      </c>
      <c r="D123" s="199">
        <v>9480000</v>
      </c>
      <c r="E123" s="199" t="e">
        <f>VLOOKUP(B123,#REF!,151,0)</f>
        <v>#REF!</v>
      </c>
      <c r="F123" s="199" t="e">
        <f t="shared" si="1"/>
        <v>#REF!</v>
      </c>
      <c r="G123" s="139" t="s">
        <v>528</v>
      </c>
      <c r="H123" s="182">
        <v>409000</v>
      </c>
    </row>
    <row r="124" spans="1:8">
      <c r="A124" s="139">
        <v>122</v>
      </c>
      <c r="B124" s="139" t="s">
        <v>72</v>
      </c>
      <c r="C124" s="139" t="s">
        <v>605</v>
      </c>
      <c r="D124" s="199">
        <v>9661000</v>
      </c>
      <c r="E124" s="199" t="e">
        <f>VLOOKUP(B124,#REF!,151,0)</f>
        <v>#REF!</v>
      </c>
      <c r="F124" s="199" t="e">
        <f t="shared" si="1"/>
        <v>#REF!</v>
      </c>
      <c r="G124" s="139" t="s">
        <v>528</v>
      </c>
      <c r="H124" s="182">
        <v>409000</v>
      </c>
    </row>
    <row r="125" spans="1:8">
      <c r="A125" s="139">
        <v>123</v>
      </c>
      <c r="B125" s="139" t="s">
        <v>608</v>
      </c>
      <c r="C125" s="139" t="s">
        <v>605</v>
      </c>
      <c r="D125" s="199">
        <v>5237000</v>
      </c>
      <c r="E125" s="199" t="e">
        <f>VLOOKUP(B125,#REF!,151,0)</f>
        <v>#REF!</v>
      </c>
      <c r="F125" s="199" t="e">
        <f t="shared" si="1"/>
        <v>#REF!</v>
      </c>
      <c r="G125" s="139" t="s">
        <v>528</v>
      </c>
      <c r="H125" s="182">
        <v>409000</v>
      </c>
    </row>
    <row r="126" spans="1:8">
      <c r="A126" s="139">
        <v>124</v>
      </c>
      <c r="B126" s="139" t="s">
        <v>75</v>
      </c>
      <c r="C126" s="139" t="s">
        <v>610</v>
      </c>
      <c r="D126" s="199">
        <v>9324000</v>
      </c>
      <c r="E126" s="199" t="e">
        <f>VLOOKUP(B126,#REF!,151,0)</f>
        <v>#REF!</v>
      </c>
      <c r="F126" s="199" t="e">
        <f t="shared" si="1"/>
        <v>#REF!</v>
      </c>
      <c r="G126" s="139" t="s">
        <v>528</v>
      </c>
      <c r="H126" s="182">
        <v>409000</v>
      </c>
    </row>
    <row r="127" spans="1:8">
      <c r="A127" s="139">
        <v>125</v>
      </c>
      <c r="B127" s="139" t="s">
        <v>76</v>
      </c>
      <c r="C127" s="139" t="s">
        <v>610</v>
      </c>
      <c r="D127" s="199">
        <v>7908000</v>
      </c>
      <c r="E127" s="199" t="e">
        <f>VLOOKUP(B127,#REF!,151,0)</f>
        <v>#REF!</v>
      </c>
      <c r="F127" s="199" t="e">
        <f t="shared" si="1"/>
        <v>#REF!</v>
      </c>
      <c r="G127" s="139" t="s">
        <v>528</v>
      </c>
      <c r="H127" s="182">
        <v>409000</v>
      </c>
    </row>
    <row r="128" spans="1:8">
      <c r="A128" s="139">
        <v>126</v>
      </c>
      <c r="B128" s="139" t="s">
        <v>73</v>
      </c>
      <c r="C128" s="139" t="s">
        <v>610</v>
      </c>
      <c r="D128" s="199">
        <v>9374000</v>
      </c>
      <c r="E128" s="199" t="e">
        <f>VLOOKUP(B128,#REF!,151,0)</f>
        <v>#REF!</v>
      </c>
      <c r="F128" s="199" t="e">
        <f t="shared" si="1"/>
        <v>#REF!</v>
      </c>
      <c r="G128" s="139" t="s">
        <v>528</v>
      </c>
      <c r="H128" s="182">
        <v>409000</v>
      </c>
    </row>
    <row r="129" spans="1:8">
      <c r="A129" s="139">
        <v>127</v>
      </c>
      <c r="B129" s="139" t="s">
        <v>78</v>
      </c>
      <c r="C129" s="139" t="s">
        <v>610</v>
      </c>
      <c r="D129" s="199">
        <v>6686000</v>
      </c>
      <c r="E129" s="199" t="e">
        <f>VLOOKUP(B129,#REF!,151,0)</f>
        <v>#REF!</v>
      </c>
      <c r="F129" s="199" t="e">
        <f t="shared" si="1"/>
        <v>#REF!</v>
      </c>
      <c r="G129" s="139" t="s">
        <v>528</v>
      </c>
      <c r="H129" s="182">
        <v>409000</v>
      </c>
    </row>
    <row r="130" spans="1:8">
      <c r="A130" s="139">
        <v>128</v>
      </c>
      <c r="B130" s="139" t="s">
        <v>243</v>
      </c>
      <c r="C130" s="139" t="s">
        <v>610</v>
      </c>
      <c r="D130" s="199">
        <v>8533000</v>
      </c>
      <c r="E130" s="199" t="e">
        <f>VLOOKUP(B130,#REF!,151,0)</f>
        <v>#REF!</v>
      </c>
      <c r="F130" s="199" t="e">
        <f t="shared" si="1"/>
        <v>#REF!</v>
      </c>
      <c r="G130" s="139" t="s">
        <v>528</v>
      </c>
      <c r="H130" s="182">
        <v>409000</v>
      </c>
    </row>
    <row r="131" spans="1:8">
      <c r="A131" s="139">
        <v>129</v>
      </c>
      <c r="B131" s="139" t="s">
        <v>74</v>
      </c>
      <c r="C131" s="139" t="s">
        <v>610</v>
      </c>
      <c r="D131" s="199">
        <v>8528000</v>
      </c>
      <c r="E131" s="199" t="e">
        <f>VLOOKUP(B131,#REF!,151,0)</f>
        <v>#REF!</v>
      </c>
      <c r="F131" s="199" t="e">
        <f t="shared" si="1"/>
        <v>#REF!</v>
      </c>
      <c r="G131" s="139" t="s">
        <v>528</v>
      </c>
      <c r="H131" s="182">
        <v>409000</v>
      </c>
    </row>
    <row r="132" spans="1:8">
      <c r="A132" s="139">
        <v>130</v>
      </c>
      <c r="B132" s="139" t="s">
        <v>315</v>
      </c>
      <c r="C132" s="139" t="s">
        <v>610</v>
      </c>
      <c r="D132" s="199">
        <v>9221000</v>
      </c>
      <c r="E132" s="199" t="e">
        <f>VLOOKUP(B132,#REF!,151,0)</f>
        <v>#REF!</v>
      </c>
      <c r="F132" s="199" t="e">
        <f t="shared" ref="F132:F195" si="2">+D132-E132</f>
        <v>#REF!</v>
      </c>
      <c r="G132" s="139" t="s">
        <v>528</v>
      </c>
      <c r="H132" s="182">
        <v>409000</v>
      </c>
    </row>
    <row r="133" spans="1:8">
      <c r="A133" s="139">
        <v>131</v>
      </c>
      <c r="B133" s="139" t="s">
        <v>239</v>
      </c>
      <c r="C133" s="139" t="s">
        <v>610</v>
      </c>
      <c r="D133" s="199">
        <v>8800000</v>
      </c>
      <c r="E133" s="199" t="e">
        <f>VLOOKUP(B133,#REF!,151,0)</f>
        <v>#REF!</v>
      </c>
      <c r="F133" s="199" t="e">
        <f t="shared" si="2"/>
        <v>#REF!</v>
      </c>
      <c r="G133" s="139" t="s">
        <v>528</v>
      </c>
      <c r="H133" s="182">
        <v>409000</v>
      </c>
    </row>
    <row r="134" spans="1:8">
      <c r="A134" s="139">
        <v>132</v>
      </c>
      <c r="B134" s="139" t="s">
        <v>611</v>
      </c>
      <c r="C134" s="139" t="s">
        <v>610</v>
      </c>
      <c r="D134" s="199">
        <v>8528000</v>
      </c>
      <c r="E134" s="199" t="e">
        <f>VLOOKUP(B134,#REF!,151,0)</f>
        <v>#REF!</v>
      </c>
      <c r="F134" s="199" t="e">
        <f t="shared" si="2"/>
        <v>#REF!</v>
      </c>
      <c r="G134" s="139" t="s">
        <v>528</v>
      </c>
      <c r="H134" s="182">
        <v>409000</v>
      </c>
    </row>
    <row r="135" spans="1:8">
      <c r="A135" s="139">
        <v>133</v>
      </c>
      <c r="B135" s="139" t="s">
        <v>395</v>
      </c>
      <c r="C135" s="139" t="s">
        <v>610</v>
      </c>
      <c r="D135" s="199">
        <v>8722000</v>
      </c>
      <c r="E135" s="199" t="e">
        <f>VLOOKUP(B135,#REF!,151,0)</f>
        <v>#REF!</v>
      </c>
      <c r="F135" s="199" t="e">
        <f t="shared" si="2"/>
        <v>#REF!</v>
      </c>
      <c r="G135" s="139" t="s">
        <v>528</v>
      </c>
      <c r="H135" s="182">
        <v>409000</v>
      </c>
    </row>
    <row r="136" spans="1:8">
      <c r="A136" s="139">
        <v>134</v>
      </c>
      <c r="B136" s="139" t="s">
        <v>71</v>
      </c>
      <c r="C136" s="139" t="s">
        <v>610</v>
      </c>
      <c r="D136" s="199">
        <v>9773000</v>
      </c>
      <c r="E136" s="199" t="e">
        <f>VLOOKUP(B136,#REF!,151,0)</f>
        <v>#REF!</v>
      </c>
      <c r="F136" s="199" t="e">
        <f t="shared" si="2"/>
        <v>#REF!</v>
      </c>
      <c r="G136" s="139" t="s">
        <v>528</v>
      </c>
      <c r="H136" s="182">
        <v>429000</v>
      </c>
    </row>
    <row r="137" spans="1:8">
      <c r="A137" s="139">
        <v>135</v>
      </c>
      <c r="B137" s="139" t="s">
        <v>612</v>
      </c>
      <c r="C137" s="139" t="s">
        <v>610</v>
      </c>
      <c r="D137" s="199">
        <v>7261000</v>
      </c>
      <c r="E137" s="199" t="e">
        <f>VLOOKUP(B137,#REF!,151,0)</f>
        <v>#REF!</v>
      </c>
      <c r="F137" s="199" t="e">
        <f t="shared" si="2"/>
        <v>#REF!</v>
      </c>
      <c r="G137" s="139" t="s">
        <v>528</v>
      </c>
      <c r="H137" s="182">
        <v>409000</v>
      </c>
    </row>
    <row r="138" spans="1:8">
      <c r="A138" s="139">
        <v>136</v>
      </c>
      <c r="B138" s="139" t="s">
        <v>613</v>
      </c>
      <c r="C138" s="139" t="s">
        <v>610</v>
      </c>
      <c r="D138" s="199">
        <v>8489000</v>
      </c>
      <c r="E138" s="199" t="e">
        <f>VLOOKUP(B138,#REF!,151,0)</f>
        <v>#REF!</v>
      </c>
      <c r="F138" s="199" t="e">
        <f t="shared" si="2"/>
        <v>#REF!</v>
      </c>
      <c r="G138" s="139" t="s">
        <v>528</v>
      </c>
      <c r="H138" s="182">
        <v>409000</v>
      </c>
    </row>
    <row r="139" spans="1:8">
      <c r="A139" s="139">
        <v>137</v>
      </c>
      <c r="B139" s="139" t="s">
        <v>81</v>
      </c>
      <c r="C139" s="139" t="s">
        <v>614</v>
      </c>
      <c r="D139" s="199">
        <v>8602000</v>
      </c>
      <c r="E139" s="199" t="e">
        <f>VLOOKUP(B139,#REF!,151,0)</f>
        <v>#REF!</v>
      </c>
      <c r="F139" s="199" t="e">
        <f t="shared" si="2"/>
        <v>#REF!</v>
      </c>
      <c r="G139" s="139" t="s">
        <v>528</v>
      </c>
      <c r="H139" s="182">
        <v>409000</v>
      </c>
    </row>
    <row r="140" spans="1:8">
      <c r="A140" s="139">
        <v>138</v>
      </c>
      <c r="B140" s="139" t="s">
        <v>244</v>
      </c>
      <c r="C140" s="139" t="s">
        <v>614</v>
      </c>
      <c r="D140" s="199">
        <v>8706000</v>
      </c>
      <c r="E140" s="199" t="e">
        <f>VLOOKUP(B140,#REF!,151,0)</f>
        <v>#REF!</v>
      </c>
      <c r="F140" s="199" t="e">
        <f t="shared" si="2"/>
        <v>#REF!</v>
      </c>
      <c r="G140" s="139" t="s">
        <v>528</v>
      </c>
      <c r="H140" s="182">
        <v>429000</v>
      </c>
    </row>
    <row r="141" spans="1:8">
      <c r="A141" s="139">
        <v>139</v>
      </c>
      <c r="B141" s="139" t="s">
        <v>294</v>
      </c>
      <c r="C141" s="139" t="s">
        <v>614</v>
      </c>
      <c r="D141" s="199">
        <v>9698000</v>
      </c>
      <c r="E141" s="199" t="e">
        <f>VLOOKUP(B141,#REF!,151,0)</f>
        <v>#REF!</v>
      </c>
      <c r="F141" s="199" t="e">
        <f t="shared" si="2"/>
        <v>#REF!</v>
      </c>
      <c r="G141" s="139" t="s">
        <v>528</v>
      </c>
      <c r="H141" s="182">
        <v>409000</v>
      </c>
    </row>
    <row r="142" spans="1:8">
      <c r="A142" s="139">
        <v>140</v>
      </c>
      <c r="B142" s="139" t="s">
        <v>245</v>
      </c>
      <c r="C142" s="139" t="s">
        <v>614</v>
      </c>
      <c r="D142" s="199">
        <v>8034000</v>
      </c>
      <c r="E142" s="199" t="e">
        <f>VLOOKUP(B142,#REF!,151,0)</f>
        <v>#REF!</v>
      </c>
      <c r="F142" s="199" t="e">
        <f t="shared" si="2"/>
        <v>#REF!</v>
      </c>
      <c r="G142" s="139" t="s">
        <v>528</v>
      </c>
      <c r="H142" s="182">
        <v>409000</v>
      </c>
    </row>
    <row r="143" spans="1:8">
      <c r="A143" s="139">
        <v>141</v>
      </c>
      <c r="B143" s="139" t="s">
        <v>247</v>
      </c>
      <c r="C143" s="139" t="s">
        <v>614</v>
      </c>
      <c r="D143" s="199">
        <v>6968000</v>
      </c>
      <c r="E143" s="199" t="e">
        <f>VLOOKUP(B143,#REF!,151,0)</f>
        <v>#REF!</v>
      </c>
      <c r="F143" s="199" t="e">
        <f t="shared" si="2"/>
        <v>#REF!</v>
      </c>
      <c r="G143" s="139" t="s">
        <v>528</v>
      </c>
      <c r="H143" s="182">
        <v>409000</v>
      </c>
    </row>
    <row r="144" spans="1:8">
      <c r="A144" s="139">
        <v>142</v>
      </c>
      <c r="B144" s="139" t="s">
        <v>88</v>
      </c>
      <c r="C144" s="139" t="s">
        <v>614</v>
      </c>
      <c r="D144" s="199">
        <v>9123000</v>
      </c>
      <c r="E144" s="199" t="e">
        <f>VLOOKUP(B144,#REF!,151,0)</f>
        <v>#REF!</v>
      </c>
      <c r="F144" s="199" t="e">
        <f t="shared" si="2"/>
        <v>#REF!</v>
      </c>
      <c r="G144" s="139" t="s">
        <v>528</v>
      </c>
      <c r="H144" s="182">
        <v>409000</v>
      </c>
    </row>
    <row r="145" spans="1:8">
      <c r="A145" s="139">
        <v>143</v>
      </c>
      <c r="B145" s="139" t="s">
        <v>615</v>
      </c>
      <c r="C145" s="139" t="s">
        <v>614</v>
      </c>
      <c r="D145" s="199">
        <v>6848000</v>
      </c>
      <c r="E145" s="199" t="e">
        <f>VLOOKUP(B145,#REF!,151,0)</f>
        <v>#REF!</v>
      </c>
      <c r="F145" s="199" t="e">
        <f t="shared" si="2"/>
        <v>#REF!</v>
      </c>
      <c r="G145" s="139" t="s">
        <v>528</v>
      </c>
      <c r="H145" s="182">
        <v>409000</v>
      </c>
    </row>
    <row r="146" spans="1:8">
      <c r="A146" s="139">
        <v>144</v>
      </c>
      <c r="B146" s="139" t="s">
        <v>420</v>
      </c>
      <c r="C146" s="139" t="s">
        <v>614</v>
      </c>
      <c r="D146" s="199">
        <v>8210000</v>
      </c>
      <c r="E146" s="199" t="e">
        <f>VLOOKUP(B146,#REF!,151,0)</f>
        <v>#REF!</v>
      </c>
      <c r="F146" s="199" t="e">
        <f t="shared" si="2"/>
        <v>#REF!</v>
      </c>
      <c r="G146" s="139" t="s">
        <v>528</v>
      </c>
      <c r="H146" s="182">
        <v>409000</v>
      </c>
    </row>
    <row r="147" spans="1:8">
      <c r="A147" s="139">
        <v>145</v>
      </c>
      <c r="B147" s="139" t="s">
        <v>616</v>
      </c>
      <c r="C147" s="139" t="s">
        <v>614</v>
      </c>
      <c r="D147" s="199">
        <v>8987000</v>
      </c>
      <c r="E147" s="199" t="e">
        <f>VLOOKUP(B147,#REF!,151,0)</f>
        <v>#REF!</v>
      </c>
      <c r="F147" s="199" t="e">
        <f t="shared" si="2"/>
        <v>#REF!</v>
      </c>
      <c r="G147" s="139" t="s">
        <v>528</v>
      </c>
      <c r="H147" s="182">
        <v>463050</v>
      </c>
    </row>
    <row r="148" spans="1:8">
      <c r="A148" s="139">
        <v>146</v>
      </c>
      <c r="B148" s="139" t="s">
        <v>293</v>
      </c>
      <c r="C148" s="139" t="s">
        <v>614</v>
      </c>
      <c r="D148" s="199">
        <v>8258000</v>
      </c>
      <c r="E148" s="199" t="e">
        <f>VLOOKUP(B148,#REF!,151,0)</f>
        <v>#REF!</v>
      </c>
      <c r="F148" s="199" t="e">
        <f t="shared" si="2"/>
        <v>#REF!</v>
      </c>
      <c r="G148" s="139" t="s">
        <v>528</v>
      </c>
      <c r="H148" s="182">
        <v>409000</v>
      </c>
    </row>
    <row r="149" spans="1:8">
      <c r="A149" s="139">
        <v>147</v>
      </c>
      <c r="B149" s="139" t="s">
        <v>423</v>
      </c>
      <c r="C149" s="139" t="s">
        <v>614</v>
      </c>
      <c r="D149" s="199">
        <v>9196000</v>
      </c>
      <c r="E149" s="199" t="e">
        <f>VLOOKUP(B149,#REF!,151,0)</f>
        <v>#REF!</v>
      </c>
      <c r="F149" s="199" t="e">
        <f t="shared" si="2"/>
        <v>#REF!</v>
      </c>
      <c r="G149" s="139" t="s">
        <v>528</v>
      </c>
    </row>
    <row r="150" spans="1:8">
      <c r="A150" s="139">
        <v>148</v>
      </c>
      <c r="B150" s="139" t="s">
        <v>469</v>
      </c>
      <c r="C150" s="139" t="s">
        <v>614</v>
      </c>
      <c r="D150" s="199">
        <v>3865000</v>
      </c>
      <c r="E150" s="199" t="e">
        <f>VLOOKUP(B150,#REF!,151,0)</f>
        <v>#REF!</v>
      </c>
      <c r="F150" s="199" t="e">
        <f t="shared" si="2"/>
        <v>#REF!</v>
      </c>
      <c r="G150" s="139" t="s">
        <v>528</v>
      </c>
      <c r="H150" s="182">
        <v>409000</v>
      </c>
    </row>
    <row r="151" spans="1:8">
      <c r="A151" s="139">
        <v>149</v>
      </c>
      <c r="B151" s="139" t="s">
        <v>254</v>
      </c>
      <c r="C151" s="139" t="s">
        <v>617</v>
      </c>
      <c r="D151" s="199">
        <v>1116000</v>
      </c>
      <c r="E151" s="199" t="e">
        <f>VLOOKUP(B151,#REF!,151,0)</f>
        <v>#REF!</v>
      </c>
      <c r="F151" s="199" t="e">
        <f t="shared" si="2"/>
        <v>#REF!</v>
      </c>
      <c r="G151" s="139" t="s">
        <v>528</v>
      </c>
      <c r="H151" s="182">
        <v>409000</v>
      </c>
    </row>
    <row r="152" spans="1:8">
      <c r="A152" s="139">
        <v>150</v>
      </c>
      <c r="B152" s="139" t="s">
        <v>251</v>
      </c>
      <c r="C152" s="139" t="s">
        <v>617</v>
      </c>
      <c r="D152" s="199">
        <v>3746000</v>
      </c>
      <c r="E152" s="199" t="e">
        <f>VLOOKUP(B152,#REF!,151,0)</f>
        <v>#REF!</v>
      </c>
      <c r="F152" s="199" t="e">
        <f t="shared" si="2"/>
        <v>#REF!</v>
      </c>
      <c r="G152" s="139" t="s">
        <v>528</v>
      </c>
      <c r="H152" s="182">
        <v>409000</v>
      </c>
    </row>
    <row r="153" spans="1:8">
      <c r="A153" s="139">
        <v>151</v>
      </c>
      <c r="B153" s="139" t="s">
        <v>83</v>
      </c>
      <c r="C153" s="139" t="s">
        <v>617</v>
      </c>
      <c r="D153" s="199">
        <v>9249000</v>
      </c>
      <c r="E153" s="199" t="e">
        <f>VLOOKUP(B153,#REF!,151,0)</f>
        <v>#REF!</v>
      </c>
      <c r="F153" s="199" t="e">
        <f t="shared" si="2"/>
        <v>#REF!</v>
      </c>
      <c r="G153" s="139" t="s">
        <v>528</v>
      </c>
      <c r="H153" s="182">
        <v>409000</v>
      </c>
    </row>
    <row r="154" spans="1:8">
      <c r="A154" s="139">
        <v>152</v>
      </c>
      <c r="B154" s="139" t="s">
        <v>253</v>
      </c>
      <c r="C154" s="139" t="s">
        <v>617</v>
      </c>
      <c r="D154" s="199">
        <v>6103000</v>
      </c>
      <c r="E154" s="199" t="e">
        <f>VLOOKUP(B154,#REF!,151,0)</f>
        <v>#REF!</v>
      </c>
      <c r="F154" s="199" t="e">
        <f t="shared" si="2"/>
        <v>#REF!</v>
      </c>
      <c r="G154" s="139" t="s">
        <v>528</v>
      </c>
      <c r="H154" s="182">
        <v>429000</v>
      </c>
    </row>
    <row r="155" spans="1:8">
      <c r="A155" s="139">
        <v>153</v>
      </c>
      <c r="B155" s="139" t="s">
        <v>82</v>
      </c>
      <c r="C155" s="139" t="s">
        <v>617</v>
      </c>
      <c r="D155" s="199">
        <v>7843000</v>
      </c>
      <c r="E155" s="199" t="e">
        <f>VLOOKUP(B155,#REF!,151,0)</f>
        <v>#REF!</v>
      </c>
      <c r="F155" s="199" t="e">
        <f t="shared" si="2"/>
        <v>#REF!</v>
      </c>
      <c r="G155" s="139" t="s">
        <v>528</v>
      </c>
      <c r="H155" s="182">
        <v>409000</v>
      </c>
    </row>
    <row r="156" spans="1:8">
      <c r="A156" s="139">
        <v>154</v>
      </c>
      <c r="B156" s="139" t="s">
        <v>264</v>
      </c>
      <c r="C156" s="139" t="s">
        <v>617</v>
      </c>
      <c r="D156" s="199">
        <v>6319000</v>
      </c>
      <c r="E156" s="199" t="e">
        <f>VLOOKUP(B156,#REF!,151,0)</f>
        <v>#REF!</v>
      </c>
      <c r="F156" s="199" t="e">
        <f t="shared" si="2"/>
        <v>#REF!</v>
      </c>
      <c r="G156" s="139" t="s">
        <v>528</v>
      </c>
      <c r="H156" s="182">
        <v>409000</v>
      </c>
    </row>
    <row r="157" spans="1:8">
      <c r="A157" s="139">
        <v>155</v>
      </c>
      <c r="B157" s="139" t="s">
        <v>618</v>
      </c>
      <c r="C157" s="139" t="s">
        <v>617</v>
      </c>
      <c r="D157" s="199">
        <v>7764000</v>
      </c>
      <c r="E157" s="199" t="e">
        <f>VLOOKUP(B157,#REF!,151,0)</f>
        <v>#REF!</v>
      </c>
      <c r="F157" s="199" t="e">
        <f t="shared" si="2"/>
        <v>#REF!</v>
      </c>
      <c r="G157" s="139" t="s">
        <v>528</v>
      </c>
      <c r="H157" s="182">
        <v>409000</v>
      </c>
    </row>
    <row r="158" spans="1:8">
      <c r="A158" s="139">
        <v>156</v>
      </c>
      <c r="B158" s="139" t="s">
        <v>295</v>
      </c>
      <c r="C158" s="139" t="s">
        <v>617</v>
      </c>
      <c r="D158" s="199">
        <v>8735000</v>
      </c>
      <c r="E158" s="199" t="e">
        <f>VLOOKUP(B158,#REF!,151,0)</f>
        <v>#REF!</v>
      </c>
      <c r="F158" s="199" t="e">
        <f t="shared" si="2"/>
        <v>#REF!</v>
      </c>
      <c r="G158" s="139" t="s">
        <v>528</v>
      </c>
      <c r="H158" s="182">
        <v>409000</v>
      </c>
    </row>
    <row r="159" spans="1:8">
      <c r="A159" s="139">
        <v>157</v>
      </c>
      <c r="B159" s="139" t="s">
        <v>417</v>
      </c>
      <c r="C159" s="139" t="s">
        <v>617</v>
      </c>
      <c r="D159" s="199">
        <v>8752000</v>
      </c>
      <c r="E159" s="199" t="e">
        <f>VLOOKUP(B159,#REF!,151,0)</f>
        <v>#REF!</v>
      </c>
      <c r="F159" s="199" t="e">
        <f t="shared" si="2"/>
        <v>#REF!</v>
      </c>
      <c r="G159" s="139" t="s">
        <v>528</v>
      </c>
      <c r="H159" s="182">
        <v>409000</v>
      </c>
    </row>
    <row r="160" spans="1:8">
      <c r="A160" s="139">
        <v>158</v>
      </c>
      <c r="B160" s="139" t="s">
        <v>236</v>
      </c>
      <c r="C160" s="139" t="s">
        <v>617</v>
      </c>
      <c r="D160" s="199">
        <v>8820000</v>
      </c>
      <c r="E160" s="199" t="e">
        <f>VLOOKUP(B160,#REF!,151,0)</f>
        <v>#REF!</v>
      </c>
      <c r="F160" s="199" t="e">
        <f t="shared" si="2"/>
        <v>#REF!</v>
      </c>
      <c r="G160" s="139" t="s">
        <v>528</v>
      </c>
      <c r="H160" s="182">
        <v>409000</v>
      </c>
    </row>
    <row r="161" spans="1:8">
      <c r="A161" s="139">
        <v>159</v>
      </c>
      <c r="B161" s="139" t="s">
        <v>394</v>
      </c>
      <c r="C161" s="139" t="s">
        <v>617</v>
      </c>
      <c r="D161" s="199">
        <v>8252000</v>
      </c>
      <c r="E161" s="199" t="e">
        <f>VLOOKUP(B161,#REF!,151,0)</f>
        <v>#REF!</v>
      </c>
      <c r="F161" s="199" t="e">
        <f t="shared" si="2"/>
        <v>#REF!</v>
      </c>
      <c r="G161" s="139" t="s">
        <v>528</v>
      </c>
      <c r="H161" s="182">
        <v>409000</v>
      </c>
    </row>
    <row r="162" spans="1:8">
      <c r="A162" s="139">
        <v>160</v>
      </c>
      <c r="B162" s="139" t="s">
        <v>619</v>
      </c>
      <c r="C162" s="139" t="s">
        <v>617</v>
      </c>
      <c r="D162" s="199">
        <v>9280000</v>
      </c>
      <c r="E162" s="199" t="e">
        <f>VLOOKUP(B162,#REF!,151,0)</f>
        <v>#REF!</v>
      </c>
      <c r="F162" s="199" t="e">
        <f t="shared" si="2"/>
        <v>#REF!</v>
      </c>
      <c r="G162" s="139" t="s">
        <v>528</v>
      </c>
      <c r="H162" s="182">
        <v>409000</v>
      </c>
    </row>
    <row r="163" spans="1:8">
      <c r="A163" s="139">
        <v>161</v>
      </c>
      <c r="B163" s="139" t="s">
        <v>26</v>
      </c>
      <c r="C163" s="139" t="s">
        <v>620</v>
      </c>
      <c r="D163" s="199">
        <v>9732000</v>
      </c>
      <c r="E163" s="199" t="e">
        <f>VLOOKUP(B163,#REF!,151,0)</f>
        <v>#REF!</v>
      </c>
      <c r="F163" s="199" t="e">
        <f t="shared" si="2"/>
        <v>#REF!</v>
      </c>
      <c r="G163" s="139" t="s">
        <v>528</v>
      </c>
      <c r="H163" s="182">
        <v>409000</v>
      </c>
    </row>
    <row r="164" spans="1:8">
      <c r="A164" s="139">
        <v>162</v>
      </c>
      <c r="B164" s="139" t="s">
        <v>85</v>
      </c>
      <c r="C164" s="139" t="s">
        <v>620</v>
      </c>
      <c r="D164" s="199">
        <v>9197000</v>
      </c>
      <c r="E164" s="199" t="e">
        <f>VLOOKUP(B164,#REF!,151,0)</f>
        <v>#REF!</v>
      </c>
      <c r="F164" s="199" t="e">
        <f t="shared" si="2"/>
        <v>#REF!</v>
      </c>
      <c r="G164" s="139" t="s">
        <v>528</v>
      </c>
      <c r="H164" s="182">
        <v>409000</v>
      </c>
    </row>
    <row r="165" spans="1:8">
      <c r="A165" s="139">
        <v>163</v>
      </c>
      <c r="B165" s="139" t="s">
        <v>256</v>
      </c>
      <c r="C165" s="139" t="s">
        <v>620</v>
      </c>
      <c r="D165" s="199">
        <v>9246000</v>
      </c>
      <c r="E165" s="199" t="e">
        <f>VLOOKUP(B165,#REF!,151,0)</f>
        <v>#REF!</v>
      </c>
      <c r="F165" s="199" t="e">
        <f t="shared" si="2"/>
        <v>#REF!</v>
      </c>
      <c r="G165" s="139" t="s">
        <v>528</v>
      </c>
      <c r="H165" s="182">
        <v>409000</v>
      </c>
    </row>
    <row r="166" spans="1:8">
      <c r="A166" s="139">
        <v>164</v>
      </c>
      <c r="B166" s="139" t="s">
        <v>621</v>
      </c>
      <c r="C166" s="139" t="s">
        <v>620</v>
      </c>
      <c r="D166" s="199">
        <v>7030000</v>
      </c>
      <c r="E166" s="199" t="e">
        <f>VLOOKUP(B166,#REF!,151,0)</f>
        <v>#REF!</v>
      </c>
      <c r="F166" s="199" t="e">
        <f t="shared" si="2"/>
        <v>#REF!</v>
      </c>
      <c r="G166" s="139" t="s">
        <v>528</v>
      </c>
      <c r="H166" s="182">
        <v>409000</v>
      </c>
    </row>
    <row r="167" spans="1:8">
      <c r="A167" s="139">
        <v>165</v>
      </c>
      <c r="B167" s="139" t="s">
        <v>257</v>
      </c>
      <c r="C167" s="139" t="s">
        <v>620</v>
      </c>
      <c r="D167" s="199">
        <v>9013000</v>
      </c>
      <c r="E167" s="199" t="e">
        <f>VLOOKUP(B167,#REF!,151,0)</f>
        <v>#REF!</v>
      </c>
      <c r="F167" s="199" t="e">
        <f t="shared" si="2"/>
        <v>#REF!</v>
      </c>
      <c r="G167" s="139" t="s">
        <v>528</v>
      </c>
      <c r="H167" s="182">
        <v>409000</v>
      </c>
    </row>
    <row r="168" spans="1:8">
      <c r="A168" s="139">
        <v>166</v>
      </c>
      <c r="B168" s="139" t="s">
        <v>240</v>
      </c>
      <c r="C168" s="139" t="s">
        <v>620</v>
      </c>
      <c r="D168" s="199">
        <v>8724000</v>
      </c>
      <c r="E168" s="199" t="e">
        <f>VLOOKUP(B168,#REF!,151,0)</f>
        <v>#REF!</v>
      </c>
      <c r="F168" s="199" t="e">
        <f t="shared" si="2"/>
        <v>#REF!</v>
      </c>
      <c r="G168" s="139" t="s">
        <v>528</v>
      </c>
      <c r="H168" s="182">
        <v>409000</v>
      </c>
    </row>
    <row r="169" spans="1:8">
      <c r="A169" s="139">
        <v>167</v>
      </c>
      <c r="B169" s="139" t="s">
        <v>265</v>
      </c>
      <c r="C169" s="139" t="s">
        <v>620</v>
      </c>
      <c r="D169" s="199">
        <v>9652000</v>
      </c>
      <c r="E169" s="199" t="e">
        <f>VLOOKUP(B169,#REF!,151,0)</f>
        <v>#REF!</v>
      </c>
      <c r="F169" s="199" t="e">
        <f t="shared" si="2"/>
        <v>#REF!</v>
      </c>
      <c r="G169" s="139" t="s">
        <v>528</v>
      </c>
      <c r="H169" s="182">
        <v>409000</v>
      </c>
    </row>
    <row r="170" spans="1:8">
      <c r="A170" s="139">
        <v>168</v>
      </c>
      <c r="B170" s="139" t="s">
        <v>208</v>
      </c>
      <c r="C170" s="139" t="s">
        <v>620</v>
      </c>
      <c r="D170" s="199">
        <v>7383000</v>
      </c>
      <c r="E170" s="199" t="e">
        <f>VLOOKUP(B170,#REF!,151,0)</f>
        <v>#REF!</v>
      </c>
      <c r="F170" s="199" t="e">
        <f t="shared" si="2"/>
        <v>#REF!</v>
      </c>
      <c r="G170" s="139" t="s">
        <v>528</v>
      </c>
      <c r="H170" s="182">
        <v>409000</v>
      </c>
    </row>
    <row r="171" spans="1:8">
      <c r="A171" s="139">
        <v>169</v>
      </c>
      <c r="B171" s="139" t="s">
        <v>242</v>
      </c>
      <c r="C171" s="139" t="s">
        <v>620</v>
      </c>
      <c r="D171" s="199">
        <v>9712000</v>
      </c>
      <c r="E171" s="199" t="e">
        <f>VLOOKUP(B171,#REF!,151,0)</f>
        <v>#REF!</v>
      </c>
      <c r="F171" s="199" t="e">
        <f t="shared" si="2"/>
        <v>#REF!</v>
      </c>
      <c r="G171" s="139" t="s">
        <v>528</v>
      </c>
      <c r="H171" s="182">
        <v>409000</v>
      </c>
    </row>
    <row r="172" spans="1:8">
      <c r="A172" s="139">
        <v>170</v>
      </c>
      <c r="B172" s="139" t="s">
        <v>192</v>
      </c>
      <c r="C172" s="139" t="s">
        <v>620</v>
      </c>
      <c r="D172" s="199">
        <v>7814000</v>
      </c>
      <c r="E172" s="199" t="e">
        <f>VLOOKUP(B172,#REF!,151,0)</f>
        <v>#REF!</v>
      </c>
      <c r="F172" s="199" t="e">
        <f t="shared" si="2"/>
        <v>#REF!</v>
      </c>
      <c r="G172" s="139" t="s">
        <v>528</v>
      </c>
      <c r="H172" s="182">
        <v>429000</v>
      </c>
    </row>
    <row r="173" spans="1:8">
      <c r="A173" s="139">
        <v>171</v>
      </c>
      <c r="B173" s="139" t="s">
        <v>421</v>
      </c>
      <c r="C173" s="139" t="s">
        <v>620</v>
      </c>
      <c r="D173" s="199">
        <v>8929000</v>
      </c>
      <c r="E173" s="199" t="e">
        <f>VLOOKUP(B173,#REF!,151,0)</f>
        <v>#REF!</v>
      </c>
      <c r="F173" s="199" t="e">
        <f t="shared" si="2"/>
        <v>#REF!</v>
      </c>
      <c r="G173" s="139" t="s">
        <v>528</v>
      </c>
      <c r="H173" s="182">
        <v>409000</v>
      </c>
    </row>
    <row r="174" spans="1:8">
      <c r="A174" s="139">
        <v>172</v>
      </c>
      <c r="B174" s="139" t="s">
        <v>235</v>
      </c>
      <c r="C174" s="139" t="s">
        <v>620</v>
      </c>
      <c r="D174" s="199">
        <v>4149000</v>
      </c>
      <c r="E174" s="199" t="e">
        <f>VLOOKUP(B174,#REF!,151,0)</f>
        <v>#REF!</v>
      </c>
      <c r="F174" s="199" t="e">
        <f t="shared" si="2"/>
        <v>#REF!</v>
      </c>
      <c r="G174" s="139" t="s">
        <v>528</v>
      </c>
      <c r="H174" s="182">
        <v>409000</v>
      </c>
    </row>
    <row r="175" spans="1:8">
      <c r="A175" s="139">
        <v>173</v>
      </c>
      <c r="B175" s="139" t="s">
        <v>622</v>
      </c>
      <c r="C175" s="139" t="s">
        <v>623</v>
      </c>
      <c r="D175" s="199">
        <v>8329000</v>
      </c>
      <c r="E175" s="199" t="e">
        <f>VLOOKUP(B175,#REF!,151,0)</f>
        <v>#REF!</v>
      </c>
      <c r="F175" s="199" t="e">
        <f t="shared" si="2"/>
        <v>#REF!</v>
      </c>
      <c r="G175" s="139" t="s">
        <v>528</v>
      </c>
      <c r="H175" s="182">
        <v>409000</v>
      </c>
    </row>
    <row r="176" spans="1:8">
      <c r="A176" s="139">
        <v>174</v>
      </c>
      <c r="B176" s="139" t="s">
        <v>27</v>
      </c>
      <c r="C176" s="139" t="s">
        <v>623</v>
      </c>
      <c r="D176" s="199">
        <v>9021000</v>
      </c>
      <c r="E176" s="199" t="e">
        <f>VLOOKUP(B176,#REF!,151,0)</f>
        <v>#REF!</v>
      </c>
      <c r="F176" s="199" t="e">
        <f t="shared" si="2"/>
        <v>#REF!</v>
      </c>
      <c r="G176" s="139" t="s">
        <v>528</v>
      </c>
      <c r="H176" s="182">
        <v>409000</v>
      </c>
    </row>
    <row r="177" spans="1:8">
      <c r="A177" s="139">
        <v>175</v>
      </c>
      <c r="B177" s="139" t="s">
        <v>86</v>
      </c>
      <c r="C177" s="139" t="s">
        <v>623</v>
      </c>
      <c r="D177" s="199">
        <v>9071000</v>
      </c>
      <c r="E177" s="199" t="e">
        <f>VLOOKUP(B177,#REF!,151,0)</f>
        <v>#REF!</v>
      </c>
      <c r="F177" s="199" t="e">
        <f t="shared" si="2"/>
        <v>#REF!</v>
      </c>
      <c r="G177" s="139" t="s">
        <v>528</v>
      </c>
      <c r="H177" s="182">
        <v>409000</v>
      </c>
    </row>
    <row r="178" spans="1:8">
      <c r="A178" s="139">
        <v>176</v>
      </c>
      <c r="B178" s="139" t="s">
        <v>266</v>
      </c>
      <c r="C178" s="139" t="s">
        <v>623</v>
      </c>
      <c r="D178" s="199">
        <v>6905000</v>
      </c>
      <c r="E178" s="199" t="e">
        <f>VLOOKUP(B178,#REF!,151,0)</f>
        <v>#REF!</v>
      </c>
      <c r="F178" s="199" t="e">
        <f t="shared" si="2"/>
        <v>#REF!</v>
      </c>
      <c r="G178" s="139" t="s">
        <v>528</v>
      </c>
      <c r="H178" s="182">
        <v>409000</v>
      </c>
    </row>
    <row r="179" spans="1:8">
      <c r="A179" s="139">
        <v>177</v>
      </c>
      <c r="B179" s="139" t="s">
        <v>184</v>
      </c>
      <c r="C179" s="139" t="s">
        <v>623</v>
      </c>
      <c r="D179" s="199">
        <v>8396000</v>
      </c>
      <c r="E179" s="199" t="e">
        <f>VLOOKUP(B179,#REF!,151,0)</f>
        <v>#REF!</v>
      </c>
      <c r="F179" s="199" t="e">
        <f t="shared" si="2"/>
        <v>#REF!</v>
      </c>
      <c r="G179" s="139" t="s">
        <v>528</v>
      </c>
      <c r="H179" s="182">
        <v>409000</v>
      </c>
    </row>
    <row r="180" spans="1:8">
      <c r="A180" s="139">
        <v>178</v>
      </c>
      <c r="B180" s="139" t="s">
        <v>79</v>
      </c>
      <c r="C180" s="139" t="s">
        <v>623</v>
      </c>
      <c r="D180" s="199">
        <v>8713000</v>
      </c>
      <c r="E180" s="199" t="e">
        <f>VLOOKUP(B180,#REF!,151,0)</f>
        <v>#REF!</v>
      </c>
      <c r="F180" s="199" t="e">
        <f t="shared" si="2"/>
        <v>#REF!</v>
      </c>
      <c r="G180" s="139" t="s">
        <v>528</v>
      </c>
      <c r="H180" s="182">
        <v>429000</v>
      </c>
    </row>
    <row r="181" spans="1:8">
      <c r="A181" s="139">
        <v>179</v>
      </c>
      <c r="B181" s="139" t="s">
        <v>241</v>
      </c>
      <c r="C181" s="139" t="s">
        <v>623</v>
      </c>
      <c r="D181" s="199">
        <v>3552000</v>
      </c>
      <c r="E181" s="199" t="e">
        <f>VLOOKUP(B181,#REF!,151,0)</f>
        <v>#REF!</v>
      </c>
      <c r="F181" s="199" t="e">
        <f t="shared" si="2"/>
        <v>#REF!</v>
      </c>
      <c r="G181" s="139" t="s">
        <v>528</v>
      </c>
      <c r="H181" s="182">
        <v>409000</v>
      </c>
    </row>
    <row r="182" spans="1:8">
      <c r="A182" s="139">
        <v>180</v>
      </c>
      <c r="B182" s="139" t="s">
        <v>624</v>
      </c>
      <c r="C182" s="139" t="s">
        <v>623</v>
      </c>
      <c r="D182" s="199">
        <v>4798000</v>
      </c>
      <c r="E182" s="199" t="e">
        <f>VLOOKUP(B182,#REF!,151,0)</f>
        <v>#REF!</v>
      </c>
      <c r="F182" s="199" t="e">
        <f t="shared" si="2"/>
        <v>#REF!</v>
      </c>
      <c r="G182" s="139" t="s">
        <v>528</v>
      </c>
      <c r="H182" s="182">
        <v>409000</v>
      </c>
    </row>
    <row r="183" spans="1:8">
      <c r="A183" s="139">
        <v>181</v>
      </c>
      <c r="B183" s="139" t="s">
        <v>232</v>
      </c>
      <c r="C183" s="139" t="s">
        <v>623</v>
      </c>
      <c r="D183" s="199">
        <v>7721000</v>
      </c>
      <c r="E183" s="199" t="e">
        <f>VLOOKUP(B183,#REF!,151,0)</f>
        <v>#REF!</v>
      </c>
      <c r="F183" s="199" t="e">
        <f t="shared" si="2"/>
        <v>#REF!</v>
      </c>
      <c r="G183" s="139" t="s">
        <v>528</v>
      </c>
      <c r="H183" s="182">
        <v>409000</v>
      </c>
    </row>
    <row r="184" spans="1:8">
      <c r="A184" s="139">
        <v>182</v>
      </c>
      <c r="B184" s="139" t="s">
        <v>197</v>
      </c>
      <c r="C184" s="139" t="s">
        <v>623</v>
      </c>
      <c r="D184" s="199">
        <v>6826000</v>
      </c>
      <c r="E184" s="199" t="e">
        <f>VLOOKUP(B184,#REF!,151,0)</f>
        <v>#REF!</v>
      </c>
      <c r="F184" s="199" t="e">
        <f t="shared" si="2"/>
        <v>#REF!</v>
      </c>
      <c r="G184" s="139" t="s">
        <v>528</v>
      </c>
      <c r="H184" s="182">
        <v>409000</v>
      </c>
    </row>
    <row r="185" spans="1:8">
      <c r="A185" s="139">
        <v>183</v>
      </c>
      <c r="B185" s="139" t="s">
        <v>625</v>
      </c>
      <c r="C185" s="139" t="s">
        <v>623</v>
      </c>
      <c r="D185" s="199">
        <v>7859000</v>
      </c>
      <c r="E185" s="199" t="e">
        <f>VLOOKUP(B185,#REF!,151,0)</f>
        <v>#REF!</v>
      </c>
      <c r="F185" s="199" t="e">
        <f t="shared" si="2"/>
        <v>#REF!</v>
      </c>
      <c r="G185" s="139" t="s">
        <v>528</v>
      </c>
    </row>
    <row r="186" spans="1:8">
      <c r="A186" s="139">
        <v>184</v>
      </c>
      <c r="B186" s="139" t="s">
        <v>626</v>
      </c>
      <c r="C186" s="139" t="s">
        <v>623</v>
      </c>
      <c r="D186" s="199">
        <v>8168000</v>
      </c>
      <c r="E186" s="199" t="e">
        <f>VLOOKUP(B186,#REF!,151,0)</f>
        <v>#REF!</v>
      </c>
      <c r="F186" s="199" t="e">
        <f t="shared" si="2"/>
        <v>#REF!</v>
      </c>
      <c r="G186" s="139" t="s">
        <v>528</v>
      </c>
      <c r="H186" s="182">
        <v>409000</v>
      </c>
    </row>
    <row r="187" spans="1:8">
      <c r="A187" s="139">
        <v>185</v>
      </c>
      <c r="B187" s="139" t="s">
        <v>296</v>
      </c>
      <c r="C187" s="139" t="s">
        <v>627</v>
      </c>
      <c r="D187" s="199">
        <v>9495000</v>
      </c>
      <c r="E187" s="199" t="e">
        <f>VLOOKUP(B187,#REF!,151,0)</f>
        <v>#REF!</v>
      </c>
      <c r="F187" s="199" t="e">
        <f t="shared" si="2"/>
        <v>#REF!</v>
      </c>
      <c r="G187" s="139" t="s">
        <v>528</v>
      </c>
      <c r="H187" s="182">
        <v>409000</v>
      </c>
    </row>
    <row r="188" spans="1:8">
      <c r="A188" s="139">
        <v>186</v>
      </c>
      <c r="B188" s="139" t="s">
        <v>628</v>
      </c>
      <c r="C188" s="139" t="s">
        <v>627</v>
      </c>
      <c r="D188" s="199">
        <v>8290000</v>
      </c>
      <c r="E188" s="199" t="e">
        <f>VLOOKUP(B188,#REF!,151,0)</f>
        <v>#REF!</v>
      </c>
      <c r="F188" s="199" t="e">
        <f t="shared" si="2"/>
        <v>#REF!</v>
      </c>
      <c r="G188" s="139" t="s">
        <v>528</v>
      </c>
    </row>
    <row r="189" spans="1:8">
      <c r="A189" s="139">
        <v>187</v>
      </c>
      <c r="B189" s="139" t="s">
        <v>87</v>
      </c>
      <c r="C189" s="139" t="s">
        <v>627</v>
      </c>
      <c r="D189" s="199">
        <v>8446000</v>
      </c>
      <c r="E189" s="199" t="e">
        <f>VLOOKUP(B189,#REF!,151,0)</f>
        <v>#REF!</v>
      </c>
      <c r="F189" s="199" t="e">
        <f t="shared" si="2"/>
        <v>#REF!</v>
      </c>
      <c r="G189" s="139" t="s">
        <v>528</v>
      </c>
      <c r="H189" s="182">
        <v>409000</v>
      </c>
    </row>
    <row r="190" spans="1:8">
      <c r="A190" s="139">
        <v>188</v>
      </c>
      <c r="B190" s="139" t="s">
        <v>267</v>
      </c>
      <c r="C190" s="139" t="s">
        <v>627</v>
      </c>
      <c r="D190" s="199">
        <v>7207000</v>
      </c>
      <c r="E190" s="199" t="e">
        <f>VLOOKUP(B190,#REF!,151,0)</f>
        <v>#REF!</v>
      </c>
      <c r="F190" s="199" t="e">
        <f t="shared" si="2"/>
        <v>#REF!</v>
      </c>
      <c r="G190" s="139" t="s">
        <v>528</v>
      </c>
      <c r="H190" s="182">
        <v>409000</v>
      </c>
    </row>
    <row r="191" spans="1:8">
      <c r="A191" s="139">
        <v>189</v>
      </c>
      <c r="B191" s="139" t="s">
        <v>89</v>
      </c>
      <c r="C191" s="139" t="s">
        <v>627</v>
      </c>
      <c r="D191" s="199">
        <v>9471000</v>
      </c>
      <c r="E191" s="199" t="e">
        <f>VLOOKUP(B191,#REF!,151,0)</f>
        <v>#REF!</v>
      </c>
      <c r="F191" s="199" t="e">
        <f t="shared" si="2"/>
        <v>#REF!</v>
      </c>
      <c r="G191" s="139" t="s">
        <v>528</v>
      </c>
      <c r="H191" s="182">
        <v>409000</v>
      </c>
    </row>
    <row r="192" spans="1:8">
      <c r="A192" s="139">
        <v>190</v>
      </c>
      <c r="B192" s="139" t="s">
        <v>292</v>
      </c>
      <c r="C192" s="139" t="s">
        <v>627</v>
      </c>
      <c r="D192" s="199">
        <v>8430000</v>
      </c>
      <c r="E192" s="199" t="e">
        <f>VLOOKUP(B192,#REF!,151,0)</f>
        <v>#REF!</v>
      </c>
      <c r="F192" s="199" t="e">
        <f t="shared" si="2"/>
        <v>#REF!</v>
      </c>
      <c r="G192" s="139" t="s">
        <v>528</v>
      </c>
      <c r="H192" s="182">
        <v>409000</v>
      </c>
    </row>
    <row r="193" spans="1:8">
      <c r="A193" s="139">
        <v>191</v>
      </c>
      <c r="B193" s="139" t="s">
        <v>196</v>
      </c>
      <c r="C193" s="139" t="s">
        <v>627</v>
      </c>
      <c r="D193" s="199">
        <v>8850000</v>
      </c>
      <c r="E193" s="199" t="e">
        <f>VLOOKUP(B193,#REF!,151,0)</f>
        <v>#REF!</v>
      </c>
      <c r="F193" s="199" t="e">
        <f t="shared" si="2"/>
        <v>#REF!</v>
      </c>
      <c r="G193" s="139" t="s">
        <v>528</v>
      </c>
      <c r="H193" s="182">
        <v>409000</v>
      </c>
    </row>
    <row r="194" spans="1:8">
      <c r="A194" s="139">
        <v>192</v>
      </c>
      <c r="B194" s="139" t="s">
        <v>629</v>
      </c>
      <c r="C194" s="139" t="s">
        <v>627</v>
      </c>
      <c r="D194" s="199">
        <v>9645000</v>
      </c>
      <c r="E194" s="199" t="e">
        <f>VLOOKUP(B194,#REF!,151,0)</f>
        <v>#REF!</v>
      </c>
      <c r="F194" s="199" t="e">
        <f t="shared" si="2"/>
        <v>#REF!</v>
      </c>
      <c r="G194" s="139" t="s">
        <v>528</v>
      </c>
    </row>
    <row r="195" spans="1:8">
      <c r="A195" s="139">
        <v>193</v>
      </c>
      <c r="B195" s="139" t="s">
        <v>396</v>
      </c>
      <c r="C195" s="139" t="s">
        <v>627</v>
      </c>
      <c r="D195" s="199">
        <v>8430000</v>
      </c>
      <c r="E195" s="199" t="e">
        <f>VLOOKUP(B195,#REF!,151,0)</f>
        <v>#REF!</v>
      </c>
      <c r="F195" s="199" t="e">
        <f t="shared" si="2"/>
        <v>#REF!</v>
      </c>
      <c r="G195" s="139" t="s">
        <v>528</v>
      </c>
      <c r="H195" s="182">
        <v>409000</v>
      </c>
    </row>
    <row r="196" spans="1:8">
      <c r="A196" s="139">
        <v>194</v>
      </c>
      <c r="B196" s="139" t="s">
        <v>630</v>
      </c>
      <c r="C196" s="139" t="s">
        <v>627</v>
      </c>
      <c r="D196" s="199">
        <v>7385000</v>
      </c>
      <c r="E196" s="199" t="e">
        <f>VLOOKUP(B196,#REF!,151,0)</f>
        <v>#REF!</v>
      </c>
      <c r="F196" s="199" t="e">
        <f t="shared" ref="F196:F259" si="3">+D196-E196</f>
        <v>#REF!</v>
      </c>
      <c r="G196" s="139" t="s">
        <v>528</v>
      </c>
    </row>
    <row r="197" spans="1:8">
      <c r="A197" s="139">
        <v>195</v>
      </c>
      <c r="B197" s="139" t="s">
        <v>228</v>
      </c>
      <c r="C197" s="139" t="s">
        <v>627</v>
      </c>
      <c r="D197" s="199">
        <v>6448000</v>
      </c>
      <c r="E197" s="199" t="e">
        <f>VLOOKUP(B197,#REF!,151,0)</f>
        <v>#REF!</v>
      </c>
      <c r="F197" s="199" t="e">
        <f t="shared" si="3"/>
        <v>#REF!</v>
      </c>
      <c r="G197" s="139" t="s">
        <v>528</v>
      </c>
      <c r="H197" s="182">
        <v>409000</v>
      </c>
    </row>
    <row r="198" spans="1:8">
      <c r="A198" s="139">
        <v>196</v>
      </c>
      <c r="B198" s="139" t="s">
        <v>195</v>
      </c>
      <c r="C198" s="139" t="s">
        <v>627</v>
      </c>
      <c r="D198" s="199">
        <v>7414000</v>
      </c>
      <c r="E198" s="199" t="e">
        <f>VLOOKUP(B198,#REF!,151,0)</f>
        <v>#REF!</v>
      </c>
      <c r="F198" s="199" t="e">
        <f t="shared" si="3"/>
        <v>#REF!</v>
      </c>
      <c r="G198" s="139" t="s">
        <v>528</v>
      </c>
      <c r="H198" s="182">
        <v>409000</v>
      </c>
    </row>
    <row r="199" spans="1:8">
      <c r="A199" s="139">
        <v>197</v>
      </c>
      <c r="B199" s="139" t="s">
        <v>276</v>
      </c>
      <c r="C199" s="139" t="s">
        <v>631</v>
      </c>
      <c r="D199" s="199">
        <v>9269000</v>
      </c>
      <c r="E199" s="199" t="e">
        <f>VLOOKUP(B199,#REF!,151,0)</f>
        <v>#REF!</v>
      </c>
      <c r="F199" s="199" t="e">
        <f t="shared" si="3"/>
        <v>#REF!</v>
      </c>
      <c r="G199" s="139" t="s">
        <v>528</v>
      </c>
      <c r="H199" s="182">
        <v>9269000</v>
      </c>
    </row>
    <row r="200" spans="1:8">
      <c r="A200" s="139">
        <v>198</v>
      </c>
      <c r="B200" s="139" t="s">
        <v>632</v>
      </c>
      <c r="C200" s="139" t="s">
        <v>631</v>
      </c>
      <c r="D200" s="199">
        <v>8725000</v>
      </c>
      <c r="E200" s="199" t="e">
        <f>VLOOKUP(B200,#REF!,151,0)</f>
        <v>#REF!</v>
      </c>
      <c r="F200" s="199" t="e">
        <f t="shared" si="3"/>
        <v>#REF!</v>
      </c>
      <c r="G200" s="139" t="s">
        <v>528</v>
      </c>
      <c r="H200" s="182">
        <v>8725000</v>
      </c>
    </row>
    <row r="201" spans="1:8">
      <c r="A201" s="139">
        <v>199</v>
      </c>
      <c r="B201" s="139" t="s">
        <v>272</v>
      </c>
      <c r="C201" s="139" t="s">
        <v>631</v>
      </c>
      <c r="D201" s="199">
        <v>7518000</v>
      </c>
      <c r="E201" s="199" t="e">
        <f>VLOOKUP(B201,#REF!,151,0)</f>
        <v>#REF!</v>
      </c>
      <c r="F201" s="199" t="e">
        <f t="shared" si="3"/>
        <v>#REF!</v>
      </c>
      <c r="G201" s="139" t="s">
        <v>528</v>
      </c>
      <c r="H201" s="182">
        <v>7518000</v>
      </c>
    </row>
    <row r="202" spans="1:8">
      <c r="A202" s="139">
        <v>200</v>
      </c>
      <c r="B202" s="139" t="s">
        <v>125</v>
      </c>
      <c r="C202" s="139" t="s">
        <v>631</v>
      </c>
      <c r="D202" s="199">
        <v>7745000</v>
      </c>
      <c r="E202" s="199" t="e">
        <f>VLOOKUP(B202,#REF!,151,0)</f>
        <v>#REF!</v>
      </c>
      <c r="F202" s="199" t="e">
        <f t="shared" si="3"/>
        <v>#REF!</v>
      </c>
      <c r="G202" s="139" t="s">
        <v>528</v>
      </c>
      <c r="H202" s="182">
        <v>7745000</v>
      </c>
    </row>
    <row r="203" spans="1:8">
      <c r="A203" s="139">
        <v>201</v>
      </c>
      <c r="B203" s="139" t="s">
        <v>633</v>
      </c>
      <c r="C203" s="139" t="s">
        <v>631</v>
      </c>
      <c r="D203" s="199">
        <v>8769000</v>
      </c>
      <c r="E203" s="199" t="e">
        <f>VLOOKUP(B203,#REF!,151,0)</f>
        <v>#REF!</v>
      </c>
      <c r="F203" s="199" t="e">
        <f t="shared" si="3"/>
        <v>#REF!</v>
      </c>
      <c r="G203" s="139" t="s">
        <v>528</v>
      </c>
      <c r="H203" s="182">
        <v>8769000</v>
      </c>
    </row>
    <row r="204" spans="1:8">
      <c r="A204" s="139">
        <v>202</v>
      </c>
      <c r="B204" s="139" t="s">
        <v>634</v>
      </c>
      <c r="C204" s="139" t="s">
        <v>631</v>
      </c>
      <c r="D204" s="199">
        <v>8769000</v>
      </c>
      <c r="E204" s="199" t="e">
        <f>VLOOKUP(B204,#REF!,151,0)</f>
        <v>#REF!</v>
      </c>
      <c r="F204" s="199" t="e">
        <f t="shared" si="3"/>
        <v>#REF!</v>
      </c>
      <c r="G204" s="139" t="s">
        <v>528</v>
      </c>
      <c r="H204" s="182">
        <v>8769000</v>
      </c>
    </row>
    <row r="205" spans="1:8">
      <c r="A205" s="139">
        <v>203</v>
      </c>
      <c r="B205" s="139" t="s">
        <v>635</v>
      </c>
      <c r="C205" s="139" t="s">
        <v>631</v>
      </c>
      <c r="D205" s="199">
        <v>9064000</v>
      </c>
      <c r="E205" s="199" t="e">
        <f>VLOOKUP(B205,#REF!,151,0)</f>
        <v>#REF!</v>
      </c>
      <c r="F205" s="199" t="e">
        <f t="shared" si="3"/>
        <v>#REF!</v>
      </c>
      <c r="G205" s="139" t="s">
        <v>528</v>
      </c>
      <c r="H205" s="182">
        <v>9064000</v>
      </c>
    </row>
    <row r="206" spans="1:8">
      <c r="A206" s="139">
        <v>204</v>
      </c>
      <c r="B206" s="139" t="s">
        <v>636</v>
      </c>
      <c r="C206" s="139" t="s">
        <v>631</v>
      </c>
      <c r="D206" s="199">
        <v>6110000</v>
      </c>
      <c r="E206" s="199" t="e">
        <f>VLOOKUP(B206,#REF!,151,0)</f>
        <v>#REF!</v>
      </c>
      <c r="F206" s="199" t="e">
        <f t="shared" si="3"/>
        <v>#REF!</v>
      </c>
      <c r="G206" s="139" t="s">
        <v>528</v>
      </c>
      <c r="H206" s="182">
        <v>6110000</v>
      </c>
    </row>
    <row r="207" spans="1:8">
      <c r="A207" s="139">
        <v>205</v>
      </c>
      <c r="B207" s="139" t="s">
        <v>110</v>
      </c>
      <c r="C207" s="139" t="s">
        <v>637</v>
      </c>
      <c r="D207" s="199">
        <v>9757000</v>
      </c>
      <c r="E207" s="199" t="e">
        <f>VLOOKUP(B207,#REF!,151,0)</f>
        <v>#REF!</v>
      </c>
      <c r="F207" s="199" t="e">
        <f t="shared" si="3"/>
        <v>#REF!</v>
      </c>
      <c r="G207" s="139" t="s">
        <v>528</v>
      </c>
      <c r="H207" s="182">
        <v>409000</v>
      </c>
    </row>
    <row r="208" spans="1:8">
      <c r="A208" s="139">
        <v>206</v>
      </c>
      <c r="B208" s="139" t="s">
        <v>638</v>
      </c>
      <c r="C208" s="139" t="s">
        <v>637</v>
      </c>
      <c r="D208" s="199">
        <v>9396000</v>
      </c>
      <c r="E208" s="199" t="e">
        <f>VLOOKUP(B208,#REF!,151,0)</f>
        <v>#REF!</v>
      </c>
      <c r="F208" s="199" t="e">
        <f t="shared" si="3"/>
        <v>#REF!</v>
      </c>
      <c r="G208" s="139" t="s">
        <v>528</v>
      </c>
    </row>
    <row r="209" spans="1:8">
      <c r="A209" s="139">
        <v>207</v>
      </c>
      <c r="B209" s="139" t="s">
        <v>390</v>
      </c>
      <c r="C209" s="139" t="s">
        <v>637</v>
      </c>
      <c r="D209" s="199">
        <v>9446000</v>
      </c>
      <c r="E209" s="199" t="e">
        <f>VLOOKUP(B209,#REF!,151,0)</f>
        <v>#REF!</v>
      </c>
      <c r="F209" s="199" t="e">
        <f t="shared" si="3"/>
        <v>#REF!</v>
      </c>
      <c r="G209" s="139" t="s">
        <v>528</v>
      </c>
      <c r="H209" s="182">
        <v>409000</v>
      </c>
    </row>
    <row r="210" spans="1:8">
      <c r="A210" s="139">
        <v>208</v>
      </c>
      <c r="B210" s="139" t="s">
        <v>639</v>
      </c>
      <c r="C210" s="139" t="s">
        <v>637</v>
      </c>
      <c r="D210" s="199">
        <v>6662000</v>
      </c>
      <c r="E210" s="199" t="e">
        <f>VLOOKUP(B210,#REF!,151,0)</f>
        <v>#REF!</v>
      </c>
      <c r="F210" s="199" t="e">
        <f t="shared" si="3"/>
        <v>#REF!</v>
      </c>
      <c r="G210" s="139" t="s">
        <v>528</v>
      </c>
    </row>
    <row r="211" spans="1:8">
      <c r="A211" s="139">
        <v>209</v>
      </c>
      <c r="B211" s="139" t="s">
        <v>640</v>
      </c>
      <c r="C211" s="139" t="s">
        <v>637</v>
      </c>
      <c r="D211" s="199">
        <v>9208000</v>
      </c>
      <c r="E211" s="199" t="e">
        <f>VLOOKUP(B211,#REF!,151,0)</f>
        <v>#REF!</v>
      </c>
      <c r="F211" s="199" t="e">
        <f t="shared" si="3"/>
        <v>#REF!</v>
      </c>
      <c r="G211" s="139" t="s">
        <v>528</v>
      </c>
    </row>
    <row r="212" spans="1:8">
      <c r="A212" s="139">
        <v>210</v>
      </c>
      <c r="B212" s="139" t="s">
        <v>641</v>
      </c>
      <c r="C212" s="139" t="s">
        <v>637</v>
      </c>
      <c r="D212" s="199">
        <v>10748000</v>
      </c>
      <c r="E212" s="199" t="e">
        <f>VLOOKUP(B212,#REF!,151,0)</f>
        <v>#REF!</v>
      </c>
      <c r="F212" s="199" t="e">
        <f t="shared" si="3"/>
        <v>#REF!</v>
      </c>
      <c r="G212" s="139" t="s">
        <v>528</v>
      </c>
    </row>
    <row r="213" spans="1:8">
      <c r="A213" s="139">
        <v>211</v>
      </c>
      <c r="B213" s="139" t="s">
        <v>642</v>
      </c>
      <c r="C213" s="139" t="s">
        <v>637</v>
      </c>
      <c r="D213" s="199">
        <v>7788000</v>
      </c>
      <c r="E213" s="199" t="e">
        <f>VLOOKUP(B213,#REF!,151,0)</f>
        <v>#REF!</v>
      </c>
      <c r="F213" s="199" t="e">
        <f t="shared" si="3"/>
        <v>#REF!</v>
      </c>
      <c r="G213" s="139" t="s">
        <v>528</v>
      </c>
    </row>
    <row r="214" spans="1:8">
      <c r="A214" s="139">
        <v>212</v>
      </c>
      <c r="B214" s="139" t="s">
        <v>428</v>
      </c>
      <c r="C214" s="139" t="s">
        <v>637</v>
      </c>
      <c r="D214" s="199">
        <v>9658000</v>
      </c>
      <c r="E214" s="199" t="e">
        <f>VLOOKUP(B214,#REF!,151,0)</f>
        <v>#REF!</v>
      </c>
      <c r="F214" s="199" t="e">
        <f t="shared" si="3"/>
        <v>#REF!</v>
      </c>
      <c r="G214" s="139" t="s">
        <v>528</v>
      </c>
      <c r="H214" s="182">
        <v>409000</v>
      </c>
    </row>
    <row r="215" spans="1:8">
      <c r="A215" s="139">
        <v>213</v>
      </c>
      <c r="B215" s="139" t="s">
        <v>427</v>
      </c>
      <c r="C215" s="139" t="s">
        <v>637</v>
      </c>
      <c r="D215" s="199">
        <v>11154000</v>
      </c>
      <c r="E215" s="199" t="e">
        <f>VLOOKUP(B215,#REF!,151,0)</f>
        <v>#REF!</v>
      </c>
      <c r="F215" s="199" t="e">
        <f t="shared" si="3"/>
        <v>#REF!</v>
      </c>
      <c r="G215" s="139" t="s">
        <v>528</v>
      </c>
      <c r="H215" s="182">
        <v>409000</v>
      </c>
    </row>
    <row r="216" spans="1:8">
      <c r="A216" s="139">
        <v>214</v>
      </c>
      <c r="B216" s="139" t="s">
        <v>332</v>
      </c>
      <c r="C216" s="139" t="s">
        <v>637</v>
      </c>
      <c r="D216" s="199">
        <v>10555000</v>
      </c>
      <c r="E216" s="199" t="e">
        <f>VLOOKUP(B216,#REF!,151,0)</f>
        <v>#REF!</v>
      </c>
      <c r="F216" s="199" t="e">
        <f t="shared" si="3"/>
        <v>#REF!</v>
      </c>
      <c r="G216" s="139" t="s">
        <v>528</v>
      </c>
      <c r="H216" s="182">
        <v>409000</v>
      </c>
    </row>
    <row r="217" spans="1:8">
      <c r="A217" s="139">
        <v>215</v>
      </c>
      <c r="B217" s="139" t="s">
        <v>643</v>
      </c>
      <c r="C217" s="139" t="s">
        <v>637</v>
      </c>
      <c r="D217" s="199">
        <v>4698000</v>
      </c>
      <c r="E217" s="199" t="e">
        <f>VLOOKUP(B217,#REF!,151,0)</f>
        <v>#REF!</v>
      </c>
      <c r="F217" s="199" t="e">
        <f t="shared" si="3"/>
        <v>#REF!</v>
      </c>
      <c r="G217" s="139" t="s">
        <v>528</v>
      </c>
    </row>
    <row r="218" spans="1:8">
      <c r="A218" s="139">
        <v>216</v>
      </c>
      <c r="B218" s="139" t="s">
        <v>644</v>
      </c>
      <c r="C218" s="139" t="s">
        <v>637</v>
      </c>
      <c r="D218" s="199">
        <v>9136000</v>
      </c>
      <c r="E218" s="199" t="e">
        <f>VLOOKUP(B218,#REF!,151,0)</f>
        <v>#REF!</v>
      </c>
      <c r="F218" s="199" t="e">
        <f t="shared" si="3"/>
        <v>#REF!</v>
      </c>
      <c r="G218" s="139" t="s">
        <v>528</v>
      </c>
    </row>
    <row r="219" spans="1:8">
      <c r="A219" s="139">
        <v>217</v>
      </c>
      <c r="B219" s="139" t="s">
        <v>444</v>
      </c>
      <c r="C219" s="139" t="s">
        <v>637</v>
      </c>
      <c r="D219" s="199">
        <v>7522000</v>
      </c>
      <c r="E219" s="199" t="e">
        <f>VLOOKUP(B219,#REF!,151,0)</f>
        <v>#REF!</v>
      </c>
      <c r="F219" s="199" t="e">
        <f t="shared" si="3"/>
        <v>#REF!</v>
      </c>
      <c r="G219" s="139" t="s">
        <v>528</v>
      </c>
      <c r="H219" s="182">
        <v>409000</v>
      </c>
    </row>
    <row r="220" spans="1:8">
      <c r="A220" s="139">
        <v>218</v>
      </c>
      <c r="B220" s="139" t="s">
        <v>645</v>
      </c>
      <c r="C220" s="139" t="s">
        <v>637</v>
      </c>
      <c r="D220" s="199">
        <v>460000</v>
      </c>
      <c r="E220" s="199" t="e">
        <f>VLOOKUP(B220,#REF!,151,0)</f>
        <v>#REF!</v>
      </c>
      <c r="F220" s="199" t="e">
        <f t="shared" si="3"/>
        <v>#REF!</v>
      </c>
      <c r="G220" s="139" t="s">
        <v>528</v>
      </c>
    </row>
    <row r="221" spans="1:8">
      <c r="A221" s="139">
        <v>219</v>
      </c>
      <c r="B221" s="139" t="s">
        <v>646</v>
      </c>
      <c r="C221" s="139" t="s">
        <v>637</v>
      </c>
      <c r="D221" s="199">
        <v>6820000</v>
      </c>
      <c r="E221" s="199" t="e">
        <f>VLOOKUP(B221,#REF!,151,0)</f>
        <v>#REF!</v>
      </c>
      <c r="F221" s="199" t="e">
        <f t="shared" si="3"/>
        <v>#REF!</v>
      </c>
      <c r="G221" s="139" t="s">
        <v>528</v>
      </c>
    </row>
    <row r="222" spans="1:8">
      <c r="A222" s="139">
        <v>220</v>
      </c>
      <c r="B222" s="139" t="s">
        <v>647</v>
      </c>
      <c r="C222" s="139" t="s">
        <v>637</v>
      </c>
      <c r="D222" s="199">
        <v>8646000</v>
      </c>
      <c r="E222" s="199" t="e">
        <f>VLOOKUP(B222,#REF!,151,0)</f>
        <v>#REF!</v>
      </c>
      <c r="F222" s="199" t="e">
        <f t="shared" si="3"/>
        <v>#REF!</v>
      </c>
      <c r="G222" s="139" t="s">
        <v>528</v>
      </c>
    </row>
    <row r="223" spans="1:8">
      <c r="A223" s="139">
        <v>221</v>
      </c>
      <c r="B223" s="139" t="s">
        <v>108</v>
      </c>
      <c r="C223" s="139" t="s">
        <v>168</v>
      </c>
      <c r="D223" s="199">
        <v>10090000</v>
      </c>
      <c r="E223" s="199" t="e">
        <f>VLOOKUP(B223,#REF!,151,0)</f>
        <v>#REF!</v>
      </c>
      <c r="F223" s="199" t="e">
        <f t="shared" si="3"/>
        <v>#REF!</v>
      </c>
      <c r="G223" s="139" t="s">
        <v>528</v>
      </c>
      <c r="H223" s="182">
        <v>409000</v>
      </c>
    </row>
    <row r="224" spans="1:8">
      <c r="A224" s="139">
        <v>222</v>
      </c>
      <c r="B224" s="139" t="s">
        <v>104</v>
      </c>
      <c r="C224" s="139" t="s">
        <v>168</v>
      </c>
      <c r="D224" s="199">
        <v>9575000</v>
      </c>
      <c r="E224" s="199" t="e">
        <f>VLOOKUP(B224,#REF!,151,0)</f>
        <v>#REF!</v>
      </c>
      <c r="F224" s="199" t="e">
        <f t="shared" si="3"/>
        <v>#REF!</v>
      </c>
      <c r="G224" s="139" t="s">
        <v>528</v>
      </c>
      <c r="H224" s="182">
        <v>409000</v>
      </c>
    </row>
    <row r="225" spans="1:8">
      <c r="A225" s="139">
        <v>223</v>
      </c>
      <c r="B225" s="139" t="s">
        <v>303</v>
      </c>
      <c r="C225" s="139" t="s">
        <v>168</v>
      </c>
      <c r="D225" s="199">
        <v>10983000</v>
      </c>
      <c r="E225" s="199" t="e">
        <f>VLOOKUP(B225,#REF!,151,0)</f>
        <v>#REF!</v>
      </c>
      <c r="F225" s="199" t="e">
        <f t="shared" si="3"/>
        <v>#REF!</v>
      </c>
      <c r="G225" s="139" t="s">
        <v>528</v>
      </c>
      <c r="H225" s="182">
        <v>409000</v>
      </c>
    </row>
    <row r="226" spans="1:8">
      <c r="A226" s="139">
        <v>224</v>
      </c>
      <c r="B226" s="139" t="s">
        <v>174</v>
      </c>
      <c r="C226" s="139" t="s">
        <v>168</v>
      </c>
      <c r="D226" s="199">
        <v>11784000</v>
      </c>
      <c r="E226" s="199" t="e">
        <f>VLOOKUP(B226,#REF!,151,0)</f>
        <v>#REF!</v>
      </c>
      <c r="F226" s="199" t="e">
        <f t="shared" si="3"/>
        <v>#REF!</v>
      </c>
      <c r="G226" s="139" t="s">
        <v>528</v>
      </c>
      <c r="H226" s="182">
        <v>409000</v>
      </c>
    </row>
    <row r="227" spans="1:8">
      <c r="A227" s="139">
        <v>225</v>
      </c>
      <c r="B227" s="139" t="s">
        <v>111</v>
      </c>
      <c r="C227" s="139" t="s">
        <v>168</v>
      </c>
      <c r="D227" s="199">
        <v>9055000</v>
      </c>
      <c r="E227" s="199" t="e">
        <f>VLOOKUP(B227,#REF!,151,0)</f>
        <v>#REF!</v>
      </c>
      <c r="F227" s="199" t="e">
        <f t="shared" si="3"/>
        <v>#REF!</v>
      </c>
      <c r="G227" s="139" t="s">
        <v>528</v>
      </c>
      <c r="H227" s="182">
        <v>429000</v>
      </c>
    </row>
    <row r="228" spans="1:8">
      <c r="A228" s="139">
        <v>226</v>
      </c>
      <c r="B228" s="139" t="s">
        <v>281</v>
      </c>
      <c r="C228" s="139" t="s">
        <v>168</v>
      </c>
      <c r="D228" s="199">
        <v>9079000</v>
      </c>
      <c r="E228" s="199" t="e">
        <f>VLOOKUP(B228,#REF!,151,0)</f>
        <v>#REF!</v>
      </c>
      <c r="F228" s="199" t="e">
        <f t="shared" si="3"/>
        <v>#REF!</v>
      </c>
      <c r="G228" s="139" t="s">
        <v>528</v>
      </c>
      <c r="H228" s="182">
        <v>409000</v>
      </c>
    </row>
    <row r="229" spans="1:8">
      <c r="A229" s="139">
        <v>227</v>
      </c>
      <c r="B229" s="139" t="s">
        <v>103</v>
      </c>
      <c r="C229" s="139" t="s">
        <v>168</v>
      </c>
      <c r="D229" s="199">
        <v>7271000</v>
      </c>
      <c r="E229" s="199" t="e">
        <f>VLOOKUP(B229,#REF!,151,0)</f>
        <v>#REF!</v>
      </c>
      <c r="F229" s="199" t="e">
        <f t="shared" si="3"/>
        <v>#REF!</v>
      </c>
      <c r="G229" s="139" t="s">
        <v>528</v>
      </c>
      <c r="H229" s="182">
        <v>409000</v>
      </c>
    </row>
    <row r="230" spans="1:8">
      <c r="A230" s="139">
        <v>228</v>
      </c>
      <c r="B230" s="139" t="s">
        <v>648</v>
      </c>
      <c r="C230" s="139" t="s">
        <v>168</v>
      </c>
      <c r="D230" s="199">
        <v>9604000</v>
      </c>
      <c r="E230" s="199" t="e">
        <f>VLOOKUP(B230,#REF!,151,0)</f>
        <v>#REF!</v>
      </c>
      <c r="F230" s="199" t="e">
        <f t="shared" si="3"/>
        <v>#REF!</v>
      </c>
      <c r="G230" s="139" t="s">
        <v>528</v>
      </c>
      <c r="H230" s="182">
        <v>409000</v>
      </c>
    </row>
    <row r="231" spans="1:8">
      <c r="A231" s="139">
        <v>229</v>
      </c>
      <c r="B231" s="139" t="s">
        <v>106</v>
      </c>
      <c r="C231" s="139" t="s">
        <v>168</v>
      </c>
      <c r="D231" s="199">
        <v>7325000</v>
      </c>
      <c r="E231" s="199" t="e">
        <f>VLOOKUP(B231,#REF!,151,0)</f>
        <v>#REF!</v>
      </c>
      <c r="F231" s="199" t="e">
        <f t="shared" si="3"/>
        <v>#REF!</v>
      </c>
      <c r="G231" s="139" t="s">
        <v>528</v>
      </c>
      <c r="H231" s="182">
        <v>409000</v>
      </c>
    </row>
    <row r="232" spans="1:8">
      <c r="A232" s="139">
        <v>230</v>
      </c>
      <c r="B232" s="139" t="s">
        <v>649</v>
      </c>
      <c r="C232" s="139" t="s">
        <v>168</v>
      </c>
      <c r="D232" s="199">
        <v>9494000</v>
      </c>
      <c r="E232" s="199" t="e">
        <f>VLOOKUP(B232,#REF!,151,0)</f>
        <v>#REF!</v>
      </c>
      <c r="F232" s="199" t="e">
        <f t="shared" si="3"/>
        <v>#REF!</v>
      </c>
      <c r="G232" s="139" t="s">
        <v>528</v>
      </c>
    </row>
    <row r="233" spans="1:8">
      <c r="A233" s="139">
        <v>231</v>
      </c>
      <c r="B233" s="139" t="s">
        <v>105</v>
      </c>
      <c r="C233" s="139" t="s">
        <v>168</v>
      </c>
      <c r="D233" s="199">
        <v>10326000</v>
      </c>
      <c r="E233" s="199" t="e">
        <f>VLOOKUP(B233,#REF!,151,0)</f>
        <v>#REF!</v>
      </c>
      <c r="F233" s="199" t="e">
        <f t="shared" si="3"/>
        <v>#REF!</v>
      </c>
      <c r="G233" s="139" t="s">
        <v>528</v>
      </c>
      <c r="H233" s="182">
        <v>409000</v>
      </c>
    </row>
    <row r="234" spans="1:8">
      <c r="A234" s="139">
        <v>232</v>
      </c>
      <c r="B234" s="139" t="s">
        <v>302</v>
      </c>
      <c r="C234" s="139" t="s">
        <v>168</v>
      </c>
      <c r="D234" s="199">
        <v>9641000</v>
      </c>
      <c r="E234" s="199" t="e">
        <f>VLOOKUP(B234,#REF!,151,0)</f>
        <v>#REF!</v>
      </c>
      <c r="F234" s="199" t="e">
        <f t="shared" si="3"/>
        <v>#REF!</v>
      </c>
      <c r="G234" s="139" t="s">
        <v>528</v>
      </c>
      <c r="H234" s="182">
        <v>409000</v>
      </c>
    </row>
    <row r="235" spans="1:8">
      <c r="A235" s="139">
        <v>233</v>
      </c>
      <c r="B235" s="139" t="s">
        <v>101</v>
      </c>
      <c r="C235" s="139" t="s">
        <v>168</v>
      </c>
      <c r="D235" s="199">
        <v>6602000</v>
      </c>
      <c r="E235" s="199" t="e">
        <f>VLOOKUP(B235,#REF!,151,0)</f>
        <v>#REF!</v>
      </c>
      <c r="F235" s="199" t="e">
        <f t="shared" si="3"/>
        <v>#REF!</v>
      </c>
      <c r="G235" s="139" t="s">
        <v>528</v>
      </c>
      <c r="H235" s="182">
        <v>409000</v>
      </c>
    </row>
    <row r="236" spans="1:8">
      <c r="A236" s="139">
        <v>234</v>
      </c>
      <c r="B236" s="139" t="s">
        <v>109</v>
      </c>
      <c r="C236" s="139" t="s">
        <v>168</v>
      </c>
      <c r="D236" s="199">
        <v>8609000</v>
      </c>
      <c r="E236" s="199" t="e">
        <f>VLOOKUP(B236,#REF!,151,0)</f>
        <v>#REF!</v>
      </c>
      <c r="F236" s="199" t="e">
        <f t="shared" si="3"/>
        <v>#REF!</v>
      </c>
      <c r="G236" s="139" t="s">
        <v>528</v>
      </c>
      <c r="H236" s="182">
        <v>409000</v>
      </c>
    </row>
    <row r="237" spans="1:8">
      <c r="A237" s="139">
        <v>235</v>
      </c>
      <c r="B237" s="139" t="s">
        <v>650</v>
      </c>
      <c r="C237" s="139" t="s">
        <v>168</v>
      </c>
      <c r="D237" s="199">
        <v>7355000</v>
      </c>
      <c r="E237" s="199" t="e">
        <f>VLOOKUP(B237,#REF!,151,0)</f>
        <v>#REF!</v>
      </c>
      <c r="F237" s="199" t="e">
        <f t="shared" si="3"/>
        <v>#REF!</v>
      </c>
      <c r="G237" s="139" t="s">
        <v>528</v>
      </c>
    </row>
    <row r="238" spans="1:8">
      <c r="A238" s="139">
        <v>236</v>
      </c>
      <c r="B238" s="139" t="s">
        <v>651</v>
      </c>
      <c r="C238" s="139" t="s">
        <v>168</v>
      </c>
      <c r="D238" s="199">
        <v>6067000</v>
      </c>
      <c r="E238" s="199" t="e">
        <f>VLOOKUP(B238,#REF!,151,0)</f>
        <v>#REF!</v>
      </c>
      <c r="F238" s="199" t="e">
        <f t="shared" si="3"/>
        <v>#REF!</v>
      </c>
      <c r="G238" s="139" t="s">
        <v>528</v>
      </c>
    </row>
    <row r="239" spans="1:8">
      <c r="A239" s="139">
        <v>237</v>
      </c>
      <c r="B239" s="139" t="s">
        <v>279</v>
      </c>
      <c r="C239" s="139" t="s">
        <v>168</v>
      </c>
      <c r="D239" s="199">
        <v>8134000</v>
      </c>
      <c r="E239" s="199" t="e">
        <f>VLOOKUP(B239,#REF!,151,0)</f>
        <v>#REF!</v>
      </c>
      <c r="F239" s="199" t="e">
        <f t="shared" si="3"/>
        <v>#REF!</v>
      </c>
      <c r="G239" s="139" t="s">
        <v>528</v>
      </c>
      <c r="H239" s="182">
        <v>409000</v>
      </c>
    </row>
    <row r="240" spans="1:8">
      <c r="A240" s="139">
        <v>238</v>
      </c>
      <c r="B240" s="139" t="s">
        <v>652</v>
      </c>
      <c r="C240" s="139" t="s">
        <v>168</v>
      </c>
      <c r="D240" s="199">
        <v>8561000</v>
      </c>
      <c r="E240" s="199" t="e">
        <f>VLOOKUP(B240,#REF!,151,0)</f>
        <v>#REF!</v>
      </c>
      <c r="F240" s="199" t="e">
        <f t="shared" si="3"/>
        <v>#REF!</v>
      </c>
      <c r="G240" s="139" t="s">
        <v>528</v>
      </c>
    </row>
    <row r="241" spans="1:8">
      <c r="A241" s="139">
        <v>239</v>
      </c>
      <c r="B241" s="139" t="s">
        <v>305</v>
      </c>
      <c r="C241" s="139" t="s">
        <v>168</v>
      </c>
      <c r="D241" s="199">
        <v>7710000</v>
      </c>
      <c r="E241" s="199" t="e">
        <f>VLOOKUP(B241,#REF!,151,0)</f>
        <v>#REF!</v>
      </c>
      <c r="F241" s="199" t="e">
        <f t="shared" si="3"/>
        <v>#REF!</v>
      </c>
      <c r="G241" s="139" t="s">
        <v>528</v>
      </c>
      <c r="H241" s="182">
        <v>409000</v>
      </c>
    </row>
    <row r="242" spans="1:8">
      <c r="A242" s="139">
        <v>240</v>
      </c>
      <c r="B242" s="139" t="s">
        <v>653</v>
      </c>
      <c r="C242" s="139" t="s">
        <v>168</v>
      </c>
      <c r="D242" s="199">
        <v>8818000</v>
      </c>
      <c r="E242" s="199" t="e">
        <f>VLOOKUP(B242,#REF!,151,0)</f>
        <v>#REF!</v>
      </c>
      <c r="F242" s="199" t="e">
        <f t="shared" si="3"/>
        <v>#REF!</v>
      </c>
      <c r="G242" s="139" t="s">
        <v>528</v>
      </c>
    </row>
    <row r="243" spans="1:8">
      <c r="A243" s="139">
        <v>241</v>
      </c>
      <c r="B243" s="139" t="s">
        <v>304</v>
      </c>
      <c r="C243" s="139" t="s">
        <v>168</v>
      </c>
      <c r="D243" s="199">
        <v>3446000</v>
      </c>
      <c r="E243" s="199" t="e">
        <f>VLOOKUP(B243,#REF!,151,0)</f>
        <v>#REF!</v>
      </c>
      <c r="F243" s="199" t="e">
        <f t="shared" si="3"/>
        <v>#REF!</v>
      </c>
      <c r="G243" s="139" t="s">
        <v>528</v>
      </c>
      <c r="H243" s="182">
        <v>409000</v>
      </c>
    </row>
    <row r="244" spans="1:8">
      <c r="A244" s="139">
        <v>242</v>
      </c>
      <c r="B244" s="139" t="s">
        <v>654</v>
      </c>
      <c r="C244" s="139" t="s">
        <v>168</v>
      </c>
      <c r="D244" s="199">
        <v>8719000</v>
      </c>
      <c r="E244" s="199" t="e">
        <f>VLOOKUP(B244,#REF!,151,0)</f>
        <v>#REF!</v>
      </c>
      <c r="F244" s="199" t="e">
        <f t="shared" si="3"/>
        <v>#REF!</v>
      </c>
      <c r="G244" s="139" t="s">
        <v>528</v>
      </c>
    </row>
    <row r="245" spans="1:8">
      <c r="A245" s="139">
        <v>243</v>
      </c>
      <c r="B245" s="139" t="s">
        <v>112</v>
      </c>
      <c r="C245" s="139" t="s">
        <v>168</v>
      </c>
      <c r="D245" s="199">
        <v>7403000</v>
      </c>
      <c r="E245" s="199" t="e">
        <f>VLOOKUP(B245,#REF!,151,0)</f>
        <v>#REF!</v>
      </c>
      <c r="F245" s="199" t="e">
        <f t="shared" si="3"/>
        <v>#REF!</v>
      </c>
      <c r="G245" s="139" t="s">
        <v>528</v>
      </c>
      <c r="H245" s="182">
        <v>409000</v>
      </c>
    </row>
    <row r="246" spans="1:8">
      <c r="A246" s="139">
        <v>244</v>
      </c>
      <c r="B246" s="139" t="s">
        <v>443</v>
      </c>
      <c r="C246" s="139" t="s">
        <v>168</v>
      </c>
      <c r="D246" s="199">
        <v>5613000</v>
      </c>
      <c r="E246" s="199" t="e">
        <f>VLOOKUP(B246,#REF!,151,0)</f>
        <v>#REF!</v>
      </c>
      <c r="F246" s="199" t="e">
        <f t="shared" si="3"/>
        <v>#REF!</v>
      </c>
      <c r="G246" s="139" t="s">
        <v>528</v>
      </c>
      <c r="H246" s="182">
        <v>409000</v>
      </c>
    </row>
    <row r="247" spans="1:8">
      <c r="A247" s="139">
        <v>245</v>
      </c>
      <c r="B247" s="139" t="s">
        <v>655</v>
      </c>
      <c r="C247" s="139" t="s">
        <v>168</v>
      </c>
      <c r="D247" s="199">
        <v>7328000</v>
      </c>
      <c r="E247" s="199" t="e">
        <f>VLOOKUP(B247,#REF!,151,0)</f>
        <v>#REF!</v>
      </c>
      <c r="F247" s="199" t="e">
        <f t="shared" si="3"/>
        <v>#REF!</v>
      </c>
      <c r="G247" s="139" t="s">
        <v>528</v>
      </c>
    </row>
    <row r="248" spans="1:8">
      <c r="A248" s="139">
        <v>246</v>
      </c>
      <c r="B248" s="139" t="s">
        <v>656</v>
      </c>
      <c r="C248" s="139" t="s">
        <v>169</v>
      </c>
      <c r="D248" s="199">
        <v>8950000</v>
      </c>
      <c r="E248" s="199" t="e">
        <f>VLOOKUP(B248,#REF!,151,0)</f>
        <v>#REF!</v>
      </c>
      <c r="F248" s="199" t="e">
        <f t="shared" si="3"/>
        <v>#REF!</v>
      </c>
      <c r="G248" s="139" t="s">
        <v>528</v>
      </c>
      <c r="H248" s="182">
        <v>429000</v>
      </c>
    </row>
    <row r="249" spans="1:8">
      <c r="A249" s="139">
        <v>247</v>
      </c>
      <c r="B249" s="139" t="s">
        <v>317</v>
      </c>
      <c r="C249" s="139" t="s">
        <v>169</v>
      </c>
      <c r="D249" s="199">
        <v>11877000</v>
      </c>
      <c r="E249" s="199" t="e">
        <f>VLOOKUP(B249,#REF!,151,0)</f>
        <v>#REF!</v>
      </c>
      <c r="F249" s="199" t="e">
        <f t="shared" si="3"/>
        <v>#REF!</v>
      </c>
      <c r="G249" s="139" t="s">
        <v>528</v>
      </c>
      <c r="H249" s="182">
        <v>409000</v>
      </c>
    </row>
    <row r="250" spans="1:8">
      <c r="A250" s="139">
        <v>248</v>
      </c>
      <c r="B250" s="139" t="s">
        <v>114</v>
      </c>
      <c r="C250" s="139" t="s">
        <v>169</v>
      </c>
      <c r="D250" s="199">
        <v>10716000</v>
      </c>
      <c r="E250" s="199" t="e">
        <f>VLOOKUP(B250,#REF!,151,0)</f>
        <v>#REF!</v>
      </c>
      <c r="F250" s="199" t="e">
        <f t="shared" si="3"/>
        <v>#REF!</v>
      </c>
      <c r="G250" s="139" t="s">
        <v>528</v>
      </c>
      <c r="H250" s="182">
        <v>409000</v>
      </c>
    </row>
    <row r="251" spans="1:8">
      <c r="A251" s="139">
        <v>249</v>
      </c>
      <c r="B251" s="139" t="s">
        <v>657</v>
      </c>
      <c r="C251" s="139" t="s">
        <v>169</v>
      </c>
      <c r="D251" s="199">
        <v>11491000</v>
      </c>
      <c r="E251" s="199" t="e">
        <f>VLOOKUP(B251,#REF!,151,0)</f>
        <v>#REF!</v>
      </c>
      <c r="F251" s="199" t="e">
        <f t="shared" si="3"/>
        <v>#REF!</v>
      </c>
      <c r="G251" s="139" t="s">
        <v>528</v>
      </c>
    </row>
    <row r="252" spans="1:8">
      <c r="A252" s="139">
        <v>250</v>
      </c>
      <c r="B252" s="139" t="s">
        <v>118</v>
      </c>
      <c r="C252" s="139" t="s">
        <v>169</v>
      </c>
      <c r="D252" s="199">
        <v>8937000</v>
      </c>
      <c r="E252" s="199" t="e">
        <f>VLOOKUP(B252,#REF!,151,0)</f>
        <v>#REF!</v>
      </c>
      <c r="F252" s="199" t="e">
        <f t="shared" si="3"/>
        <v>#REF!</v>
      </c>
      <c r="G252" s="139" t="s">
        <v>528</v>
      </c>
      <c r="H252" s="182">
        <v>409000</v>
      </c>
    </row>
    <row r="253" spans="1:8">
      <c r="A253" s="139">
        <v>251</v>
      </c>
      <c r="B253" s="139" t="s">
        <v>324</v>
      </c>
      <c r="C253" s="139" t="s">
        <v>169</v>
      </c>
      <c r="D253" s="199">
        <v>12554000</v>
      </c>
      <c r="E253" s="199" t="e">
        <f>VLOOKUP(B253,#REF!,151,0)</f>
        <v>#REF!</v>
      </c>
      <c r="F253" s="199" t="e">
        <f t="shared" si="3"/>
        <v>#REF!</v>
      </c>
      <c r="G253" s="139" t="s">
        <v>528</v>
      </c>
      <c r="H253" s="182">
        <v>409000</v>
      </c>
    </row>
    <row r="254" spans="1:8">
      <c r="A254" s="139">
        <v>252</v>
      </c>
      <c r="B254" s="139" t="s">
        <v>113</v>
      </c>
      <c r="C254" s="139" t="s">
        <v>169</v>
      </c>
      <c r="D254" s="199">
        <v>12554000</v>
      </c>
      <c r="E254" s="199" t="e">
        <f>VLOOKUP(B254,#REF!,151,0)</f>
        <v>#REF!</v>
      </c>
      <c r="F254" s="199" t="e">
        <f t="shared" si="3"/>
        <v>#REF!</v>
      </c>
      <c r="G254" s="139" t="s">
        <v>528</v>
      </c>
      <c r="H254" s="182">
        <v>409000</v>
      </c>
    </row>
    <row r="255" spans="1:8">
      <c r="A255" s="139">
        <v>253</v>
      </c>
      <c r="B255" s="139" t="s">
        <v>658</v>
      </c>
      <c r="C255" s="139" t="s">
        <v>169</v>
      </c>
      <c r="D255" s="199">
        <v>9239000</v>
      </c>
      <c r="E255" s="199" t="e">
        <f>VLOOKUP(B255,#REF!,151,0)</f>
        <v>#REF!</v>
      </c>
      <c r="F255" s="199" t="e">
        <f t="shared" si="3"/>
        <v>#REF!</v>
      </c>
      <c r="G255" s="139" t="s">
        <v>528</v>
      </c>
      <c r="H255" s="182">
        <v>409000</v>
      </c>
    </row>
    <row r="256" spans="1:8">
      <c r="A256" s="139">
        <v>254</v>
      </c>
      <c r="B256" s="139" t="s">
        <v>408</v>
      </c>
      <c r="C256" s="139" t="s">
        <v>169</v>
      </c>
      <c r="D256" s="199">
        <v>9569000</v>
      </c>
      <c r="E256" s="199" t="e">
        <f>VLOOKUP(B256,#REF!,151,0)</f>
        <v>#REF!</v>
      </c>
      <c r="F256" s="199" t="e">
        <f t="shared" si="3"/>
        <v>#REF!</v>
      </c>
      <c r="G256" s="139" t="s">
        <v>528</v>
      </c>
      <c r="H256" s="182">
        <v>409000</v>
      </c>
    </row>
    <row r="257" spans="1:8">
      <c r="A257" s="139">
        <v>255</v>
      </c>
      <c r="B257" s="139" t="s">
        <v>107</v>
      </c>
      <c r="C257" s="139" t="s">
        <v>169</v>
      </c>
      <c r="D257" s="199">
        <v>0</v>
      </c>
      <c r="E257" s="199" t="e">
        <f>VLOOKUP(B257,#REF!,151,0)</f>
        <v>#REF!</v>
      </c>
      <c r="F257" s="199" t="e">
        <f t="shared" si="3"/>
        <v>#REF!</v>
      </c>
      <c r="G257" s="139" t="s">
        <v>528</v>
      </c>
    </row>
    <row r="258" spans="1:8">
      <c r="A258" s="139">
        <v>256</v>
      </c>
      <c r="B258" s="139" t="s">
        <v>659</v>
      </c>
      <c r="C258" s="139" t="s">
        <v>169</v>
      </c>
      <c r="D258" s="199">
        <v>10136000</v>
      </c>
      <c r="E258" s="199" t="e">
        <f>VLOOKUP(B258,#REF!,151,0)</f>
        <v>#REF!</v>
      </c>
      <c r="F258" s="199" t="e">
        <f t="shared" si="3"/>
        <v>#REF!</v>
      </c>
      <c r="G258" s="139" t="s">
        <v>528</v>
      </c>
    </row>
    <row r="259" spans="1:8">
      <c r="A259" s="139">
        <v>257</v>
      </c>
      <c r="B259" s="139" t="s">
        <v>660</v>
      </c>
      <c r="C259" s="139" t="s">
        <v>169</v>
      </c>
      <c r="D259" s="199">
        <v>9661000</v>
      </c>
      <c r="E259" s="199" t="e">
        <f>VLOOKUP(B259,#REF!,151,0)</f>
        <v>#REF!</v>
      </c>
      <c r="F259" s="199" t="e">
        <f t="shared" si="3"/>
        <v>#REF!</v>
      </c>
      <c r="G259" s="139" t="s">
        <v>528</v>
      </c>
      <c r="H259" s="182">
        <v>409000</v>
      </c>
    </row>
    <row r="260" spans="1:8">
      <c r="A260" s="139">
        <v>258</v>
      </c>
      <c r="B260" s="139" t="s">
        <v>120</v>
      </c>
      <c r="C260" s="139" t="s">
        <v>169</v>
      </c>
      <c r="D260" s="199">
        <v>9661000</v>
      </c>
      <c r="E260" s="199" t="e">
        <f>VLOOKUP(B260,#REF!,151,0)</f>
        <v>#REF!</v>
      </c>
      <c r="F260" s="199" t="e">
        <f t="shared" ref="F260:F323" si="4">+D260-E260</f>
        <v>#REF!</v>
      </c>
      <c r="G260" s="139" t="s">
        <v>528</v>
      </c>
      <c r="H260" s="182">
        <v>409000</v>
      </c>
    </row>
    <row r="261" spans="1:8">
      <c r="A261" s="139">
        <v>259</v>
      </c>
      <c r="B261" s="139" t="s">
        <v>661</v>
      </c>
      <c r="C261" s="139" t="s">
        <v>169</v>
      </c>
      <c r="D261" s="199">
        <v>11923000</v>
      </c>
      <c r="E261" s="199" t="e">
        <f>VLOOKUP(B261,#REF!,151,0)</f>
        <v>#REF!</v>
      </c>
      <c r="F261" s="199" t="e">
        <f t="shared" si="4"/>
        <v>#REF!</v>
      </c>
      <c r="G261" s="139" t="s">
        <v>528</v>
      </c>
    </row>
    <row r="262" spans="1:8">
      <c r="A262" s="139">
        <v>260</v>
      </c>
      <c r="B262" s="139" t="s">
        <v>123</v>
      </c>
      <c r="C262" s="139" t="s">
        <v>169</v>
      </c>
      <c r="D262" s="199">
        <v>11628000</v>
      </c>
      <c r="E262" s="199" t="e">
        <f>VLOOKUP(B262,#REF!,151,0)</f>
        <v>#REF!</v>
      </c>
      <c r="F262" s="199" t="e">
        <f t="shared" si="4"/>
        <v>#REF!</v>
      </c>
      <c r="G262" s="139" t="s">
        <v>528</v>
      </c>
      <c r="H262" s="182">
        <v>409000</v>
      </c>
    </row>
    <row r="263" spans="1:8">
      <c r="A263" s="139">
        <v>261</v>
      </c>
      <c r="B263" s="139" t="s">
        <v>662</v>
      </c>
      <c r="C263" s="139" t="s">
        <v>169</v>
      </c>
      <c r="D263" s="199">
        <v>12538000</v>
      </c>
      <c r="E263" s="199" t="e">
        <f>VLOOKUP(B263,#REF!,151,0)</f>
        <v>#REF!</v>
      </c>
      <c r="F263" s="199" t="e">
        <f t="shared" si="4"/>
        <v>#REF!</v>
      </c>
      <c r="G263" s="139" t="s">
        <v>528</v>
      </c>
      <c r="H263" s="182">
        <v>409000</v>
      </c>
    </row>
    <row r="264" spans="1:8" s="200" customFormat="1">
      <c r="A264" s="200">
        <v>262</v>
      </c>
      <c r="B264" s="200" t="s">
        <v>288</v>
      </c>
      <c r="C264" s="200" t="s">
        <v>169</v>
      </c>
      <c r="D264" s="201">
        <v>12538000</v>
      </c>
      <c r="E264" s="201" t="e">
        <f>VLOOKUP(B264,#REF!,151,0)</f>
        <v>#REF!</v>
      </c>
      <c r="F264" s="201" t="e">
        <f t="shared" si="4"/>
        <v>#REF!</v>
      </c>
      <c r="G264" s="200" t="s">
        <v>528</v>
      </c>
      <c r="H264" s="202">
        <v>409000</v>
      </c>
    </row>
    <row r="265" spans="1:8">
      <c r="A265" s="139">
        <v>263</v>
      </c>
      <c r="B265" s="139" t="s">
        <v>663</v>
      </c>
      <c r="C265" s="139" t="s">
        <v>169</v>
      </c>
      <c r="D265" s="199">
        <v>11170000</v>
      </c>
      <c r="E265" s="199" t="e">
        <f>VLOOKUP(B265,#REF!,151,0)</f>
        <v>#REF!</v>
      </c>
      <c r="F265" s="199" t="e">
        <f t="shared" si="4"/>
        <v>#REF!</v>
      </c>
      <c r="G265" s="139" t="s">
        <v>528</v>
      </c>
      <c r="H265" s="182">
        <v>409000</v>
      </c>
    </row>
    <row r="266" spans="1:8">
      <c r="A266" s="139">
        <v>264</v>
      </c>
      <c r="B266" s="139" t="s">
        <v>664</v>
      </c>
      <c r="C266" s="139" t="s">
        <v>169</v>
      </c>
      <c r="D266" s="199">
        <v>10061000</v>
      </c>
      <c r="E266" s="199" t="e">
        <f>VLOOKUP(B266,#REF!,151,0)</f>
        <v>#REF!</v>
      </c>
      <c r="F266" s="199" t="e">
        <f t="shared" si="4"/>
        <v>#REF!</v>
      </c>
      <c r="G266" s="139" t="s">
        <v>528</v>
      </c>
      <c r="H266" s="182">
        <v>409000</v>
      </c>
    </row>
    <row r="267" spans="1:8" s="200" customFormat="1">
      <c r="A267" s="200">
        <v>265</v>
      </c>
      <c r="B267" s="200" t="s">
        <v>198</v>
      </c>
      <c r="C267" s="200" t="s">
        <v>169</v>
      </c>
      <c r="D267" s="201">
        <v>9541000</v>
      </c>
      <c r="E267" s="201" t="e">
        <f>VLOOKUP(B267,#REF!,151,0)</f>
        <v>#REF!</v>
      </c>
      <c r="F267" s="201" t="e">
        <f t="shared" si="4"/>
        <v>#REF!</v>
      </c>
      <c r="G267" s="200" t="s">
        <v>528</v>
      </c>
      <c r="H267" s="202"/>
    </row>
    <row r="268" spans="1:8">
      <c r="A268" s="139">
        <v>266</v>
      </c>
      <c r="B268" s="139" t="s">
        <v>139</v>
      </c>
      <c r="C268" s="139" t="s">
        <v>169</v>
      </c>
      <c r="D268" s="199">
        <v>7509000</v>
      </c>
      <c r="E268" s="199" t="e">
        <f>VLOOKUP(B268,#REF!,151,0)</f>
        <v>#REF!</v>
      </c>
      <c r="F268" s="199" t="e">
        <f t="shared" si="4"/>
        <v>#REF!</v>
      </c>
      <c r="G268" s="139" t="s">
        <v>528</v>
      </c>
      <c r="H268" s="182">
        <v>409000</v>
      </c>
    </row>
    <row r="269" spans="1:8">
      <c r="A269" s="139">
        <v>267</v>
      </c>
      <c r="B269" s="139" t="s">
        <v>665</v>
      </c>
      <c r="C269" s="139" t="s">
        <v>169</v>
      </c>
      <c r="D269" s="199">
        <v>8754000</v>
      </c>
      <c r="E269" s="199" t="e">
        <f>VLOOKUP(B269,#REF!,151,0)</f>
        <v>#REF!</v>
      </c>
      <c r="F269" s="199" t="e">
        <f t="shared" si="4"/>
        <v>#REF!</v>
      </c>
      <c r="G269" s="139" t="s">
        <v>528</v>
      </c>
    </row>
    <row r="270" spans="1:8">
      <c r="A270" s="139">
        <v>268</v>
      </c>
      <c r="B270" s="139" t="s">
        <v>202</v>
      </c>
      <c r="C270" s="139" t="s">
        <v>169</v>
      </c>
      <c r="D270" s="199">
        <v>8929000</v>
      </c>
      <c r="E270" s="199" t="e">
        <f>VLOOKUP(B270,#REF!,151,0)</f>
        <v>#REF!</v>
      </c>
      <c r="F270" s="199" t="e">
        <f t="shared" si="4"/>
        <v>#REF!</v>
      </c>
      <c r="G270" s="139" t="s">
        <v>528</v>
      </c>
      <c r="H270" s="182">
        <v>409000</v>
      </c>
    </row>
    <row r="271" spans="1:8">
      <c r="A271" s="139">
        <v>269</v>
      </c>
      <c r="B271" s="139" t="s">
        <v>201</v>
      </c>
      <c r="C271" s="139" t="s">
        <v>169</v>
      </c>
      <c r="D271" s="199">
        <v>11405000</v>
      </c>
      <c r="E271" s="199" t="e">
        <f>VLOOKUP(B271,#REF!,151,0)</f>
        <v>#REF!</v>
      </c>
      <c r="F271" s="199" t="e">
        <f t="shared" si="4"/>
        <v>#REF!</v>
      </c>
      <c r="G271" s="139" t="s">
        <v>528</v>
      </c>
      <c r="H271" s="182">
        <v>409000</v>
      </c>
    </row>
    <row r="272" spans="1:8">
      <c r="A272" s="139">
        <v>270</v>
      </c>
      <c r="B272" s="139" t="s">
        <v>203</v>
      </c>
      <c r="C272" s="139" t="s">
        <v>169</v>
      </c>
      <c r="D272" s="199">
        <v>7845000</v>
      </c>
      <c r="E272" s="199" t="e">
        <f>VLOOKUP(B272,#REF!,151,0)</f>
        <v>#REF!</v>
      </c>
      <c r="F272" s="199" t="e">
        <f t="shared" si="4"/>
        <v>#REF!</v>
      </c>
      <c r="G272" s="139" t="s">
        <v>528</v>
      </c>
      <c r="H272" s="182">
        <v>409000</v>
      </c>
    </row>
    <row r="273" spans="1:8">
      <c r="A273" s="139">
        <v>271</v>
      </c>
      <c r="B273" s="139" t="s">
        <v>666</v>
      </c>
      <c r="C273" s="139" t="s">
        <v>169</v>
      </c>
      <c r="D273" s="199">
        <v>9596000</v>
      </c>
      <c r="E273" s="199" t="e">
        <f>VLOOKUP(B273,#REF!,151,0)</f>
        <v>#REF!</v>
      </c>
      <c r="F273" s="199" t="e">
        <f t="shared" si="4"/>
        <v>#REF!</v>
      </c>
      <c r="G273" s="139" t="s">
        <v>528</v>
      </c>
      <c r="H273" s="182">
        <v>409000</v>
      </c>
    </row>
    <row r="274" spans="1:8">
      <c r="A274" s="139">
        <v>272</v>
      </c>
      <c r="B274" s="139" t="s">
        <v>667</v>
      </c>
      <c r="C274" s="139" t="s">
        <v>169</v>
      </c>
      <c r="D274" s="199">
        <v>10170000</v>
      </c>
      <c r="E274" s="199" t="e">
        <f>VLOOKUP(B274,#REF!,151,0)</f>
        <v>#REF!</v>
      </c>
      <c r="F274" s="199" t="e">
        <f t="shared" si="4"/>
        <v>#REF!</v>
      </c>
      <c r="G274" s="139" t="s">
        <v>528</v>
      </c>
      <c r="H274" s="182">
        <v>409000</v>
      </c>
    </row>
    <row r="275" spans="1:8">
      <c r="A275" s="139">
        <v>273</v>
      </c>
      <c r="B275" s="139" t="s">
        <v>668</v>
      </c>
      <c r="C275" s="139" t="s">
        <v>169</v>
      </c>
      <c r="D275" s="199">
        <v>-40000</v>
      </c>
      <c r="E275" s="199" t="e">
        <f>VLOOKUP(B275,#REF!,151,0)</f>
        <v>#REF!</v>
      </c>
      <c r="F275" s="199" t="e">
        <f t="shared" si="4"/>
        <v>#REF!</v>
      </c>
      <c r="G275" s="139" t="s">
        <v>528</v>
      </c>
    </row>
    <row r="276" spans="1:8">
      <c r="A276" s="139">
        <v>274</v>
      </c>
      <c r="B276" s="139" t="s">
        <v>117</v>
      </c>
      <c r="C276" s="139" t="s">
        <v>169</v>
      </c>
      <c r="D276" s="199">
        <v>11831000</v>
      </c>
      <c r="E276" s="199" t="e">
        <f>VLOOKUP(B276,#REF!,151,0)</f>
        <v>#REF!</v>
      </c>
      <c r="F276" s="199" t="e">
        <f t="shared" si="4"/>
        <v>#REF!</v>
      </c>
      <c r="G276" s="139" t="s">
        <v>528</v>
      </c>
      <c r="H276" s="182">
        <v>429000</v>
      </c>
    </row>
    <row r="277" spans="1:8">
      <c r="A277" s="139">
        <v>275</v>
      </c>
      <c r="B277" s="139" t="s">
        <v>447</v>
      </c>
      <c r="C277" s="139" t="s">
        <v>169</v>
      </c>
      <c r="D277" s="199">
        <v>7770000</v>
      </c>
      <c r="E277" s="199" t="e">
        <f>VLOOKUP(B277,#REF!,151,0)</f>
        <v>#REF!</v>
      </c>
      <c r="F277" s="199" t="e">
        <f t="shared" si="4"/>
        <v>#REF!</v>
      </c>
      <c r="G277" s="139" t="s">
        <v>528</v>
      </c>
      <c r="H277" s="182">
        <v>409000</v>
      </c>
    </row>
    <row r="278" spans="1:8">
      <c r="A278" s="139">
        <v>276</v>
      </c>
      <c r="B278" s="139" t="s">
        <v>669</v>
      </c>
      <c r="C278" s="139" t="s">
        <v>169</v>
      </c>
      <c r="D278" s="199">
        <v>8685000</v>
      </c>
      <c r="E278" s="199" t="e">
        <f>VLOOKUP(B278,#REF!,151,0)</f>
        <v>#REF!</v>
      </c>
      <c r="F278" s="199" t="e">
        <f t="shared" si="4"/>
        <v>#REF!</v>
      </c>
      <c r="G278" s="139" t="s">
        <v>528</v>
      </c>
    </row>
    <row r="279" spans="1:8">
      <c r="A279" s="139">
        <v>277</v>
      </c>
      <c r="B279" s="139" t="s">
        <v>466</v>
      </c>
      <c r="C279" s="139" t="s">
        <v>169</v>
      </c>
      <c r="D279" s="199">
        <v>807000</v>
      </c>
      <c r="E279" s="199" t="e">
        <f>VLOOKUP(B279,#REF!,151,0)</f>
        <v>#REF!</v>
      </c>
      <c r="F279" s="199" t="e">
        <f t="shared" si="4"/>
        <v>#REF!</v>
      </c>
      <c r="G279" s="139" t="s">
        <v>528</v>
      </c>
    </row>
    <row r="280" spans="1:8">
      <c r="A280" s="139">
        <v>278</v>
      </c>
      <c r="B280" s="139" t="s">
        <v>339</v>
      </c>
      <c r="C280" s="139" t="s">
        <v>169</v>
      </c>
      <c r="D280" s="199">
        <v>7016000</v>
      </c>
      <c r="E280" s="199" t="e">
        <f>VLOOKUP(B280,#REF!,151,0)</f>
        <v>#REF!</v>
      </c>
      <c r="F280" s="199" t="e">
        <f t="shared" si="4"/>
        <v>#REF!</v>
      </c>
      <c r="G280" s="139" t="s">
        <v>528</v>
      </c>
      <c r="H280" s="182">
        <v>409000</v>
      </c>
    </row>
    <row r="281" spans="1:8">
      <c r="A281" s="139">
        <v>279</v>
      </c>
      <c r="B281" s="139" t="s">
        <v>403</v>
      </c>
      <c r="C281" s="139" t="s">
        <v>169</v>
      </c>
      <c r="D281" s="199">
        <v>7277000</v>
      </c>
      <c r="E281" s="199" t="e">
        <f>VLOOKUP(B281,#REF!,151,0)</f>
        <v>#REF!</v>
      </c>
      <c r="F281" s="199" t="e">
        <f t="shared" si="4"/>
        <v>#REF!</v>
      </c>
      <c r="G281" s="139" t="s">
        <v>528</v>
      </c>
      <c r="H281" s="182">
        <v>409000</v>
      </c>
    </row>
    <row r="282" spans="1:8">
      <c r="A282" s="139">
        <v>280</v>
      </c>
      <c r="B282" s="139" t="s">
        <v>402</v>
      </c>
      <c r="C282" s="139" t="s">
        <v>169</v>
      </c>
      <c r="D282" s="199">
        <v>6079000</v>
      </c>
      <c r="E282" s="199" t="e">
        <f>VLOOKUP(B282,#REF!,151,0)</f>
        <v>#REF!</v>
      </c>
      <c r="F282" s="199" t="e">
        <f t="shared" si="4"/>
        <v>#REF!</v>
      </c>
      <c r="G282" s="139" t="s">
        <v>528</v>
      </c>
      <c r="H282" s="182">
        <v>409000</v>
      </c>
    </row>
    <row r="283" spans="1:8">
      <c r="A283" s="139">
        <v>281</v>
      </c>
      <c r="B283" s="139" t="s">
        <v>431</v>
      </c>
      <c r="C283" s="139" t="s">
        <v>169</v>
      </c>
      <c r="D283" s="199">
        <v>8192000</v>
      </c>
      <c r="E283" s="199" t="e">
        <f>VLOOKUP(B283,#REF!,151,0)</f>
        <v>#REF!</v>
      </c>
      <c r="F283" s="199" t="e">
        <f t="shared" si="4"/>
        <v>#REF!</v>
      </c>
      <c r="G283" s="139" t="s">
        <v>528</v>
      </c>
      <c r="H283" s="182">
        <v>409000</v>
      </c>
    </row>
    <row r="284" spans="1:8">
      <c r="A284" s="139">
        <v>282</v>
      </c>
      <c r="B284" s="139" t="s">
        <v>670</v>
      </c>
      <c r="C284" s="139" t="s">
        <v>169</v>
      </c>
      <c r="D284" s="199">
        <v>8164000</v>
      </c>
      <c r="E284" s="199" t="e">
        <f>VLOOKUP(B284,#REF!,151,0)</f>
        <v>#REF!</v>
      </c>
      <c r="F284" s="199" t="e">
        <f t="shared" si="4"/>
        <v>#REF!</v>
      </c>
      <c r="G284" s="139" t="s">
        <v>528</v>
      </c>
    </row>
    <row r="285" spans="1:8">
      <c r="A285" s="139">
        <v>283</v>
      </c>
      <c r="B285" s="139" t="s">
        <v>430</v>
      </c>
      <c r="C285" s="139" t="s">
        <v>169</v>
      </c>
      <c r="D285" s="199">
        <v>8647000</v>
      </c>
      <c r="E285" s="199" t="e">
        <f>VLOOKUP(B285,#REF!,151,0)</f>
        <v>#REF!</v>
      </c>
      <c r="F285" s="199" t="e">
        <f t="shared" si="4"/>
        <v>#REF!</v>
      </c>
      <c r="G285" s="139" t="s">
        <v>528</v>
      </c>
      <c r="H285" s="182">
        <v>409000</v>
      </c>
    </row>
    <row r="286" spans="1:8">
      <c r="A286" s="139">
        <v>284</v>
      </c>
      <c r="B286" s="139" t="s">
        <v>671</v>
      </c>
      <c r="C286" s="139" t="s">
        <v>169</v>
      </c>
      <c r="D286" s="199">
        <v>10051000</v>
      </c>
      <c r="E286" s="199" t="e">
        <f>VLOOKUP(B286,#REF!,151,0)</f>
        <v>#REF!</v>
      </c>
      <c r="F286" s="199" t="e">
        <f t="shared" si="4"/>
        <v>#REF!</v>
      </c>
      <c r="G286" s="139" t="s">
        <v>528</v>
      </c>
      <c r="H286" s="182">
        <v>409000</v>
      </c>
    </row>
    <row r="287" spans="1:8">
      <c r="A287" s="139">
        <v>285</v>
      </c>
      <c r="B287" s="139" t="s">
        <v>338</v>
      </c>
      <c r="C287" s="139" t="s">
        <v>169</v>
      </c>
      <c r="D287" s="199">
        <v>10660000</v>
      </c>
      <c r="E287" s="199" t="e">
        <f>VLOOKUP(B287,#REF!,151,0)</f>
        <v>#REF!</v>
      </c>
      <c r="F287" s="199" t="e">
        <f t="shared" si="4"/>
        <v>#REF!</v>
      </c>
      <c r="G287" s="139" t="s">
        <v>528</v>
      </c>
      <c r="H287" s="182">
        <v>409000</v>
      </c>
    </row>
    <row r="288" spans="1:8">
      <c r="A288" s="139">
        <v>286</v>
      </c>
      <c r="B288" s="139" t="s">
        <v>404</v>
      </c>
      <c r="C288" s="139" t="s">
        <v>169</v>
      </c>
      <c r="D288" s="199">
        <v>10444000</v>
      </c>
      <c r="E288" s="199" t="e">
        <f>VLOOKUP(B288,#REF!,151,0)</f>
        <v>#REF!</v>
      </c>
      <c r="F288" s="199" t="e">
        <f t="shared" si="4"/>
        <v>#REF!</v>
      </c>
      <c r="G288" s="139" t="s">
        <v>528</v>
      </c>
      <c r="H288" s="182">
        <v>409000</v>
      </c>
    </row>
    <row r="289" spans="1:8">
      <c r="A289" s="139">
        <v>287</v>
      </c>
      <c r="B289" s="139" t="s">
        <v>407</v>
      </c>
      <c r="C289" s="139" t="s">
        <v>169</v>
      </c>
      <c r="D289" s="199">
        <v>10015000</v>
      </c>
      <c r="E289" s="199" t="e">
        <f>VLOOKUP(B289,#REF!,151,0)</f>
        <v>#REF!</v>
      </c>
      <c r="F289" s="199" t="e">
        <f t="shared" si="4"/>
        <v>#REF!</v>
      </c>
      <c r="G289" s="139" t="s">
        <v>528</v>
      </c>
      <c r="H289" s="182">
        <v>409000</v>
      </c>
    </row>
    <row r="290" spans="1:8">
      <c r="A290" s="139">
        <v>288</v>
      </c>
      <c r="B290" s="139" t="s">
        <v>672</v>
      </c>
      <c r="C290" s="139" t="s">
        <v>169</v>
      </c>
      <c r="D290" s="199">
        <v>6261000</v>
      </c>
      <c r="E290" s="199" t="e">
        <f>VLOOKUP(B290,#REF!,151,0)</f>
        <v>#REF!</v>
      </c>
      <c r="F290" s="199" t="e">
        <f t="shared" si="4"/>
        <v>#REF!</v>
      </c>
      <c r="G290" s="139" t="s">
        <v>528</v>
      </c>
      <c r="H290" s="182">
        <v>409000</v>
      </c>
    </row>
    <row r="291" spans="1:8">
      <c r="A291" s="139">
        <v>289</v>
      </c>
      <c r="B291" s="139" t="s">
        <v>673</v>
      </c>
      <c r="C291" s="139" t="s">
        <v>169</v>
      </c>
      <c r="D291" s="199">
        <v>6780000</v>
      </c>
      <c r="E291" s="199" t="e">
        <f>VLOOKUP(B291,#REF!,151,0)</f>
        <v>#REF!</v>
      </c>
      <c r="F291" s="199" t="e">
        <f t="shared" si="4"/>
        <v>#REF!</v>
      </c>
      <c r="G291" s="139" t="s">
        <v>528</v>
      </c>
      <c r="H291" s="182">
        <v>409000</v>
      </c>
    </row>
    <row r="292" spans="1:8">
      <c r="A292" s="139">
        <v>290</v>
      </c>
      <c r="B292" s="139" t="s">
        <v>429</v>
      </c>
      <c r="C292" s="139" t="s">
        <v>169</v>
      </c>
      <c r="D292" s="199">
        <v>9424000</v>
      </c>
      <c r="E292" s="199" t="e">
        <f>VLOOKUP(B292,#REF!,151,0)</f>
        <v>#REF!</v>
      </c>
      <c r="F292" s="199" t="e">
        <f t="shared" si="4"/>
        <v>#REF!</v>
      </c>
      <c r="G292" s="139" t="s">
        <v>528</v>
      </c>
      <c r="H292" s="182">
        <v>409000</v>
      </c>
    </row>
    <row r="293" spans="1:8">
      <c r="A293" s="139">
        <v>291</v>
      </c>
      <c r="B293" s="139" t="s">
        <v>674</v>
      </c>
      <c r="C293" s="139" t="s">
        <v>169</v>
      </c>
      <c r="D293" s="199">
        <v>9900000</v>
      </c>
      <c r="E293" s="199" t="e">
        <f>VLOOKUP(B293,#REF!,151,0)</f>
        <v>#REF!</v>
      </c>
      <c r="F293" s="199" t="e">
        <f t="shared" si="4"/>
        <v>#REF!</v>
      </c>
      <c r="G293" s="139" t="s">
        <v>528</v>
      </c>
    </row>
    <row r="294" spans="1:8">
      <c r="A294" s="139">
        <v>292</v>
      </c>
      <c r="B294" s="139" t="s">
        <v>675</v>
      </c>
      <c r="C294" s="139" t="s">
        <v>169</v>
      </c>
      <c r="D294" s="199">
        <v>8410000</v>
      </c>
      <c r="E294" s="199" t="e">
        <f>VLOOKUP(B294,#REF!,151,0)</f>
        <v>#REF!</v>
      </c>
      <c r="F294" s="199" t="e">
        <f t="shared" si="4"/>
        <v>#REF!</v>
      </c>
      <c r="G294" s="139" t="s">
        <v>528</v>
      </c>
    </row>
    <row r="295" spans="1:8">
      <c r="A295" s="139">
        <v>293</v>
      </c>
      <c r="B295" s="139" t="s">
        <v>448</v>
      </c>
      <c r="C295" s="139" t="s">
        <v>169</v>
      </c>
      <c r="D295" s="199">
        <v>8846000</v>
      </c>
      <c r="E295" s="199" t="e">
        <f>VLOOKUP(B295,#REF!,151,0)</f>
        <v>#REF!</v>
      </c>
      <c r="F295" s="199" t="e">
        <f t="shared" si="4"/>
        <v>#REF!</v>
      </c>
      <c r="G295" s="139" t="s">
        <v>528</v>
      </c>
      <c r="H295" s="182">
        <v>409000</v>
      </c>
    </row>
    <row r="296" spans="1:8">
      <c r="A296" s="139">
        <v>294</v>
      </c>
      <c r="B296" s="139" t="s">
        <v>464</v>
      </c>
      <c r="C296" s="139" t="s">
        <v>169</v>
      </c>
      <c r="D296" s="199">
        <v>8192000</v>
      </c>
      <c r="E296" s="199" t="e">
        <f>VLOOKUP(B296,#REF!,151,0)</f>
        <v>#REF!</v>
      </c>
      <c r="F296" s="199" t="e">
        <f t="shared" si="4"/>
        <v>#REF!</v>
      </c>
      <c r="G296" s="139" t="s">
        <v>528</v>
      </c>
      <c r="H296" s="182">
        <v>409000</v>
      </c>
    </row>
    <row r="297" spans="1:8">
      <c r="A297" s="139">
        <v>295</v>
      </c>
      <c r="B297" s="139" t="s">
        <v>116</v>
      </c>
      <c r="C297" s="139" t="s">
        <v>169</v>
      </c>
      <c r="D297" s="199">
        <v>8950000</v>
      </c>
      <c r="E297" s="199" t="e">
        <f>VLOOKUP(B297,#REF!,151,0)</f>
        <v>#REF!</v>
      </c>
      <c r="F297" s="199" t="e">
        <f t="shared" si="4"/>
        <v>#REF!</v>
      </c>
      <c r="G297" s="139" t="s">
        <v>528</v>
      </c>
      <c r="H297" s="182">
        <v>429000</v>
      </c>
    </row>
    <row r="298" spans="1:8">
      <c r="A298" s="139">
        <v>296</v>
      </c>
      <c r="B298" s="139" t="s">
        <v>445</v>
      </c>
      <c r="C298" s="139" t="s">
        <v>169</v>
      </c>
      <c r="D298" s="199">
        <v>8929000</v>
      </c>
      <c r="E298" s="199" t="e">
        <f>VLOOKUP(B298,#REF!,151,0)</f>
        <v>#REF!</v>
      </c>
      <c r="F298" s="199" t="e">
        <f t="shared" si="4"/>
        <v>#REF!</v>
      </c>
      <c r="G298" s="139" t="s">
        <v>528</v>
      </c>
      <c r="H298" s="182">
        <v>409000</v>
      </c>
    </row>
    <row r="299" spans="1:8">
      <c r="A299" s="139">
        <v>297</v>
      </c>
      <c r="B299" s="139" t="s">
        <v>410</v>
      </c>
      <c r="C299" s="139" t="s">
        <v>169</v>
      </c>
      <c r="D299" s="199">
        <v>6606000</v>
      </c>
      <c r="E299" s="199" t="e">
        <f>VLOOKUP(B299,#REF!,151,0)</f>
        <v>#REF!</v>
      </c>
      <c r="F299" s="199" t="e">
        <f t="shared" si="4"/>
        <v>#REF!</v>
      </c>
      <c r="G299" s="139" t="s">
        <v>528</v>
      </c>
      <c r="H299" s="182">
        <v>409000</v>
      </c>
    </row>
    <row r="300" spans="1:8">
      <c r="A300" s="139">
        <v>298</v>
      </c>
      <c r="B300" s="139" t="s">
        <v>676</v>
      </c>
      <c r="C300" s="139" t="s">
        <v>169</v>
      </c>
      <c r="D300" s="199">
        <v>7294000</v>
      </c>
      <c r="E300" s="199" t="e">
        <f>VLOOKUP(B300,#REF!,151,0)</f>
        <v>#REF!</v>
      </c>
      <c r="F300" s="199" t="e">
        <f t="shared" si="4"/>
        <v>#REF!</v>
      </c>
      <c r="G300" s="139" t="s">
        <v>528</v>
      </c>
    </row>
    <row r="301" spans="1:8">
      <c r="A301" s="139">
        <v>299</v>
      </c>
      <c r="B301" s="139" t="s">
        <v>406</v>
      </c>
      <c r="C301" s="139" t="s">
        <v>169</v>
      </c>
      <c r="D301" s="199">
        <v>9802000</v>
      </c>
      <c r="E301" s="199" t="e">
        <f>VLOOKUP(B301,#REF!,151,0)</f>
        <v>#REF!</v>
      </c>
      <c r="F301" s="199" t="e">
        <f t="shared" si="4"/>
        <v>#REF!</v>
      </c>
      <c r="G301" s="139" t="s">
        <v>528</v>
      </c>
      <c r="H301" s="182">
        <v>409000</v>
      </c>
    </row>
    <row r="302" spans="1:8">
      <c r="A302" s="139">
        <v>300</v>
      </c>
      <c r="B302" s="139" t="s">
        <v>405</v>
      </c>
      <c r="C302" s="139" t="s">
        <v>169</v>
      </c>
      <c r="D302" s="199">
        <v>9802000</v>
      </c>
      <c r="E302" s="199" t="e">
        <f>VLOOKUP(B302,#REF!,151,0)</f>
        <v>#REF!</v>
      </c>
      <c r="F302" s="199" t="e">
        <f t="shared" si="4"/>
        <v>#REF!</v>
      </c>
      <c r="G302" s="139" t="s">
        <v>528</v>
      </c>
      <c r="H302" s="182">
        <v>409000</v>
      </c>
    </row>
    <row r="303" spans="1:8">
      <c r="A303" s="139">
        <v>301</v>
      </c>
      <c r="B303" s="139" t="s">
        <v>446</v>
      </c>
      <c r="C303" s="139" t="s">
        <v>169</v>
      </c>
      <c r="D303" s="199">
        <v>9568000</v>
      </c>
      <c r="E303" s="199" t="e">
        <f>VLOOKUP(B303,#REF!,151,0)</f>
        <v>#REF!</v>
      </c>
      <c r="F303" s="199" t="e">
        <f t="shared" si="4"/>
        <v>#REF!</v>
      </c>
      <c r="G303" s="139" t="s">
        <v>528</v>
      </c>
      <c r="H303" s="182">
        <v>409000</v>
      </c>
    </row>
    <row r="304" spans="1:8">
      <c r="A304" s="139">
        <v>302</v>
      </c>
      <c r="B304" s="139" t="s">
        <v>677</v>
      </c>
      <c r="C304" s="139" t="s">
        <v>169</v>
      </c>
      <c r="D304" s="199">
        <v>10011000</v>
      </c>
      <c r="E304" s="199" t="e">
        <f>VLOOKUP(B304,#REF!,151,0)</f>
        <v>#REF!</v>
      </c>
      <c r="F304" s="199" t="e">
        <f t="shared" si="4"/>
        <v>#REF!</v>
      </c>
      <c r="G304" s="139" t="s">
        <v>528</v>
      </c>
    </row>
    <row r="305" spans="1:8">
      <c r="A305" s="139">
        <v>303</v>
      </c>
      <c r="B305" s="139" t="s">
        <v>450</v>
      </c>
      <c r="C305" s="139" t="s">
        <v>169</v>
      </c>
      <c r="D305" s="199">
        <v>9727000</v>
      </c>
      <c r="E305" s="199" t="e">
        <f>VLOOKUP(B305,#REF!,151,0)</f>
        <v>#REF!</v>
      </c>
      <c r="F305" s="199" t="e">
        <f t="shared" si="4"/>
        <v>#REF!</v>
      </c>
      <c r="G305" s="139" t="s">
        <v>528</v>
      </c>
      <c r="H305" s="182">
        <v>409000</v>
      </c>
    </row>
    <row r="306" spans="1:8">
      <c r="A306" s="139">
        <v>304</v>
      </c>
      <c r="B306" s="139" t="s">
        <v>678</v>
      </c>
      <c r="C306" s="139" t="s">
        <v>169</v>
      </c>
      <c r="D306" s="199">
        <v>12260000</v>
      </c>
      <c r="E306" s="199" t="e">
        <f>VLOOKUP(B306,#REF!,151,0)</f>
        <v>#REF!</v>
      </c>
      <c r="F306" s="199" t="e">
        <f t="shared" si="4"/>
        <v>#REF!</v>
      </c>
      <c r="G306" s="139" t="s">
        <v>528</v>
      </c>
    </row>
    <row r="307" spans="1:8">
      <c r="A307" s="139">
        <v>305</v>
      </c>
      <c r="B307" s="139" t="s">
        <v>124</v>
      </c>
      <c r="C307" s="139" t="s">
        <v>351</v>
      </c>
      <c r="D307" s="199">
        <v>10129000</v>
      </c>
      <c r="E307" s="199" t="e">
        <f>VLOOKUP(B307,#REF!,151,0)</f>
        <v>#REF!</v>
      </c>
      <c r="F307" s="199" t="e">
        <f t="shared" si="4"/>
        <v>#REF!</v>
      </c>
      <c r="G307" s="139" t="s">
        <v>528</v>
      </c>
      <c r="H307" s="182">
        <v>409000</v>
      </c>
    </row>
    <row r="308" spans="1:8">
      <c r="A308" s="139">
        <v>306</v>
      </c>
      <c r="B308" s="139" t="s">
        <v>679</v>
      </c>
      <c r="C308" s="139" t="s">
        <v>351</v>
      </c>
      <c r="D308" s="199">
        <v>10129000</v>
      </c>
      <c r="E308" s="199" t="e">
        <f>VLOOKUP(B308,#REF!,151,0)</f>
        <v>#REF!</v>
      </c>
      <c r="F308" s="199" t="e">
        <f t="shared" si="4"/>
        <v>#REF!</v>
      </c>
      <c r="G308" s="139" t="s">
        <v>528</v>
      </c>
      <c r="H308" s="182">
        <v>409000</v>
      </c>
    </row>
    <row r="309" spans="1:8">
      <c r="A309" s="139">
        <v>307</v>
      </c>
      <c r="B309" s="139" t="s">
        <v>275</v>
      </c>
      <c r="C309" s="139" t="s">
        <v>351</v>
      </c>
      <c r="D309" s="199">
        <v>8520000</v>
      </c>
      <c r="E309" s="199" t="e">
        <f>VLOOKUP(B309,#REF!,151,0)</f>
        <v>#REF!</v>
      </c>
      <c r="F309" s="199" t="e">
        <f t="shared" si="4"/>
        <v>#REF!</v>
      </c>
      <c r="G309" s="139" t="s">
        <v>528</v>
      </c>
      <c r="H309" s="182">
        <v>409000</v>
      </c>
    </row>
    <row r="310" spans="1:8">
      <c r="A310" s="139">
        <v>308</v>
      </c>
      <c r="B310" s="139" t="s">
        <v>274</v>
      </c>
      <c r="C310" s="139" t="s">
        <v>351</v>
      </c>
      <c r="D310" s="199">
        <v>8168000</v>
      </c>
      <c r="E310" s="199" t="e">
        <f>VLOOKUP(B310,#REF!,151,0)</f>
        <v>#REF!</v>
      </c>
      <c r="F310" s="199" t="e">
        <f t="shared" si="4"/>
        <v>#REF!</v>
      </c>
      <c r="G310" s="139" t="s">
        <v>528</v>
      </c>
      <c r="H310" s="182">
        <v>409000</v>
      </c>
    </row>
    <row r="311" spans="1:8">
      <c r="A311" s="139">
        <v>309</v>
      </c>
      <c r="B311" s="139" t="s">
        <v>680</v>
      </c>
      <c r="C311" s="139" t="s">
        <v>681</v>
      </c>
      <c r="D311" s="199">
        <v>16601000</v>
      </c>
      <c r="E311" s="199" t="e">
        <f>VLOOKUP(B311,#REF!,151,0)</f>
        <v>#REF!</v>
      </c>
      <c r="F311" s="199" t="e">
        <f t="shared" si="4"/>
        <v>#REF!</v>
      </c>
      <c r="G311" s="139" t="s">
        <v>528</v>
      </c>
    </row>
    <row r="312" spans="1:8">
      <c r="A312" s="139">
        <v>310</v>
      </c>
      <c r="B312" s="139" t="s">
        <v>80</v>
      </c>
      <c r="C312" s="139" t="s">
        <v>681</v>
      </c>
      <c r="D312" s="199">
        <v>16848000</v>
      </c>
      <c r="E312" s="199" t="e">
        <f>VLOOKUP(B312,#REF!,151,0)</f>
        <v>#REF!</v>
      </c>
      <c r="F312" s="199" t="e">
        <f t="shared" si="4"/>
        <v>#REF!</v>
      </c>
      <c r="G312" s="139" t="s">
        <v>528</v>
      </c>
      <c r="H312" s="182">
        <v>409000</v>
      </c>
    </row>
    <row r="313" spans="1:8">
      <c r="A313" s="139">
        <v>311</v>
      </c>
      <c r="B313" s="139" t="s">
        <v>682</v>
      </c>
      <c r="C313" s="139" t="s">
        <v>28</v>
      </c>
      <c r="D313" s="199">
        <v>11176000</v>
      </c>
      <c r="E313" s="199" t="e">
        <f>VLOOKUP(B313,#REF!,151,0)</f>
        <v>#REF!</v>
      </c>
      <c r="F313" s="199" t="e">
        <f t="shared" si="4"/>
        <v>#REF!</v>
      </c>
      <c r="G313" s="139" t="s">
        <v>528</v>
      </c>
    </row>
    <row r="314" spans="1:8">
      <c r="A314" s="139">
        <v>312</v>
      </c>
      <c r="B314" s="139" t="s">
        <v>683</v>
      </c>
      <c r="C314" s="139" t="s">
        <v>28</v>
      </c>
      <c r="D314" s="199">
        <v>10506000</v>
      </c>
      <c r="E314" s="199" t="e">
        <f>VLOOKUP(B314,#REF!,151,0)</f>
        <v>#REF!</v>
      </c>
      <c r="F314" s="199" t="e">
        <f t="shared" si="4"/>
        <v>#REF!</v>
      </c>
      <c r="G314" s="139" t="s">
        <v>528</v>
      </c>
      <c r="H314" s="182">
        <v>409000</v>
      </c>
    </row>
    <row r="315" spans="1:8">
      <c r="A315" s="139">
        <v>313</v>
      </c>
      <c r="B315" s="139" t="s">
        <v>684</v>
      </c>
      <c r="C315" s="139" t="s">
        <v>28</v>
      </c>
      <c r="D315" s="199">
        <v>8424000</v>
      </c>
      <c r="E315" s="199" t="e">
        <f>VLOOKUP(B315,#REF!,151,0)</f>
        <v>#REF!</v>
      </c>
      <c r="F315" s="199" t="e">
        <f t="shared" si="4"/>
        <v>#REF!</v>
      </c>
      <c r="G315" s="139" t="s">
        <v>528</v>
      </c>
    </row>
    <row r="316" spans="1:8">
      <c r="A316" s="139">
        <v>314</v>
      </c>
      <c r="B316" s="139" t="s">
        <v>685</v>
      </c>
      <c r="C316" s="139" t="s">
        <v>28</v>
      </c>
      <c r="D316" s="199">
        <v>8013000</v>
      </c>
      <c r="E316" s="199" t="e">
        <f>VLOOKUP(B316,#REF!,151,0)</f>
        <v>#REF!</v>
      </c>
      <c r="F316" s="199" t="e">
        <f t="shared" si="4"/>
        <v>#REF!</v>
      </c>
      <c r="G316" s="139" t="s">
        <v>528</v>
      </c>
    </row>
    <row r="317" spans="1:8">
      <c r="A317" s="139">
        <v>315</v>
      </c>
      <c r="B317" s="139" t="s">
        <v>686</v>
      </c>
      <c r="C317" s="139" t="s">
        <v>28</v>
      </c>
      <c r="D317" s="199">
        <v>10211000</v>
      </c>
      <c r="E317" s="199" t="e">
        <f>VLOOKUP(B317,#REF!,151,0)</f>
        <v>#REF!</v>
      </c>
      <c r="F317" s="199" t="e">
        <f t="shared" si="4"/>
        <v>#REF!</v>
      </c>
      <c r="G317" s="139" t="s">
        <v>528</v>
      </c>
      <c r="H317" s="182">
        <v>429000</v>
      </c>
    </row>
    <row r="318" spans="1:8">
      <c r="A318" s="139">
        <v>316</v>
      </c>
      <c r="B318" s="139" t="s">
        <v>687</v>
      </c>
      <c r="C318" s="139" t="s">
        <v>28</v>
      </c>
      <c r="D318" s="199">
        <v>11400000</v>
      </c>
      <c r="E318" s="199" t="e">
        <f>VLOOKUP(B318,#REF!,151,0)</f>
        <v>#REF!</v>
      </c>
      <c r="F318" s="199" t="e">
        <f t="shared" si="4"/>
        <v>#REF!</v>
      </c>
      <c r="G318" s="139" t="s">
        <v>528</v>
      </c>
    </row>
    <row r="319" spans="1:8">
      <c r="A319" s="139">
        <v>317</v>
      </c>
      <c r="B319" s="139" t="s">
        <v>688</v>
      </c>
      <c r="C319" s="139" t="s">
        <v>28</v>
      </c>
      <c r="D319" s="199">
        <v>10909000</v>
      </c>
      <c r="E319" s="199" t="e">
        <f>VLOOKUP(B319,#REF!,151,0)</f>
        <v>#REF!</v>
      </c>
      <c r="F319" s="199" t="e">
        <f t="shared" si="4"/>
        <v>#REF!</v>
      </c>
      <c r="G319" s="139" t="s">
        <v>528</v>
      </c>
    </row>
    <row r="320" spans="1:8">
      <c r="A320" s="139">
        <v>318</v>
      </c>
      <c r="B320" s="139" t="s">
        <v>413</v>
      </c>
      <c r="C320" s="139" t="s">
        <v>28</v>
      </c>
      <c r="D320" s="199">
        <v>9476000</v>
      </c>
      <c r="E320" s="199" t="e">
        <f>VLOOKUP(B320,#REF!,151,0)</f>
        <v>#REF!</v>
      </c>
      <c r="F320" s="199" t="e">
        <f t="shared" si="4"/>
        <v>#REF!</v>
      </c>
      <c r="G320" s="139" t="s">
        <v>528</v>
      </c>
      <c r="H320" s="182">
        <v>409000</v>
      </c>
    </row>
    <row r="321" spans="1:8">
      <c r="A321" s="139">
        <v>319</v>
      </c>
      <c r="B321" s="139" t="s">
        <v>689</v>
      </c>
      <c r="C321" s="139" t="s">
        <v>28</v>
      </c>
      <c r="D321" s="199">
        <v>5292000</v>
      </c>
      <c r="E321" s="199" t="e">
        <f>VLOOKUP(B321,#REF!,151,0)</f>
        <v>#REF!</v>
      </c>
      <c r="F321" s="199" t="e">
        <f t="shared" si="4"/>
        <v>#REF!</v>
      </c>
      <c r="G321" s="139" t="s">
        <v>528</v>
      </c>
    </row>
    <row r="322" spans="1:8">
      <c r="A322" s="139">
        <v>320</v>
      </c>
      <c r="B322" s="139" t="s">
        <v>142</v>
      </c>
      <c r="C322" s="139" t="s">
        <v>28</v>
      </c>
      <c r="D322" s="199">
        <v>9956000</v>
      </c>
      <c r="E322" s="199" t="e">
        <f>VLOOKUP(B322,#REF!,151,0)</f>
        <v>#REF!</v>
      </c>
      <c r="F322" s="199" t="e">
        <f t="shared" si="4"/>
        <v>#REF!</v>
      </c>
      <c r="G322" s="139" t="s">
        <v>528</v>
      </c>
      <c r="H322" s="182">
        <v>409000</v>
      </c>
    </row>
    <row r="323" spans="1:8">
      <c r="A323" s="139">
        <v>321</v>
      </c>
      <c r="B323" s="139" t="s">
        <v>690</v>
      </c>
      <c r="C323" s="139" t="s">
        <v>28</v>
      </c>
      <c r="D323" s="199">
        <v>10763000</v>
      </c>
      <c r="E323" s="199" t="e">
        <f>VLOOKUP(B323,#REF!,151,0)</f>
        <v>#REF!</v>
      </c>
      <c r="F323" s="199" t="e">
        <f t="shared" si="4"/>
        <v>#REF!</v>
      </c>
      <c r="G323" s="139" t="s">
        <v>528</v>
      </c>
    </row>
    <row r="324" spans="1:8">
      <c r="A324" s="139">
        <v>322</v>
      </c>
      <c r="B324" s="139" t="s">
        <v>691</v>
      </c>
      <c r="C324" s="139" t="s">
        <v>28</v>
      </c>
      <c r="D324" s="199">
        <v>9887000</v>
      </c>
      <c r="E324" s="199" t="e">
        <f>VLOOKUP(B324,#REF!,151,0)</f>
        <v>#REF!</v>
      </c>
      <c r="F324" s="199" t="e">
        <f t="shared" ref="F324:F372" si="5">+D324-E324</f>
        <v>#REF!</v>
      </c>
      <c r="G324" s="139" t="s">
        <v>528</v>
      </c>
    </row>
    <row r="325" spans="1:8">
      <c r="A325" s="139">
        <v>323</v>
      </c>
      <c r="B325" s="139" t="s">
        <v>692</v>
      </c>
      <c r="C325" s="139" t="s">
        <v>28</v>
      </c>
      <c r="D325" s="199">
        <v>6648000</v>
      </c>
      <c r="E325" s="199" t="e">
        <f>VLOOKUP(B325,#REF!,151,0)</f>
        <v>#REF!</v>
      </c>
      <c r="F325" s="199" t="e">
        <f t="shared" si="5"/>
        <v>#REF!</v>
      </c>
      <c r="G325" s="139" t="s">
        <v>528</v>
      </c>
    </row>
    <row r="326" spans="1:8">
      <c r="A326" s="139">
        <v>324</v>
      </c>
      <c r="B326" s="139" t="s">
        <v>693</v>
      </c>
      <c r="C326" s="139" t="s">
        <v>28</v>
      </c>
      <c r="D326" s="199">
        <v>6660000</v>
      </c>
      <c r="E326" s="199" t="e">
        <f>VLOOKUP(B326,#REF!,151,0)</f>
        <v>#REF!</v>
      </c>
      <c r="F326" s="199" t="e">
        <f t="shared" si="5"/>
        <v>#REF!</v>
      </c>
      <c r="G326" s="139" t="s">
        <v>528</v>
      </c>
    </row>
    <row r="327" spans="1:8">
      <c r="A327" s="139">
        <v>325</v>
      </c>
      <c r="B327" s="139" t="s">
        <v>412</v>
      </c>
      <c r="C327" s="139" t="s">
        <v>28</v>
      </c>
      <c r="D327" s="199">
        <v>4039000</v>
      </c>
      <c r="E327" s="199" t="e">
        <f>VLOOKUP(B327,#REF!,151,0)</f>
        <v>#REF!</v>
      </c>
      <c r="F327" s="199" t="e">
        <f t="shared" si="5"/>
        <v>#REF!</v>
      </c>
      <c r="G327" s="139" t="s">
        <v>528</v>
      </c>
      <c r="H327" s="182">
        <v>409000</v>
      </c>
    </row>
    <row r="328" spans="1:8">
      <c r="A328" s="139">
        <v>326</v>
      </c>
      <c r="B328" s="139" t="s">
        <v>694</v>
      </c>
      <c r="C328" s="139" t="s">
        <v>28</v>
      </c>
      <c r="D328" s="199">
        <v>7067000</v>
      </c>
      <c r="E328" s="199" t="e">
        <f>VLOOKUP(B328,#REF!,151,0)</f>
        <v>#REF!</v>
      </c>
      <c r="F328" s="199" t="e">
        <f t="shared" si="5"/>
        <v>#REF!</v>
      </c>
      <c r="G328" s="139" t="s">
        <v>528</v>
      </c>
    </row>
    <row r="329" spans="1:8">
      <c r="A329" s="139">
        <v>327</v>
      </c>
      <c r="B329" s="139" t="s">
        <v>432</v>
      </c>
      <c r="C329" s="139" t="s">
        <v>28</v>
      </c>
      <c r="D329" s="199">
        <v>7431000</v>
      </c>
      <c r="E329" s="199" t="e">
        <f>VLOOKUP(B329,#REF!,151,0)</f>
        <v>#REF!</v>
      </c>
      <c r="F329" s="199" t="e">
        <f t="shared" si="5"/>
        <v>#REF!</v>
      </c>
      <c r="G329" s="139" t="s">
        <v>528</v>
      </c>
      <c r="H329" s="182">
        <v>409000</v>
      </c>
    </row>
    <row r="330" spans="1:8">
      <c r="A330" s="139">
        <v>328</v>
      </c>
      <c r="B330" s="139" t="s">
        <v>695</v>
      </c>
      <c r="C330" s="139" t="s">
        <v>28</v>
      </c>
      <c r="D330" s="199">
        <v>5989000</v>
      </c>
      <c r="E330" s="199" t="e">
        <f>VLOOKUP(B330,#REF!,151,0)</f>
        <v>#REF!</v>
      </c>
      <c r="F330" s="199" t="e">
        <f t="shared" si="5"/>
        <v>#REF!</v>
      </c>
      <c r="G330" s="139" t="s">
        <v>528</v>
      </c>
    </row>
    <row r="331" spans="1:8">
      <c r="A331" s="139">
        <v>329</v>
      </c>
      <c r="B331" s="139" t="s">
        <v>425</v>
      </c>
      <c r="C331" s="139" t="s">
        <v>28</v>
      </c>
      <c r="D331" s="199">
        <v>7961000</v>
      </c>
      <c r="E331" s="199" t="e">
        <f>VLOOKUP(B331,#REF!,151,0)</f>
        <v>#REF!</v>
      </c>
      <c r="F331" s="199" t="e">
        <f t="shared" si="5"/>
        <v>#REF!</v>
      </c>
      <c r="G331" s="139" t="s">
        <v>528</v>
      </c>
      <c r="H331" s="182">
        <v>409000</v>
      </c>
    </row>
    <row r="332" spans="1:8">
      <c r="A332" s="139">
        <v>330</v>
      </c>
      <c r="B332" s="139" t="s">
        <v>696</v>
      </c>
      <c r="C332" s="139" t="s">
        <v>28</v>
      </c>
      <c r="D332" s="199">
        <v>9651000</v>
      </c>
      <c r="E332" s="199" t="e">
        <f>VLOOKUP(B332,#REF!,151,0)</f>
        <v>#REF!</v>
      </c>
      <c r="F332" s="199" t="e">
        <f t="shared" si="5"/>
        <v>#REF!</v>
      </c>
      <c r="G332" s="139" t="s">
        <v>528</v>
      </c>
      <c r="H332" s="182">
        <v>409000</v>
      </c>
    </row>
    <row r="333" spans="1:8">
      <c r="A333" s="139">
        <v>331</v>
      </c>
      <c r="B333" s="139" t="s">
        <v>422</v>
      </c>
      <c r="C333" s="139" t="s">
        <v>28</v>
      </c>
      <c r="D333" s="199">
        <v>10321000</v>
      </c>
      <c r="E333" s="199" t="e">
        <f>VLOOKUP(B333,#REF!,151,0)</f>
        <v>#REF!</v>
      </c>
      <c r="F333" s="199" t="e">
        <f t="shared" si="5"/>
        <v>#REF!</v>
      </c>
      <c r="G333" s="139" t="s">
        <v>528</v>
      </c>
      <c r="H333" s="182">
        <v>409000</v>
      </c>
    </row>
    <row r="334" spans="1:8">
      <c r="A334" s="139">
        <v>332</v>
      </c>
      <c r="B334" s="139" t="s">
        <v>442</v>
      </c>
      <c r="C334" s="139" t="s">
        <v>28</v>
      </c>
      <c r="D334" s="199">
        <v>2549000</v>
      </c>
      <c r="E334" s="199" t="e">
        <f>VLOOKUP(B334,#REF!,151,0)</f>
        <v>#REF!</v>
      </c>
      <c r="F334" s="199" t="e">
        <f t="shared" si="5"/>
        <v>#REF!</v>
      </c>
      <c r="G334" s="139" t="s">
        <v>528</v>
      </c>
      <c r="H334" s="182">
        <v>409000</v>
      </c>
    </row>
    <row r="335" spans="1:8">
      <c r="A335" s="139">
        <v>333</v>
      </c>
      <c r="B335" s="139" t="s">
        <v>452</v>
      </c>
      <c r="C335" s="139" t="s">
        <v>28</v>
      </c>
      <c r="D335" s="199">
        <v>10771000</v>
      </c>
      <c r="E335" s="199" t="e">
        <f>VLOOKUP(B335,#REF!,151,0)</f>
        <v>#REF!</v>
      </c>
      <c r="F335" s="199" t="e">
        <f t="shared" si="5"/>
        <v>#REF!</v>
      </c>
      <c r="G335" s="139" t="s">
        <v>528</v>
      </c>
      <c r="H335" s="182">
        <v>409000</v>
      </c>
    </row>
    <row r="336" spans="1:8">
      <c r="A336" s="139">
        <v>334</v>
      </c>
      <c r="B336" s="139" t="s">
        <v>697</v>
      </c>
      <c r="C336" s="139" t="s">
        <v>28</v>
      </c>
      <c r="D336" s="199">
        <v>835000</v>
      </c>
      <c r="E336" s="199" t="e">
        <f>VLOOKUP(B336,#REF!,151,0)</f>
        <v>#REF!</v>
      </c>
      <c r="F336" s="199" t="e">
        <f t="shared" si="5"/>
        <v>#REF!</v>
      </c>
      <c r="G336" s="139" t="s">
        <v>528</v>
      </c>
    </row>
    <row r="337" spans="1:8">
      <c r="A337" s="139">
        <v>335</v>
      </c>
      <c r="B337" s="139" t="s">
        <v>698</v>
      </c>
      <c r="C337" s="139" t="s">
        <v>28</v>
      </c>
      <c r="D337" s="199">
        <v>335000</v>
      </c>
      <c r="E337" s="199" t="e">
        <f>VLOOKUP(B337,#REF!,151,0)</f>
        <v>#REF!</v>
      </c>
      <c r="F337" s="199" t="e">
        <f t="shared" si="5"/>
        <v>#REF!</v>
      </c>
      <c r="G337" s="139" t="s">
        <v>528</v>
      </c>
    </row>
    <row r="338" spans="1:8">
      <c r="A338" s="139">
        <v>336</v>
      </c>
      <c r="B338" s="139" t="s">
        <v>699</v>
      </c>
      <c r="C338" s="139" t="s">
        <v>28</v>
      </c>
      <c r="D338" s="199">
        <v>11756000</v>
      </c>
      <c r="E338" s="199" t="e">
        <f>VLOOKUP(B338,#REF!,151,0)</f>
        <v>#REF!</v>
      </c>
      <c r="F338" s="199" t="e">
        <f t="shared" si="5"/>
        <v>#REF!</v>
      </c>
      <c r="G338" s="139" t="s">
        <v>528</v>
      </c>
      <c r="H338" s="182">
        <v>429000</v>
      </c>
    </row>
    <row r="339" spans="1:8">
      <c r="A339" s="139">
        <v>337</v>
      </c>
      <c r="B339" s="139" t="s">
        <v>700</v>
      </c>
      <c r="C339" s="139" t="s">
        <v>28</v>
      </c>
      <c r="D339" s="199">
        <v>12307000</v>
      </c>
      <c r="E339" s="199" t="e">
        <f>VLOOKUP(B339,#REF!,151,0)</f>
        <v>#REF!</v>
      </c>
      <c r="F339" s="199" t="e">
        <f t="shared" si="5"/>
        <v>#REF!</v>
      </c>
      <c r="G339" s="139" t="s">
        <v>528</v>
      </c>
    </row>
    <row r="340" spans="1:8">
      <c r="A340" s="139">
        <v>338</v>
      </c>
      <c r="B340" s="139" t="s">
        <v>701</v>
      </c>
      <c r="C340" s="139" t="s">
        <v>28</v>
      </c>
      <c r="D340" s="199">
        <v>10936000</v>
      </c>
      <c r="E340" s="199" t="e">
        <f>VLOOKUP(B340,#REF!,151,0)</f>
        <v>#REF!</v>
      </c>
      <c r="F340" s="199" t="e">
        <f t="shared" si="5"/>
        <v>#REF!</v>
      </c>
      <c r="G340" s="139" t="s">
        <v>528</v>
      </c>
      <c r="H340" s="182">
        <v>409000</v>
      </c>
    </row>
    <row r="341" spans="1:8">
      <c r="A341" s="139">
        <v>339</v>
      </c>
      <c r="B341" s="139" t="s">
        <v>702</v>
      </c>
      <c r="C341" s="139" t="s">
        <v>28</v>
      </c>
      <c r="D341" s="199">
        <v>12556000</v>
      </c>
      <c r="E341" s="199" t="e">
        <f>VLOOKUP(B341,#REF!,151,0)</f>
        <v>#REF!</v>
      </c>
      <c r="F341" s="199" t="e">
        <f t="shared" si="5"/>
        <v>#REF!</v>
      </c>
      <c r="G341" s="139" t="s">
        <v>528</v>
      </c>
    </row>
    <row r="342" spans="1:8">
      <c r="A342" s="139">
        <v>340</v>
      </c>
      <c r="B342" s="139" t="s">
        <v>703</v>
      </c>
      <c r="C342" s="139" t="s">
        <v>28</v>
      </c>
      <c r="D342" s="199">
        <v>12768000</v>
      </c>
      <c r="E342" s="199" t="e">
        <f>VLOOKUP(B342,#REF!,151,0)</f>
        <v>#REF!</v>
      </c>
      <c r="F342" s="199" t="e">
        <f t="shared" si="5"/>
        <v>#REF!</v>
      </c>
      <c r="G342" s="139" t="s">
        <v>528</v>
      </c>
      <c r="H342" s="182">
        <v>409000</v>
      </c>
    </row>
    <row r="343" spans="1:8">
      <c r="A343" s="139">
        <v>341</v>
      </c>
      <c r="B343" s="139" t="s">
        <v>333</v>
      </c>
      <c r="C343" s="139" t="s">
        <v>28</v>
      </c>
      <c r="D343" s="199">
        <v>10746000</v>
      </c>
      <c r="E343" s="199" t="e">
        <f>VLOOKUP(B343,#REF!,151,0)</f>
        <v>#REF!</v>
      </c>
      <c r="F343" s="199" t="e">
        <f t="shared" si="5"/>
        <v>#REF!</v>
      </c>
      <c r="G343" s="139" t="s">
        <v>528</v>
      </c>
      <c r="H343" s="182">
        <v>409000</v>
      </c>
    </row>
    <row r="344" spans="1:8">
      <c r="A344" s="139">
        <v>342</v>
      </c>
      <c r="B344" s="139" t="s">
        <v>199</v>
      </c>
      <c r="C344" s="139" t="s">
        <v>28</v>
      </c>
      <c r="D344" s="199">
        <v>11200000</v>
      </c>
      <c r="E344" s="199" t="e">
        <f>VLOOKUP(B344,#REF!,151,0)</f>
        <v>#REF!</v>
      </c>
      <c r="F344" s="199" t="e">
        <f t="shared" si="5"/>
        <v>#REF!</v>
      </c>
      <c r="G344" s="139" t="s">
        <v>528</v>
      </c>
      <c r="H344" s="182">
        <v>461000</v>
      </c>
    </row>
    <row r="345" spans="1:8">
      <c r="A345" s="139">
        <v>343</v>
      </c>
      <c r="B345" s="139" t="s">
        <v>704</v>
      </c>
      <c r="C345" s="139" t="s">
        <v>28</v>
      </c>
      <c r="D345" s="199">
        <v>13206000</v>
      </c>
      <c r="E345" s="199" t="e">
        <f>VLOOKUP(B345,#REF!,151,0)</f>
        <v>#REF!</v>
      </c>
      <c r="F345" s="199" t="e">
        <f t="shared" si="5"/>
        <v>#REF!</v>
      </c>
      <c r="G345" s="139" t="s">
        <v>528</v>
      </c>
    </row>
    <row r="346" spans="1:8">
      <c r="A346" s="139">
        <v>344</v>
      </c>
      <c r="B346" s="139" t="s">
        <v>300</v>
      </c>
      <c r="C346" s="139" t="s">
        <v>28</v>
      </c>
      <c r="D346" s="199">
        <v>7998000</v>
      </c>
      <c r="E346" s="199" t="e">
        <f>VLOOKUP(B346,#REF!,151,0)</f>
        <v>#REF!</v>
      </c>
      <c r="F346" s="199" t="e">
        <f t="shared" si="5"/>
        <v>#REF!</v>
      </c>
      <c r="G346" s="139" t="s">
        <v>528</v>
      </c>
    </row>
    <row r="347" spans="1:8">
      <c r="A347" s="139">
        <v>345</v>
      </c>
      <c r="B347" s="139" t="s">
        <v>454</v>
      </c>
      <c r="C347" s="139" t="s">
        <v>28</v>
      </c>
      <c r="D347" s="199">
        <v>10222000</v>
      </c>
      <c r="E347" s="199" t="e">
        <f>VLOOKUP(B347,#REF!,151,0)</f>
        <v>#REF!</v>
      </c>
      <c r="F347" s="199" t="e">
        <f t="shared" si="5"/>
        <v>#REF!</v>
      </c>
      <c r="G347" s="139" t="s">
        <v>528</v>
      </c>
      <c r="H347" s="182">
        <v>409000</v>
      </c>
    </row>
    <row r="348" spans="1:8">
      <c r="A348" s="139">
        <v>346</v>
      </c>
      <c r="B348" s="139" t="s">
        <v>137</v>
      </c>
      <c r="C348" s="139" t="s">
        <v>28</v>
      </c>
      <c r="D348" s="199">
        <v>10739000</v>
      </c>
      <c r="E348" s="199" t="e">
        <f>VLOOKUP(B348,#REF!,151,0)</f>
        <v>#REF!</v>
      </c>
      <c r="F348" s="199" t="e">
        <f t="shared" si="5"/>
        <v>#REF!</v>
      </c>
      <c r="G348" s="139" t="s">
        <v>528</v>
      </c>
    </row>
    <row r="349" spans="1:8">
      <c r="A349" s="139">
        <v>347</v>
      </c>
      <c r="B349" s="139" t="s">
        <v>414</v>
      </c>
      <c r="C349" s="139" t="s">
        <v>28</v>
      </c>
      <c r="D349" s="199">
        <v>11934000</v>
      </c>
      <c r="E349" s="199" t="e">
        <f>VLOOKUP(B349,#REF!,151,0)</f>
        <v>#REF!</v>
      </c>
      <c r="F349" s="199" t="e">
        <f t="shared" si="5"/>
        <v>#REF!</v>
      </c>
      <c r="G349" s="139" t="s">
        <v>528</v>
      </c>
      <c r="H349" s="182">
        <v>409000</v>
      </c>
    </row>
    <row r="350" spans="1:8">
      <c r="A350" s="139">
        <v>348</v>
      </c>
      <c r="B350" s="139" t="s">
        <v>433</v>
      </c>
      <c r="C350" s="139" t="s">
        <v>28</v>
      </c>
      <c r="D350" s="199">
        <v>11556000</v>
      </c>
      <c r="E350" s="199" t="e">
        <f>VLOOKUP(B350,#REF!,151,0)</f>
        <v>#REF!</v>
      </c>
      <c r="F350" s="199" t="e">
        <f t="shared" si="5"/>
        <v>#REF!</v>
      </c>
      <c r="G350" s="139" t="s">
        <v>528</v>
      </c>
      <c r="H350" s="182">
        <v>409000</v>
      </c>
    </row>
    <row r="351" spans="1:8">
      <c r="A351" s="139">
        <v>349</v>
      </c>
      <c r="B351" s="139" t="s">
        <v>705</v>
      </c>
      <c r="C351" s="139" t="s">
        <v>28</v>
      </c>
      <c r="D351" s="199">
        <v>10645000</v>
      </c>
      <c r="E351" s="199" t="e">
        <f>VLOOKUP(B351,#REF!,151,0)</f>
        <v>#REF!</v>
      </c>
      <c r="F351" s="199" t="e">
        <f t="shared" si="5"/>
        <v>#REF!</v>
      </c>
      <c r="G351" s="139" t="s">
        <v>528</v>
      </c>
    </row>
    <row r="352" spans="1:8">
      <c r="A352" s="139">
        <v>350</v>
      </c>
      <c r="B352" s="139" t="s">
        <v>434</v>
      </c>
      <c r="C352" s="139" t="s">
        <v>28</v>
      </c>
      <c r="D352" s="199">
        <v>10643000</v>
      </c>
      <c r="E352" s="199" t="e">
        <f>VLOOKUP(B352,#REF!,151,0)</f>
        <v>#REF!</v>
      </c>
      <c r="F352" s="199" t="e">
        <f t="shared" si="5"/>
        <v>#REF!</v>
      </c>
      <c r="G352" s="139" t="s">
        <v>528</v>
      </c>
      <c r="H352" s="182">
        <v>409000</v>
      </c>
    </row>
    <row r="353" spans="1:8">
      <c r="A353" s="139">
        <v>351</v>
      </c>
      <c r="B353" s="139" t="s">
        <v>411</v>
      </c>
      <c r="C353" s="139" t="s">
        <v>28</v>
      </c>
      <c r="D353" s="199">
        <v>11214000</v>
      </c>
      <c r="E353" s="199" t="e">
        <f>VLOOKUP(B353,#REF!,151,0)</f>
        <v>#REF!</v>
      </c>
      <c r="F353" s="199" t="e">
        <f t="shared" si="5"/>
        <v>#REF!</v>
      </c>
      <c r="G353" s="139" t="s">
        <v>528</v>
      </c>
      <c r="H353" s="182">
        <v>409000</v>
      </c>
    </row>
    <row r="354" spans="1:8">
      <c r="A354" s="139">
        <v>352</v>
      </c>
      <c r="B354" s="139" t="s">
        <v>212</v>
      </c>
      <c r="C354" s="139" t="s">
        <v>28</v>
      </c>
      <c r="D354" s="199">
        <v>9850000</v>
      </c>
      <c r="E354" s="199" t="e">
        <f>VLOOKUP(B354,#REF!,151,0)</f>
        <v>#REF!</v>
      </c>
      <c r="F354" s="199" t="e">
        <f t="shared" si="5"/>
        <v>#REF!</v>
      </c>
      <c r="G354" s="139" t="s">
        <v>528</v>
      </c>
      <c r="H354" s="182">
        <v>409000</v>
      </c>
    </row>
    <row r="355" spans="1:8">
      <c r="A355" s="139">
        <v>353</v>
      </c>
      <c r="B355" s="139" t="s">
        <v>308</v>
      </c>
      <c r="C355" s="139" t="s">
        <v>28</v>
      </c>
      <c r="D355" s="199">
        <v>11715000</v>
      </c>
      <c r="E355" s="199" t="e">
        <f>VLOOKUP(B355,#REF!,151,0)</f>
        <v>#REF!</v>
      </c>
      <c r="F355" s="199" t="e">
        <f t="shared" si="5"/>
        <v>#REF!</v>
      </c>
      <c r="G355" s="139" t="s">
        <v>528</v>
      </c>
      <c r="H355" s="182">
        <v>409000</v>
      </c>
    </row>
    <row r="356" spans="1:8">
      <c r="A356" s="139">
        <v>354</v>
      </c>
      <c r="B356" s="139" t="s">
        <v>435</v>
      </c>
      <c r="C356" s="139" t="s">
        <v>28</v>
      </c>
      <c r="D356" s="199">
        <v>0</v>
      </c>
      <c r="E356" s="199" t="e">
        <f>VLOOKUP(B356,#REF!,151,0)</f>
        <v>#REF!</v>
      </c>
      <c r="F356" s="199" t="e">
        <f t="shared" si="5"/>
        <v>#REF!</v>
      </c>
      <c r="G356" s="139" t="s">
        <v>528</v>
      </c>
    </row>
    <row r="357" spans="1:8">
      <c r="A357" s="139">
        <v>355</v>
      </c>
      <c r="B357" s="139" t="s">
        <v>706</v>
      </c>
      <c r="C357" s="139" t="s">
        <v>28</v>
      </c>
      <c r="D357" s="199">
        <v>8560000</v>
      </c>
      <c r="E357" s="199" t="e">
        <f>VLOOKUP(B357,#REF!,151,0)</f>
        <v>#REF!</v>
      </c>
      <c r="F357" s="199" t="e">
        <f t="shared" si="5"/>
        <v>#REF!</v>
      </c>
      <c r="G357" s="139" t="s">
        <v>528</v>
      </c>
      <c r="H357" s="182">
        <v>409000</v>
      </c>
    </row>
    <row r="358" spans="1:8">
      <c r="A358" s="139">
        <v>356</v>
      </c>
      <c r="B358" s="139" t="s">
        <v>707</v>
      </c>
      <c r="C358" s="139" t="s">
        <v>28</v>
      </c>
      <c r="D358" s="199">
        <v>8383000</v>
      </c>
      <c r="E358" s="199" t="e">
        <f>VLOOKUP(B358,#REF!,151,0)</f>
        <v>#REF!</v>
      </c>
      <c r="F358" s="199" t="e">
        <f t="shared" si="5"/>
        <v>#REF!</v>
      </c>
      <c r="G358" s="139" t="s">
        <v>528</v>
      </c>
    </row>
    <row r="359" spans="1:8">
      <c r="A359" s="139">
        <v>357</v>
      </c>
      <c r="B359" s="139" t="s">
        <v>451</v>
      </c>
      <c r="C359" s="139" t="s">
        <v>28</v>
      </c>
      <c r="D359" s="199">
        <v>10096000</v>
      </c>
      <c r="E359" s="199" t="e">
        <f>VLOOKUP(B359,#REF!,151,0)</f>
        <v>#REF!</v>
      </c>
      <c r="F359" s="199" t="e">
        <f t="shared" si="5"/>
        <v>#REF!</v>
      </c>
      <c r="G359" s="139" t="s">
        <v>528</v>
      </c>
      <c r="H359" s="182">
        <v>409000</v>
      </c>
    </row>
    <row r="360" spans="1:8">
      <c r="A360" s="139">
        <v>358</v>
      </c>
      <c r="B360" s="139" t="s">
        <v>708</v>
      </c>
      <c r="C360" s="139" t="s">
        <v>709</v>
      </c>
      <c r="D360" s="199">
        <v>3838000</v>
      </c>
      <c r="E360" s="199" t="e">
        <f>VLOOKUP(B360,#REF!,151,0)</f>
        <v>#REF!</v>
      </c>
      <c r="F360" s="199" t="e">
        <f t="shared" si="5"/>
        <v>#REF!</v>
      </c>
      <c r="G360" s="139" t="s">
        <v>528</v>
      </c>
      <c r="H360" s="182">
        <v>409000</v>
      </c>
    </row>
    <row r="361" spans="1:8">
      <c r="A361" s="139">
        <v>359</v>
      </c>
      <c r="B361" s="139" t="s">
        <v>710</v>
      </c>
      <c r="C361" s="139" t="s">
        <v>709</v>
      </c>
      <c r="D361" s="199">
        <v>3032000</v>
      </c>
      <c r="E361" s="199" t="e">
        <f>VLOOKUP(B361,#REF!,151,0)</f>
        <v>#REF!</v>
      </c>
      <c r="F361" s="199" t="e">
        <f t="shared" si="5"/>
        <v>#REF!</v>
      </c>
      <c r="G361" s="139" t="s">
        <v>528</v>
      </c>
      <c r="H361" s="182">
        <v>409000</v>
      </c>
    </row>
    <row r="362" spans="1:8">
      <c r="A362" s="139">
        <v>360</v>
      </c>
      <c r="B362" s="139" t="s">
        <v>711</v>
      </c>
      <c r="C362" s="139" t="s">
        <v>709</v>
      </c>
      <c r="D362" s="199">
        <v>4101000</v>
      </c>
      <c r="E362" s="199" t="e">
        <f>VLOOKUP(B362,#REF!,151,0)</f>
        <v>#REF!</v>
      </c>
      <c r="F362" s="199" t="e">
        <f t="shared" si="5"/>
        <v>#REF!</v>
      </c>
      <c r="G362" s="139" t="s">
        <v>528</v>
      </c>
      <c r="H362" s="182">
        <v>409000</v>
      </c>
    </row>
    <row r="363" spans="1:8">
      <c r="A363" s="139">
        <v>361</v>
      </c>
      <c r="B363" s="139" t="s">
        <v>712</v>
      </c>
      <c r="C363" s="139" t="s">
        <v>709</v>
      </c>
      <c r="D363" s="199">
        <v>2371000</v>
      </c>
      <c r="E363" s="199" t="e">
        <f>VLOOKUP(B363,#REF!,151,0)</f>
        <v>#REF!</v>
      </c>
      <c r="F363" s="199" t="e">
        <f t="shared" si="5"/>
        <v>#REF!</v>
      </c>
      <c r="G363" s="139" t="s">
        <v>528</v>
      </c>
      <c r="H363" s="182">
        <v>409000</v>
      </c>
    </row>
    <row r="364" spans="1:8">
      <c r="A364" s="139">
        <v>362</v>
      </c>
      <c r="B364" s="139" t="s">
        <v>713</v>
      </c>
      <c r="C364" s="139" t="s">
        <v>709</v>
      </c>
      <c r="D364" s="199">
        <v>2854000</v>
      </c>
      <c r="E364" s="199" t="e">
        <f>VLOOKUP(B364,#REF!,151,0)</f>
        <v>#REF!</v>
      </c>
      <c r="F364" s="199" t="e">
        <f t="shared" si="5"/>
        <v>#REF!</v>
      </c>
      <c r="G364" s="139" t="s">
        <v>528</v>
      </c>
      <c r="H364" s="182">
        <v>409000</v>
      </c>
    </row>
    <row r="365" spans="1:8">
      <c r="A365" s="139">
        <v>363</v>
      </c>
      <c r="B365" s="139" t="s">
        <v>714</v>
      </c>
      <c r="C365" s="139" t="s">
        <v>709</v>
      </c>
      <c r="D365" s="199">
        <v>1807000</v>
      </c>
      <c r="E365" s="199" t="e">
        <f>VLOOKUP(B365,#REF!,151,0)</f>
        <v>#REF!</v>
      </c>
      <c r="F365" s="199" t="e">
        <f t="shared" si="5"/>
        <v>#REF!</v>
      </c>
      <c r="G365" s="139" t="s">
        <v>528</v>
      </c>
      <c r="H365" s="182">
        <v>409000</v>
      </c>
    </row>
    <row r="366" spans="1:8">
      <c r="A366" s="139">
        <v>364</v>
      </c>
      <c r="B366" s="139" t="s">
        <v>715</v>
      </c>
      <c r="C366" s="139" t="s">
        <v>709</v>
      </c>
      <c r="D366" s="199">
        <v>3751000</v>
      </c>
      <c r="E366" s="199" t="e">
        <f>VLOOKUP(B366,#REF!,151,0)</f>
        <v>#REF!</v>
      </c>
      <c r="F366" s="199" t="e">
        <f t="shared" si="5"/>
        <v>#REF!</v>
      </c>
      <c r="G366" s="139" t="s">
        <v>528</v>
      </c>
      <c r="H366" s="182">
        <v>409000</v>
      </c>
    </row>
    <row r="367" spans="1:8">
      <c r="A367" s="139">
        <v>365</v>
      </c>
      <c r="B367" s="139" t="s">
        <v>134</v>
      </c>
      <c r="C367" s="139" t="s">
        <v>709</v>
      </c>
      <c r="D367" s="199">
        <v>4010000</v>
      </c>
      <c r="E367" s="199" t="e">
        <f>VLOOKUP(B367,#REF!,151,0)</f>
        <v>#REF!</v>
      </c>
      <c r="F367" s="199" t="e">
        <f t="shared" si="5"/>
        <v>#REF!</v>
      </c>
      <c r="G367" s="139" t="s">
        <v>528</v>
      </c>
      <c r="H367" s="182">
        <v>409000</v>
      </c>
    </row>
    <row r="368" spans="1:8">
      <c r="A368" s="139">
        <v>366</v>
      </c>
      <c r="B368" s="139" t="s">
        <v>426</v>
      </c>
      <c r="C368" s="139" t="s">
        <v>709</v>
      </c>
      <c r="D368" s="199">
        <v>4048000</v>
      </c>
      <c r="E368" s="199" t="e">
        <f>VLOOKUP(B368,#REF!,151,0)</f>
        <v>#REF!</v>
      </c>
      <c r="F368" s="199" t="e">
        <f t="shared" si="5"/>
        <v>#REF!</v>
      </c>
      <c r="G368" s="139" t="s">
        <v>528</v>
      </c>
      <c r="H368" s="182">
        <v>409000</v>
      </c>
    </row>
    <row r="369" spans="1:8">
      <c r="A369" s="139">
        <v>367</v>
      </c>
      <c r="B369" s="139" t="s">
        <v>147</v>
      </c>
      <c r="C369" s="139" t="s">
        <v>719</v>
      </c>
      <c r="D369" s="199">
        <v>9544000</v>
      </c>
      <c r="E369" s="199" t="e">
        <f>VLOOKUP(B369,#REF!,151,0)</f>
        <v>#REF!</v>
      </c>
      <c r="F369" s="199" t="e">
        <f t="shared" si="5"/>
        <v>#REF!</v>
      </c>
      <c r="G369" s="139" t="s">
        <v>721</v>
      </c>
      <c r="H369" s="182">
        <v>409000</v>
      </c>
    </row>
    <row r="370" spans="1:8">
      <c r="A370" s="139">
        <v>368</v>
      </c>
      <c r="B370" s="139" t="s">
        <v>716</v>
      </c>
      <c r="C370" s="139" t="s">
        <v>719</v>
      </c>
      <c r="D370" s="199">
        <v>9672000</v>
      </c>
      <c r="E370" s="199" t="e">
        <f>VLOOKUP(B370,#REF!,151,0)</f>
        <v>#REF!</v>
      </c>
      <c r="F370" s="199" t="e">
        <f t="shared" si="5"/>
        <v>#REF!</v>
      </c>
      <c r="G370" s="139" t="s">
        <v>720</v>
      </c>
      <c r="H370" s="182">
        <v>409000</v>
      </c>
    </row>
    <row r="371" spans="1:8">
      <c r="A371" s="139">
        <v>369</v>
      </c>
      <c r="B371" s="139" t="s">
        <v>717</v>
      </c>
      <c r="C371" s="139" t="s">
        <v>719</v>
      </c>
      <c r="D371" s="199">
        <v>6545000</v>
      </c>
      <c r="E371" s="199" t="e">
        <f>VLOOKUP(B371,#REF!,151,0)</f>
        <v>#REF!</v>
      </c>
      <c r="F371" s="199" t="e">
        <f t="shared" si="5"/>
        <v>#REF!</v>
      </c>
      <c r="G371" s="139" t="s">
        <v>720</v>
      </c>
      <c r="H371" s="182">
        <v>409000</v>
      </c>
    </row>
    <row r="372" spans="1:8">
      <c r="A372" s="139">
        <v>370</v>
      </c>
      <c r="B372" s="139" t="s">
        <v>718</v>
      </c>
      <c r="C372" s="139" t="s">
        <v>719</v>
      </c>
      <c r="D372" s="199">
        <v>788000</v>
      </c>
      <c r="E372" s="199" t="e">
        <f>VLOOKUP(B372,#REF!,151,0)</f>
        <v>#REF!</v>
      </c>
      <c r="F372" s="199" t="e">
        <f t="shared" si="5"/>
        <v>#REF!</v>
      </c>
      <c r="G372" s="139" t="s">
        <v>720</v>
      </c>
    </row>
    <row r="373" spans="1:8">
      <c r="A373" s="139">
        <v>371</v>
      </c>
    </row>
    <row r="374" spans="1:8">
      <c r="A374" s="139">
        <v>372</v>
      </c>
    </row>
    <row r="375" spans="1:8">
      <c r="A375" s="139">
        <v>373</v>
      </c>
    </row>
    <row r="376" spans="1:8">
      <c r="A376" s="139">
        <v>374</v>
      </c>
      <c r="F376" s="199">
        <f>150*0.7</f>
        <v>105</v>
      </c>
    </row>
    <row r="377" spans="1:8">
      <c r="A377" s="139">
        <v>375</v>
      </c>
      <c r="F377" s="199">
        <v>130</v>
      </c>
    </row>
    <row r="378" spans="1:8">
      <c r="A378" s="139">
        <v>376</v>
      </c>
    </row>
    <row r="379" spans="1:8">
      <c r="A379" s="139">
        <v>377</v>
      </c>
    </row>
    <row r="380" spans="1:8">
      <c r="A380" s="139">
        <v>378</v>
      </c>
    </row>
    <row r="381" spans="1:8">
      <c r="A381" s="139">
        <v>379</v>
      </c>
    </row>
    <row r="382" spans="1:8">
      <c r="A382" s="139">
        <v>380</v>
      </c>
    </row>
    <row r="383" spans="1:8">
      <c r="A383" s="139">
        <v>381</v>
      </c>
    </row>
    <row r="384" spans="1:8">
      <c r="A384" s="139">
        <v>382</v>
      </c>
    </row>
    <row r="385" spans="1:1">
      <c r="A385" s="139">
        <v>383</v>
      </c>
    </row>
    <row r="386" spans="1:1">
      <c r="A386" s="139">
        <v>384</v>
      </c>
    </row>
    <row r="387" spans="1:1">
      <c r="A387" s="139">
        <v>385</v>
      </c>
    </row>
    <row r="388" spans="1:1">
      <c r="A388" s="139">
        <v>386</v>
      </c>
    </row>
    <row r="389" spans="1:1">
      <c r="A389" s="139">
        <v>387</v>
      </c>
    </row>
    <row r="390" spans="1:1">
      <c r="A390" s="139">
        <v>388</v>
      </c>
    </row>
    <row r="391" spans="1:1">
      <c r="A391" s="139">
        <v>389</v>
      </c>
    </row>
    <row r="392" spans="1:1">
      <c r="A392" s="139">
        <v>390</v>
      </c>
    </row>
    <row r="393" spans="1:1">
      <c r="A393" s="139">
        <v>391</v>
      </c>
    </row>
    <row r="394" spans="1:1">
      <c r="A394" s="139">
        <v>392</v>
      </c>
    </row>
    <row r="395" spans="1:1">
      <c r="A395" s="139">
        <v>393</v>
      </c>
    </row>
    <row r="396" spans="1:1">
      <c r="A396" s="139">
        <v>394</v>
      </c>
    </row>
    <row r="397" spans="1:1">
      <c r="A397" s="139">
        <v>395</v>
      </c>
    </row>
    <row r="398" spans="1:1">
      <c r="A398" s="139">
        <v>396</v>
      </c>
    </row>
    <row r="399" spans="1:1">
      <c r="A399" s="139">
        <v>397</v>
      </c>
    </row>
    <row r="400" spans="1:1">
      <c r="A400" s="139">
        <v>398</v>
      </c>
    </row>
    <row r="401" spans="1:1">
      <c r="A401" s="139">
        <v>399</v>
      </c>
    </row>
    <row r="402" spans="1:1">
      <c r="A402" s="139">
        <v>400</v>
      </c>
    </row>
    <row r="403" spans="1:1">
      <c r="A403" s="139">
        <v>401</v>
      </c>
    </row>
    <row r="404" spans="1:1">
      <c r="A404" s="139">
        <v>402</v>
      </c>
    </row>
    <row r="405" spans="1:1">
      <c r="A405" s="139">
        <v>403</v>
      </c>
    </row>
    <row r="406" spans="1:1">
      <c r="A406" s="139">
        <v>404</v>
      </c>
    </row>
    <row r="407" spans="1:1">
      <c r="A407" s="139">
        <v>405</v>
      </c>
    </row>
    <row r="408" spans="1:1">
      <c r="A408" s="139">
        <v>406</v>
      </c>
    </row>
    <row r="409" spans="1:1">
      <c r="A409" s="139">
        <v>407</v>
      </c>
    </row>
    <row r="410" spans="1:1">
      <c r="A410" s="139">
        <v>408</v>
      </c>
    </row>
    <row r="411" spans="1:1">
      <c r="A411" s="139">
        <v>409</v>
      </c>
    </row>
    <row r="412" spans="1:1">
      <c r="A412" s="139">
        <v>410</v>
      </c>
    </row>
    <row r="413" spans="1:1">
      <c r="A413" s="139">
        <v>411</v>
      </c>
    </row>
    <row r="414" spans="1:1">
      <c r="A414" s="139">
        <v>412</v>
      </c>
    </row>
    <row r="415" spans="1:1">
      <c r="A415" s="139">
        <v>413</v>
      </c>
    </row>
    <row r="416" spans="1:1">
      <c r="A416" s="139">
        <v>414</v>
      </c>
    </row>
    <row r="417" spans="1:1">
      <c r="A417" s="139">
        <v>415</v>
      </c>
    </row>
    <row r="418" spans="1:1">
      <c r="A418" s="139">
        <v>416</v>
      </c>
    </row>
    <row r="419" spans="1:1">
      <c r="A419" s="139">
        <v>417</v>
      </c>
    </row>
    <row r="420" spans="1:1">
      <c r="A420" s="139">
        <v>418</v>
      </c>
    </row>
    <row r="421" spans="1:1">
      <c r="A421" s="139">
        <v>419</v>
      </c>
    </row>
    <row r="422" spans="1:1">
      <c r="A422" s="139">
        <v>420</v>
      </c>
    </row>
    <row r="423" spans="1:1">
      <c r="A423" s="139">
        <v>421</v>
      </c>
    </row>
    <row r="424" spans="1:1">
      <c r="A424" s="139">
        <v>422</v>
      </c>
    </row>
    <row r="425" spans="1:1">
      <c r="A425" s="139">
        <v>423</v>
      </c>
    </row>
    <row r="426" spans="1:1">
      <c r="A426" s="139">
        <v>424</v>
      </c>
    </row>
    <row r="427" spans="1:1">
      <c r="A427" s="139">
        <v>425</v>
      </c>
    </row>
    <row r="428" spans="1:1">
      <c r="A428" s="139">
        <v>426</v>
      </c>
    </row>
    <row r="429" spans="1:1">
      <c r="A429" s="139">
        <v>427</v>
      </c>
    </row>
    <row r="430" spans="1:1">
      <c r="A430" s="139">
        <v>428</v>
      </c>
    </row>
    <row r="431" spans="1:1">
      <c r="A431" s="139">
        <v>429</v>
      </c>
    </row>
    <row r="432" spans="1:1">
      <c r="A432" s="139">
        <v>430</v>
      </c>
    </row>
    <row r="433" spans="1:1">
      <c r="A433" s="139">
        <v>431</v>
      </c>
    </row>
    <row r="434" spans="1:1">
      <c r="A434" s="139">
        <v>432</v>
      </c>
    </row>
    <row r="435" spans="1:1">
      <c r="A435" s="139">
        <v>433</v>
      </c>
    </row>
    <row r="436" spans="1:1">
      <c r="A436" s="139">
        <v>434</v>
      </c>
    </row>
    <row r="437" spans="1:1">
      <c r="A437" s="139">
        <v>435</v>
      </c>
    </row>
    <row r="438" spans="1:1">
      <c r="A438" s="139">
        <v>436</v>
      </c>
    </row>
    <row r="439" spans="1:1">
      <c r="A439" s="139">
        <v>437</v>
      </c>
    </row>
    <row r="440" spans="1:1">
      <c r="A440" s="139">
        <v>438</v>
      </c>
    </row>
    <row r="441" spans="1:1">
      <c r="A441" s="139">
        <v>439</v>
      </c>
    </row>
    <row r="442" spans="1:1">
      <c r="A442" s="139">
        <v>440</v>
      </c>
    </row>
    <row r="443" spans="1:1">
      <c r="A443" s="139">
        <v>441</v>
      </c>
    </row>
    <row r="444" spans="1:1">
      <c r="A444" s="139">
        <v>442</v>
      </c>
    </row>
    <row r="445" spans="1:1">
      <c r="A445" s="139">
        <v>443</v>
      </c>
    </row>
    <row r="446" spans="1:1">
      <c r="A446" s="139">
        <v>444</v>
      </c>
    </row>
    <row r="447" spans="1:1">
      <c r="A447" s="139">
        <v>445</v>
      </c>
    </row>
    <row r="448" spans="1:1">
      <c r="A448" s="139">
        <v>446</v>
      </c>
    </row>
    <row r="449" spans="1:1">
      <c r="A449" s="139">
        <v>447</v>
      </c>
    </row>
    <row r="450" spans="1:1">
      <c r="A450" s="139">
        <v>448</v>
      </c>
    </row>
    <row r="451" spans="1:1">
      <c r="A451" s="139">
        <v>449</v>
      </c>
    </row>
    <row r="452" spans="1:1">
      <c r="A452" s="139">
        <v>450</v>
      </c>
    </row>
    <row r="453" spans="1:1">
      <c r="A453" s="139">
        <v>451</v>
      </c>
    </row>
    <row r="454" spans="1:1">
      <c r="A454" s="139">
        <v>452</v>
      </c>
    </row>
    <row r="455" spans="1:1">
      <c r="A455" s="139">
        <v>453</v>
      </c>
    </row>
    <row r="456" spans="1:1">
      <c r="A456" s="139">
        <v>454</v>
      </c>
    </row>
    <row r="457" spans="1:1">
      <c r="A457" s="139">
        <v>455</v>
      </c>
    </row>
    <row r="458" spans="1:1">
      <c r="A458" s="139">
        <v>456</v>
      </c>
    </row>
    <row r="459" spans="1:1">
      <c r="A459" s="139">
        <v>457</v>
      </c>
    </row>
  </sheetData>
  <autoFilter ref="A2:H2" xr:uid="{1B5698D4-A871-487B-9DB9-A82EDE34A0C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E08E5-25C4-48DC-82BF-812418FDECCD}">
  <dimension ref="A1:N346"/>
  <sheetViews>
    <sheetView workbookViewId="0">
      <selection activeCell="F26" sqref="F26"/>
    </sheetView>
  </sheetViews>
  <sheetFormatPr baseColWidth="10" defaultColWidth="9.19921875" defaultRowHeight="15"/>
  <cols>
    <col min="1" max="1" width="4.796875" style="181" customWidth="1"/>
    <col min="2" max="2" width="39.19921875" style="139" customWidth="1"/>
    <col min="3" max="3" width="17.3984375" style="181" customWidth="1"/>
    <col min="4" max="4" width="9.3984375" style="139" bestFit="1" customWidth="1"/>
    <col min="5" max="5" width="17.796875" style="182" bestFit="1" customWidth="1"/>
    <col min="6" max="6" width="18.3984375" style="182" customWidth="1"/>
    <col min="7" max="8" width="9.3984375" style="139" bestFit="1" customWidth="1"/>
    <col min="9" max="9" width="11.19921875" style="139" customWidth="1"/>
    <col min="10" max="10" width="16.796875" style="139" bestFit="1" customWidth="1"/>
    <col min="11" max="11" width="9.19921875" style="139"/>
    <col min="12" max="12" width="25" style="195" customWidth="1"/>
    <col min="13" max="13" width="9.19921875" style="139"/>
    <col min="14" max="14" width="16.3984375" style="139" bestFit="1" customWidth="1"/>
    <col min="15" max="16384" width="9.19921875" style="139"/>
  </cols>
  <sheetData>
    <row r="1" spans="1:14">
      <c r="A1" s="327" t="s">
        <v>472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</row>
    <row r="2" spans="1:14" ht="32">
      <c r="A2" s="140" t="s">
        <v>0</v>
      </c>
      <c r="B2" s="141" t="s">
        <v>1</v>
      </c>
      <c r="C2" s="140" t="s">
        <v>473</v>
      </c>
      <c r="D2" s="141" t="s">
        <v>474</v>
      </c>
      <c r="E2" s="142" t="s">
        <v>475</v>
      </c>
      <c r="F2" s="142" t="s">
        <v>476</v>
      </c>
      <c r="G2" s="141" t="s">
        <v>477</v>
      </c>
      <c r="H2" s="141" t="s">
        <v>478</v>
      </c>
      <c r="I2" s="140" t="s">
        <v>479</v>
      </c>
      <c r="J2" s="141" t="s">
        <v>471</v>
      </c>
      <c r="K2" s="141" t="s">
        <v>480</v>
      </c>
    </row>
    <row r="3" spans="1:14" s="150" customFormat="1" ht="17">
      <c r="A3" s="143" t="s">
        <v>21</v>
      </c>
      <c r="B3" s="144" t="s">
        <v>347</v>
      </c>
      <c r="C3" s="143"/>
      <c r="D3" s="145"/>
      <c r="E3" s="146"/>
      <c r="F3" s="146"/>
      <c r="G3" s="147"/>
      <c r="H3" s="148"/>
      <c r="I3" s="145"/>
      <c r="J3" s="149"/>
      <c r="K3" s="145"/>
      <c r="L3" s="196"/>
    </row>
    <row r="4" spans="1:14" s="158" customFormat="1" ht="17">
      <c r="A4" s="151">
        <v>1</v>
      </c>
      <c r="B4" s="152" t="s">
        <v>49</v>
      </c>
      <c r="C4" s="151" t="e">
        <f>VLOOKUP(B4,#REF!,2,0)</f>
        <v>#REF!</v>
      </c>
      <c r="D4" s="153" t="e">
        <f>+VLOOKUP(B4,#REF!,6,0)</f>
        <v>#REF!</v>
      </c>
      <c r="E4" s="154">
        <v>5783000</v>
      </c>
      <c r="F4" s="192" t="e">
        <f>+VLOOKUP(B4,#REF!,149,0)</f>
        <v>#REF!</v>
      </c>
      <c r="G4" s="155" t="e">
        <f t="shared" ref="G4:G67" si="0">+F4/E4</f>
        <v>#REF!</v>
      </c>
      <c r="H4" s="156" t="e">
        <f t="shared" ref="H4:H65" si="1">+ROUND(G4*50,0)</f>
        <v>#REF!</v>
      </c>
      <c r="I4" s="153">
        <v>0</v>
      </c>
      <c r="J4" s="157" t="e">
        <f t="shared" ref="J4:J11" si="2">+F4-E4+I4</f>
        <v>#REF!</v>
      </c>
      <c r="K4" s="153"/>
      <c r="L4" s="197"/>
    </row>
    <row r="5" spans="1:14" s="158" customFormat="1" ht="17">
      <c r="A5" s="151">
        <v>2</v>
      </c>
      <c r="B5" s="152" t="s">
        <v>42</v>
      </c>
      <c r="C5" s="151" t="e">
        <f>VLOOKUP(B5,#REF!,2,0)</f>
        <v>#REF!</v>
      </c>
      <c r="D5" s="153" t="e">
        <f>+VLOOKUP(B5,#REF!,6,0)</f>
        <v>#REF!</v>
      </c>
      <c r="E5" s="154">
        <v>9614000</v>
      </c>
      <c r="F5" s="192" t="e">
        <f>+VLOOKUP(B5,#REF!,149,0)</f>
        <v>#REF!</v>
      </c>
      <c r="G5" s="155" t="e">
        <f t="shared" si="0"/>
        <v>#REF!</v>
      </c>
      <c r="H5" s="156" t="e">
        <f t="shared" si="1"/>
        <v>#REF!</v>
      </c>
      <c r="I5" s="153">
        <v>0</v>
      </c>
      <c r="J5" s="157" t="e">
        <f t="shared" si="2"/>
        <v>#REF!</v>
      </c>
      <c r="K5" s="153"/>
      <c r="L5" s="197"/>
    </row>
    <row r="6" spans="1:14" s="158" customFormat="1" ht="17">
      <c r="A6" s="151">
        <v>3</v>
      </c>
      <c r="B6" s="159" t="s">
        <v>342</v>
      </c>
      <c r="C6" s="151" t="e">
        <f>VLOOKUP(B6,#REF!,2,0)</f>
        <v>#REF!</v>
      </c>
      <c r="D6" s="153" t="e">
        <f>+VLOOKUP(B6,#REF!,6,0)</f>
        <v>#REF!</v>
      </c>
      <c r="E6" s="154">
        <v>16897000</v>
      </c>
      <c r="F6" s="176">
        <v>19697000</v>
      </c>
      <c r="G6" s="155">
        <f t="shared" si="0"/>
        <v>1.1657098893294668</v>
      </c>
      <c r="H6" s="156">
        <f t="shared" si="1"/>
        <v>58</v>
      </c>
      <c r="I6" s="153">
        <v>0</v>
      </c>
      <c r="J6" s="157">
        <f>+F6-E6+I6</f>
        <v>2800000</v>
      </c>
      <c r="K6" s="153"/>
      <c r="L6" s="197"/>
      <c r="N6" s="193">
        <f>+F6-E6</f>
        <v>2800000</v>
      </c>
    </row>
    <row r="7" spans="1:14" s="158" customFormat="1" ht="17">
      <c r="A7" s="151">
        <v>4</v>
      </c>
      <c r="B7" s="159" t="s">
        <v>30</v>
      </c>
      <c r="C7" s="151" t="e">
        <f>VLOOKUP(B7,#REF!,2,0)</f>
        <v>#REF!</v>
      </c>
      <c r="D7" s="153" t="e">
        <f>+VLOOKUP(B7,#REF!,6,0)</f>
        <v>#REF!</v>
      </c>
      <c r="E7" s="154">
        <v>6678000</v>
      </c>
      <c r="F7" s="192" t="e">
        <f>+VLOOKUP(B7,#REF!,149,0)</f>
        <v>#REF!</v>
      </c>
      <c r="G7" s="155" t="e">
        <f t="shared" si="0"/>
        <v>#REF!</v>
      </c>
      <c r="H7" s="156" t="e">
        <f t="shared" si="1"/>
        <v>#REF!</v>
      </c>
      <c r="I7" s="153">
        <v>0</v>
      </c>
      <c r="J7" s="157" t="e">
        <f t="shared" si="2"/>
        <v>#REF!</v>
      </c>
      <c r="K7" s="153"/>
      <c r="L7" s="197"/>
    </row>
    <row r="8" spans="1:14" s="158" customFormat="1" ht="17">
      <c r="A8" s="151">
        <v>5</v>
      </c>
      <c r="B8" s="159" t="s">
        <v>465</v>
      </c>
      <c r="C8" s="151" t="e">
        <f>VLOOKUP(B8,#REF!,2,0)</f>
        <v>#REF!</v>
      </c>
      <c r="D8" s="153" t="e">
        <f>+VLOOKUP(B8,#REF!,6,0)</f>
        <v>#REF!</v>
      </c>
      <c r="E8" s="154">
        <v>11118000</v>
      </c>
      <c r="F8" s="192" t="e">
        <f>+VLOOKUP(B8,#REF!,149,0)</f>
        <v>#REF!</v>
      </c>
      <c r="G8" s="155" t="e">
        <f t="shared" si="0"/>
        <v>#REF!</v>
      </c>
      <c r="H8" s="156" t="e">
        <f t="shared" si="1"/>
        <v>#REF!</v>
      </c>
      <c r="I8" s="153">
        <v>0</v>
      </c>
      <c r="J8" s="157" t="e">
        <f t="shared" si="2"/>
        <v>#REF!</v>
      </c>
      <c r="K8" s="153"/>
      <c r="L8" s="197"/>
    </row>
    <row r="9" spans="1:14" s="158" customFormat="1" ht="17">
      <c r="A9" s="151">
        <v>6</v>
      </c>
      <c r="B9" s="159" t="s">
        <v>470</v>
      </c>
      <c r="C9" s="151" t="e">
        <f>VLOOKUP(B9,#REF!,2,0)</f>
        <v>#REF!</v>
      </c>
      <c r="D9" s="153" t="e">
        <f>+VLOOKUP(B9,#REF!,6,0)</f>
        <v>#REF!</v>
      </c>
      <c r="E9" s="154">
        <v>1206000</v>
      </c>
      <c r="F9" s="176" t="e">
        <f>+VLOOKUP(B9,#REF!,149,0)</f>
        <v>#REF!</v>
      </c>
      <c r="G9" s="155" t="e">
        <f t="shared" si="0"/>
        <v>#REF!</v>
      </c>
      <c r="H9" s="156" t="e">
        <f t="shared" si="1"/>
        <v>#REF!</v>
      </c>
      <c r="I9" s="153">
        <v>0</v>
      </c>
      <c r="J9" s="157" t="e">
        <f t="shared" si="2"/>
        <v>#REF!</v>
      </c>
      <c r="K9" s="153"/>
      <c r="L9" s="197"/>
    </row>
    <row r="10" spans="1:14" s="158" customFormat="1" ht="17">
      <c r="A10" s="151">
        <v>7</v>
      </c>
      <c r="B10" s="159" t="s">
        <v>321</v>
      </c>
      <c r="C10" s="151" t="e">
        <f>VLOOKUP(B10,#REF!,2,0)</f>
        <v>#REF!</v>
      </c>
      <c r="D10" s="153" t="e">
        <f>+VLOOKUP(B10,#REF!,6,0)</f>
        <v>#REF!</v>
      </c>
      <c r="E10" s="154">
        <v>12507000</v>
      </c>
      <c r="F10" s="176">
        <v>15257000</v>
      </c>
      <c r="G10" s="155">
        <f t="shared" si="0"/>
        <v>1.2198768689533861</v>
      </c>
      <c r="H10" s="156">
        <f t="shared" si="1"/>
        <v>61</v>
      </c>
      <c r="I10" s="153">
        <v>0</v>
      </c>
      <c r="J10" s="157">
        <f t="shared" si="2"/>
        <v>2750000</v>
      </c>
      <c r="K10" s="153"/>
      <c r="L10" s="197"/>
    </row>
    <row r="11" spans="1:14" s="158" customFormat="1" ht="17">
      <c r="A11" s="151">
        <v>8</v>
      </c>
      <c r="B11" s="152" t="s">
        <v>179</v>
      </c>
      <c r="C11" s="151" t="e">
        <f>VLOOKUP(B11,#REF!,2,0)</f>
        <v>#REF!</v>
      </c>
      <c r="D11" s="153" t="e">
        <f>+VLOOKUP(B11,#REF!,6,0)</f>
        <v>#REF!</v>
      </c>
      <c r="E11" s="154">
        <v>12507000</v>
      </c>
      <c r="F11" s="176">
        <v>15155000</v>
      </c>
      <c r="G11" s="155">
        <f t="shared" si="0"/>
        <v>1.2117214359958424</v>
      </c>
      <c r="H11" s="156">
        <f t="shared" si="1"/>
        <v>61</v>
      </c>
      <c r="I11" s="153">
        <v>0</v>
      </c>
      <c r="J11" s="157">
        <f t="shared" si="2"/>
        <v>2648000</v>
      </c>
      <c r="K11" s="153"/>
      <c r="L11" s="197"/>
    </row>
    <row r="12" spans="1:14" s="158" customFormat="1" ht="17">
      <c r="A12" s="160" t="s">
        <v>22</v>
      </c>
      <c r="B12" s="144" t="s">
        <v>386</v>
      </c>
      <c r="C12" s="151" t="e">
        <f>VLOOKUP(B12,#REF!,2,0)</f>
        <v>#REF!</v>
      </c>
      <c r="D12" s="153" t="e">
        <f>+VLOOKUP(B12,#REF!,6,0)</f>
        <v>#REF!</v>
      </c>
      <c r="E12" s="154">
        <v>24808000</v>
      </c>
      <c r="F12" s="154" t="e">
        <f>+VLOOKUP(B12,#REF!,149,0)</f>
        <v>#REF!</v>
      </c>
      <c r="G12" s="155" t="e">
        <f t="shared" si="0"/>
        <v>#REF!</v>
      </c>
      <c r="H12" s="156"/>
      <c r="I12" s="153"/>
      <c r="J12" s="157"/>
      <c r="K12" s="153"/>
      <c r="L12" s="197"/>
    </row>
    <row r="13" spans="1:14" s="158" customFormat="1" ht="17">
      <c r="A13" s="161">
        <v>9</v>
      </c>
      <c r="B13" s="152" t="s">
        <v>51</v>
      </c>
      <c r="C13" s="151" t="e">
        <f>VLOOKUP(B13,#REF!,2,0)</f>
        <v>#REF!</v>
      </c>
      <c r="D13" s="153" t="e">
        <f>+VLOOKUP(B13,#REF!,6,0)</f>
        <v>#REF!</v>
      </c>
      <c r="E13" s="154">
        <v>11795000</v>
      </c>
      <c r="F13" s="154" t="e">
        <f>+VLOOKUP(B13,#REF!,149,0)</f>
        <v>#REF!</v>
      </c>
      <c r="G13" s="155" t="e">
        <f t="shared" si="0"/>
        <v>#REF!</v>
      </c>
      <c r="H13" s="156" t="e">
        <f t="shared" si="1"/>
        <v>#REF!</v>
      </c>
      <c r="I13" s="153">
        <v>0</v>
      </c>
      <c r="J13" s="157" t="e">
        <f t="shared" ref="J13:J76" si="3">+F13-E13+I13</f>
        <v>#REF!</v>
      </c>
      <c r="K13" s="153"/>
      <c r="L13" s="197"/>
    </row>
    <row r="14" spans="1:14" s="166" customFormat="1" ht="17">
      <c r="A14" s="162">
        <v>10</v>
      </c>
      <c r="B14" s="163" t="s">
        <v>52</v>
      </c>
      <c r="C14" s="151" t="e">
        <f>VLOOKUP(B14,#REF!,2,0)</f>
        <v>#REF!</v>
      </c>
      <c r="D14" s="153" t="e">
        <f>+VLOOKUP(B14,#REF!,6,0)</f>
        <v>#REF!</v>
      </c>
      <c r="E14" s="154">
        <v>11049000</v>
      </c>
      <c r="F14" s="154" t="e">
        <f>+VLOOKUP(B14,#REF!,149,0)</f>
        <v>#REF!</v>
      </c>
      <c r="G14" s="194" t="e">
        <f t="shared" si="0"/>
        <v>#REF!</v>
      </c>
      <c r="H14" s="165" t="e">
        <f>+ROUND(G14*50,0)</f>
        <v>#REF!</v>
      </c>
      <c r="I14" s="164">
        <v>0</v>
      </c>
      <c r="J14" s="157" t="e">
        <f t="shared" si="3"/>
        <v>#REF!</v>
      </c>
      <c r="K14" s="164"/>
      <c r="L14" s="198"/>
      <c r="N14" s="166">
        <f>11351-302</f>
        <v>11049</v>
      </c>
    </row>
    <row r="15" spans="1:14" s="158" customFormat="1" ht="17">
      <c r="A15" s="161">
        <v>11</v>
      </c>
      <c r="B15" s="152" t="s">
        <v>337</v>
      </c>
      <c r="C15" s="151" t="e">
        <f>VLOOKUP(B15,#REF!,2,0)</f>
        <v>#REF!</v>
      </c>
      <c r="D15" s="153" t="e">
        <f>+VLOOKUP(B15,#REF!,6,0)</f>
        <v>#REF!</v>
      </c>
      <c r="E15" s="154">
        <v>11018000</v>
      </c>
      <c r="F15" s="154" t="e">
        <f>+VLOOKUP(B15,#REF!,149,0)</f>
        <v>#REF!</v>
      </c>
      <c r="G15" s="155" t="e">
        <f t="shared" si="0"/>
        <v>#REF!</v>
      </c>
      <c r="H15" s="156" t="e">
        <f t="shared" si="1"/>
        <v>#REF!</v>
      </c>
      <c r="I15" s="153">
        <v>0</v>
      </c>
      <c r="J15" s="157" t="e">
        <f t="shared" si="3"/>
        <v>#REF!</v>
      </c>
      <c r="K15" s="153"/>
      <c r="L15" s="197"/>
    </row>
    <row r="16" spans="1:14" s="158" customFormat="1" ht="17">
      <c r="A16" s="160" t="s">
        <v>23</v>
      </c>
      <c r="B16" s="144" t="s">
        <v>387</v>
      </c>
      <c r="C16" s="151" t="e">
        <f>VLOOKUP(B16,#REF!,2,0)</f>
        <v>#REF!</v>
      </c>
      <c r="D16" s="153" t="e">
        <f>+VLOOKUP(B16,#REF!,6,0)</f>
        <v>#REF!</v>
      </c>
      <c r="E16" s="154">
        <v>37557000</v>
      </c>
      <c r="F16" s="154" t="e">
        <f>+VLOOKUP(B16,#REF!,149,0)</f>
        <v>#REF!</v>
      </c>
      <c r="G16" s="155" t="e">
        <f t="shared" si="0"/>
        <v>#REF!</v>
      </c>
      <c r="H16" s="156"/>
      <c r="I16" s="153"/>
      <c r="J16" s="157"/>
      <c r="K16" s="153"/>
      <c r="L16" s="197"/>
    </row>
    <row r="17" spans="1:14" s="158" customFormat="1" ht="17">
      <c r="A17" s="167">
        <v>12</v>
      </c>
      <c r="B17" s="168" t="s">
        <v>56</v>
      </c>
      <c r="C17" s="151" t="e">
        <f>VLOOKUP(B17,#REF!,2,0)</f>
        <v>#REF!</v>
      </c>
      <c r="D17" s="153" t="e">
        <f>+VLOOKUP(B17,#REF!,6,0)</f>
        <v>#REF!</v>
      </c>
      <c r="E17" s="154">
        <v>1690000</v>
      </c>
      <c r="F17" s="154" t="e">
        <f>+VLOOKUP(B17,#REF!,149,0)</f>
        <v>#REF!</v>
      </c>
      <c r="G17" s="155" t="e">
        <f t="shared" si="0"/>
        <v>#REF!</v>
      </c>
      <c r="H17" s="156" t="e">
        <f t="shared" si="1"/>
        <v>#REF!</v>
      </c>
      <c r="I17" s="153">
        <v>0</v>
      </c>
      <c r="J17" s="157" t="e">
        <f t="shared" si="3"/>
        <v>#REF!</v>
      </c>
      <c r="K17" s="153"/>
      <c r="L17" s="197" t="s">
        <v>522</v>
      </c>
    </row>
    <row r="18" spans="1:14" s="158" customFormat="1" ht="17">
      <c r="A18" s="161">
        <v>13</v>
      </c>
      <c r="B18" s="152" t="s">
        <v>57</v>
      </c>
      <c r="C18" s="151" t="e">
        <f>VLOOKUP(B18,#REF!,2,0)</f>
        <v>#REF!</v>
      </c>
      <c r="D18" s="153" t="e">
        <f>+VLOOKUP(B18,#REF!,6,0)</f>
        <v>#REF!</v>
      </c>
      <c r="E18" s="154">
        <v>6829000</v>
      </c>
      <c r="F18" s="154" t="e">
        <f>+VLOOKUP(B18,#REF!,149,0)</f>
        <v>#REF!</v>
      </c>
      <c r="G18" s="155" t="e">
        <f t="shared" si="0"/>
        <v>#REF!</v>
      </c>
      <c r="H18" s="156" t="e">
        <f t="shared" si="1"/>
        <v>#REF!</v>
      </c>
      <c r="I18" s="153">
        <v>0</v>
      </c>
      <c r="J18" s="157" t="e">
        <f t="shared" si="3"/>
        <v>#REF!</v>
      </c>
      <c r="K18" s="153"/>
      <c r="L18" s="197"/>
    </row>
    <row r="19" spans="1:14" s="158" customFormat="1" ht="17">
      <c r="A19" s="161">
        <v>14</v>
      </c>
      <c r="B19" s="152" t="s">
        <v>191</v>
      </c>
      <c r="C19" s="151" t="e">
        <f>VLOOKUP(B19,#REF!,2,0)</f>
        <v>#REF!</v>
      </c>
      <c r="D19" s="153" t="e">
        <f>+VLOOKUP(B19,#REF!,6,0)</f>
        <v>#REF!</v>
      </c>
      <c r="E19" s="154">
        <v>5815000</v>
      </c>
      <c r="F19" s="154" t="e">
        <f>+VLOOKUP(B19,#REF!,149,0)</f>
        <v>#REF!</v>
      </c>
      <c r="G19" s="155" t="e">
        <f t="shared" si="0"/>
        <v>#REF!</v>
      </c>
      <c r="H19" s="156" t="e">
        <f t="shared" si="1"/>
        <v>#REF!</v>
      </c>
      <c r="I19" s="153">
        <v>0</v>
      </c>
      <c r="J19" s="157" t="e">
        <f t="shared" si="3"/>
        <v>#REF!</v>
      </c>
      <c r="K19" s="153"/>
      <c r="L19" s="197"/>
      <c r="N19" s="169"/>
    </row>
    <row r="20" spans="1:14" s="158" customFormat="1" ht="17">
      <c r="A20" s="161">
        <v>15</v>
      </c>
      <c r="B20" s="159" t="s">
        <v>436</v>
      </c>
      <c r="C20" s="151" t="e">
        <f>VLOOKUP(B20,#REF!,2,0)</f>
        <v>#REF!</v>
      </c>
      <c r="D20" s="153" t="e">
        <f>+VLOOKUP(B20,#REF!,6,0)</f>
        <v>#REF!</v>
      </c>
      <c r="E20" s="154">
        <v>10373000</v>
      </c>
      <c r="F20" s="154" t="e">
        <f>+VLOOKUP(B20,#REF!,149,0)</f>
        <v>#REF!</v>
      </c>
      <c r="G20" s="155" t="e">
        <f t="shared" si="0"/>
        <v>#REF!</v>
      </c>
      <c r="H20" s="156" t="e">
        <f t="shared" si="1"/>
        <v>#REF!</v>
      </c>
      <c r="I20" s="153">
        <v>0</v>
      </c>
      <c r="J20" s="157" t="e">
        <f t="shared" si="3"/>
        <v>#REF!</v>
      </c>
      <c r="K20" s="153"/>
      <c r="L20" s="197"/>
    </row>
    <row r="21" spans="1:14" s="158" customFormat="1" ht="17">
      <c r="A21" s="161">
        <v>16</v>
      </c>
      <c r="B21" s="170" t="s">
        <v>415</v>
      </c>
      <c r="C21" s="151" t="e">
        <f>VLOOKUP(B21,#REF!,2,0)</f>
        <v>#REF!</v>
      </c>
      <c r="D21" s="153" t="e">
        <f>+VLOOKUP(B21,#REF!,6,0)</f>
        <v>#REF!</v>
      </c>
      <c r="E21" s="154">
        <v>5818000</v>
      </c>
      <c r="F21" s="154" t="e">
        <f>+VLOOKUP(B21,#REF!,149,0)</f>
        <v>#REF!</v>
      </c>
      <c r="G21" s="155" t="e">
        <f t="shared" si="0"/>
        <v>#REF!</v>
      </c>
      <c r="H21" s="156" t="e">
        <f t="shared" si="1"/>
        <v>#REF!</v>
      </c>
      <c r="I21" s="153">
        <v>0</v>
      </c>
      <c r="J21" s="157" t="e">
        <f t="shared" si="3"/>
        <v>#REF!</v>
      </c>
      <c r="K21" s="153"/>
      <c r="L21" s="197"/>
    </row>
    <row r="22" spans="1:14" s="158" customFormat="1" ht="17">
      <c r="A22" s="161">
        <v>17</v>
      </c>
      <c r="B22" s="152" t="s">
        <v>319</v>
      </c>
      <c r="C22" s="151" t="e">
        <f>VLOOKUP(B22,#REF!,2,0)</f>
        <v>#REF!</v>
      </c>
      <c r="D22" s="153" t="e">
        <f>+VLOOKUP(B22,#REF!,6,0)</f>
        <v>#REF!</v>
      </c>
      <c r="E22" s="154">
        <v>6829000</v>
      </c>
      <c r="F22" s="154" t="e">
        <f>+VLOOKUP(B22,#REF!,149,0)</f>
        <v>#REF!</v>
      </c>
      <c r="G22" s="155" t="e">
        <f t="shared" si="0"/>
        <v>#REF!</v>
      </c>
      <c r="H22" s="156" t="e">
        <f t="shared" si="1"/>
        <v>#REF!</v>
      </c>
      <c r="I22" s="153">
        <v>0</v>
      </c>
      <c r="J22" s="157" t="e">
        <f t="shared" si="3"/>
        <v>#REF!</v>
      </c>
      <c r="K22" s="153"/>
      <c r="L22" s="197"/>
    </row>
    <row r="23" spans="1:14" s="158" customFormat="1" ht="17">
      <c r="A23" s="160" t="s">
        <v>24</v>
      </c>
      <c r="B23" s="144" t="s">
        <v>388</v>
      </c>
      <c r="C23" s="151" t="e">
        <f>VLOOKUP(B23,#REF!,2,0)</f>
        <v>#REF!</v>
      </c>
      <c r="D23" s="153" t="e">
        <f>+VLOOKUP(B23,#REF!,6,0)</f>
        <v>#REF!</v>
      </c>
      <c r="E23" s="154">
        <v>238226000</v>
      </c>
      <c r="F23" s="154" t="e">
        <f>+VLOOKUP(B23,#REF!,149,0)</f>
        <v>#REF!</v>
      </c>
      <c r="G23" s="155" t="e">
        <f t="shared" si="0"/>
        <v>#REF!</v>
      </c>
      <c r="H23" s="156"/>
      <c r="I23" s="153"/>
      <c r="J23" s="157"/>
      <c r="K23" s="153"/>
      <c r="L23" s="197"/>
    </row>
    <row r="24" spans="1:14" s="158" customFormat="1" ht="17">
      <c r="A24" s="161">
        <v>18</v>
      </c>
      <c r="B24" s="152" t="s">
        <v>91</v>
      </c>
      <c r="C24" s="151" t="e">
        <f>VLOOKUP(B24,#REF!,2,0)</f>
        <v>#REF!</v>
      </c>
      <c r="D24" s="153" t="e">
        <f>+VLOOKUP(B24,#REF!,6,0)</f>
        <v>#REF!</v>
      </c>
      <c r="E24" s="154">
        <v>7225000</v>
      </c>
      <c r="F24" s="154" t="e">
        <f>+VLOOKUP(B24,#REF!,149,0)</f>
        <v>#REF!</v>
      </c>
      <c r="G24" s="155" t="e">
        <f t="shared" si="0"/>
        <v>#REF!</v>
      </c>
      <c r="H24" s="156" t="e">
        <f t="shared" si="1"/>
        <v>#REF!</v>
      </c>
      <c r="I24" s="153">
        <v>0</v>
      </c>
      <c r="J24" s="157" t="e">
        <f t="shared" si="3"/>
        <v>#REF!</v>
      </c>
      <c r="K24" s="153"/>
      <c r="L24" s="197"/>
    </row>
    <row r="25" spans="1:14" s="158" customFormat="1" ht="17">
      <c r="A25" s="161">
        <v>19</v>
      </c>
      <c r="B25" s="152" t="s">
        <v>97</v>
      </c>
      <c r="C25" s="151" t="e">
        <f>VLOOKUP(B25,#REF!,2,0)</f>
        <v>#REF!</v>
      </c>
      <c r="D25" s="153" t="e">
        <f>+VLOOKUP(B25,#REF!,6,0)</f>
        <v>#REF!</v>
      </c>
      <c r="E25" s="154">
        <v>4403000</v>
      </c>
      <c r="F25" s="154" t="e">
        <f>+VLOOKUP(B25,#REF!,149,0)</f>
        <v>#REF!</v>
      </c>
      <c r="G25" s="155" t="e">
        <f t="shared" si="0"/>
        <v>#REF!</v>
      </c>
      <c r="H25" s="156" t="e">
        <f t="shared" si="1"/>
        <v>#REF!</v>
      </c>
      <c r="I25" s="153">
        <v>0</v>
      </c>
      <c r="J25" s="157" t="e">
        <f t="shared" si="3"/>
        <v>#REF!</v>
      </c>
      <c r="K25" s="153"/>
      <c r="L25" s="197"/>
    </row>
    <row r="26" spans="1:14" s="158" customFormat="1" ht="17">
      <c r="A26" s="161">
        <v>20</v>
      </c>
      <c r="B26" s="170" t="s">
        <v>398</v>
      </c>
      <c r="C26" s="151" t="e">
        <f>VLOOKUP(B26,#REF!,2,0)</f>
        <v>#REF!</v>
      </c>
      <c r="D26" s="153" t="e">
        <f>+VLOOKUP(B26,#REF!,6,0)</f>
        <v>#REF!</v>
      </c>
      <c r="E26" s="154">
        <v>7446000</v>
      </c>
      <c r="F26" s="154" t="e">
        <f>+VLOOKUP(B26,#REF!,149,0)</f>
        <v>#REF!</v>
      </c>
      <c r="G26" s="155" t="e">
        <f t="shared" si="0"/>
        <v>#REF!</v>
      </c>
      <c r="H26" s="156" t="e">
        <f t="shared" si="1"/>
        <v>#REF!</v>
      </c>
      <c r="I26" s="153">
        <v>0</v>
      </c>
      <c r="J26" s="157" t="e">
        <f t="shared" si="3"/>
        <v>#REF!</v>
      </c>
      <c r="K26" s="153"/>
      <c r="L26" s="197"/>
    </row>
    <row r="27" spans="1:14" s="158" customFormat="1" ht="17">
      <c r="A27" s="161">
        <v>21</v>
      </c>
      <c r="B27" s="170" t="s">
        <v>416</v>
      </c>
      <c r="C27" s="151" t="e">
        <f>VLOOKUP(B27,#REF!,2,0)</f>
        <v>#REF!</v>
      </c>
      <c r="D27" s="153" t="e">
        <f>+VLOOKUP(B27,#REF!,6,0)</f>
        <v>#REF!</v>
      </c>
      <c r="E27" s="154">
        <v>9531000</v>
      </c>
      <c r="F27" s="154" t="e">
        <f>+VLOOKUP(B27,#REF!,149,0)</f>
        <v>#REF!</v>
      </c>
      <c r="G27" s="155" t="e">
        <f t="shared" si="0"/>
        <v>#REF!</v>
      </c>
      <c r="H27" s="156" t="e">
        <f t="shared" si="1"/>
        <v>#REF!</v>
      </c>
      <c r="I27" s="153">
        <v>0</v>
      </c>
      <c r="J27" s="157" t="e">
        <f t="shared" si="3"/>
        <v>#REF!</v>
      </c>
      <c r="K27" s="153"/>
      <c r="L27" s="197"/>
    </row>
    <row r="28" spans="1:14" s="223" customFormat="1" ht="17">
      <c r="A28" s="184">
        <v>22</v>
      </c>
      <c r="B28" s="185" t="s">
        <v>92</v>
      </c>
      <c r="C28" s="217" t="e">
        <f>VLOOKUP(B28,#REF!,2,0)</f>
        <v>#REF!</v>
      </c>
      <c r="D28" s="218" t="e">
        <f>+VLOOKUP(B28,#REF!,6,0)</f>
        <v>#REF!</v>
      </c>
      <c r="E28" s="219">
        <v>1898000</v>
      </c>
      <c r="F28" s="219" t="e">
        <f>+VLOOKUP(B28,#REF!,149,0)</f>
        <v>#REF!</v>
      </c>
      <c r="G28" s="220" t="e">
        <f t="shared" si="0"/>
        <v>#REF!</v>
      </c>
      <c r="H28" s="221" t="e">
        <f t="shared" si="1"/>
        <v>#REF!</v>
      </c>
      <c r="I28" s="218">
        <v>0</v>
      </c>
      <c r="J28" s="222" t="e">
        <f t="shared" si="3"/>
        <v>#REF!</v>
      </c>
      <c r="K28" s="218"/>
    </row>
    <row r="29" spans="1:14" s="158" customFormat="1" ht="17">
      <c r="A29" s="161">
        <v>23</v>
      </c>
      <c r="B29" s="152" t="s">
        <v>93</v>
      </c>
      <c r="C29" s="151" t="e">
        <f>VLOOKUP(B29,#REF!,2,0)</f>
        <v>#REF!</v>
      </c>
      <c r="D29" s="153" t="e">
        <f>+VLOOKUP(B29,#REF!,6,0)</f>
        <v>#REF!</v>
      </c>
      <c r="E29" s="154">
        <v>7432000</v>
      </c>
      <c r="F29" s="154" t="e">
        <f>+VLOOKUP(B29,#REF!,149,0)</f>
        <v>#REF!</v>
      </c>
      <c r="G29" s="155" t="e">
        <f t="shared" si="0"/>
        <v>#REF!</v>
      </c>
      <c r="H29" s="156" t="e">
        <f t="shared" si="1"/>
        <v>#REF!</v>
      </c>
      <c r="I29" s="153">
        <v>0</v>
      </c>
      <c r="J29" s="157" t="e">
        <f t="shared" si="3"/>
        <v>#REF!</v>
      </c>
      <c r="K29" s="153"/>
      <c r="L29" s="197"/>
    </row>
    <row r="30" spans="1:14" s="158" customFormat="1" ht="17">
      <c r="A30" s="161">
        <v>24</v>
      </c>
      <c r="B30" s="152" t="s">
        <v>31</v>
      </c>
      <c r="C30" s="151" t="e">
        <f>VLOOKUP(B30,#REF!,2,0)</f>
        <v>#REF!</v>
      </c>
      <c r="D30" s="153" t="e">
        <f>+VLOOKUP(B30,#REF!,6,0)</f>
        <v>#REF!</v>
      </c>
      <c r="E30" s="154">
        <v>8647000</v>
      </c>
      <c r="F30" s="154" t="e">
        <f>+VLOOKUP(B30,#REF!,149,0)</f>
        <v>#REF!</v>
      </c>
      <c r="G30" s="155" t="e">
        <f t="shared" si="0"/>
        <v>#REF!</v>
      </c>
      <c r="H30" s="156" t="e">
        <f t="shared" si="1"/>
        <v>#REF!</v>
      </c>
      <c r="I30" s="153">
        <v>0</v>
      </c>
      <c r="J30" s="157" t="e">
        <f t="shared" si="3"/>
        <v>#REF!</v>
      </c>
      <c r="K30" s="153"/>
      <c r="L30" s="197"/>
    </row>
    <row r="31" spans="1:14" s="158" customFormat="1" ht="17">
      <c r="A31" s="161">
        <v>25</v>
      </c>
      <c r="B31" s="152" t="s">
        <v>94</v>
      </c>
      <c r="C31" s="151" t="e">
        <f>VLOOKUP(B31,#REF!,2,0)</f>
        <v>#REF!</v>
      </c>
      <c r="D31" s="153" t="e">
        <f>+VLOOKUP(B31,#REF!,6,0)</f>
        <v>#REF!</v>
      </c>
      <c r="E31" s="154">
        <v>10249000</v>
      </c>
      <c r="F31" s="154" t="e">
        <f>+VLOOKUP(B31,#REF!,149,0)</f>
        <v>#REF!</v>
      </c>
      <c r="G31" s="155" t="e">
        <f t="shared" si="0"/>
        <v>#REF!</v>
      </c>
      <c r="H31" s="156" t="e">
        <f t="shared" si="1"/>
        <v>#REF!</v>
      </c>
      <c r="I31" s="153">
        <v>0</v>
      </c>
      <c r="J31" s="157" t="e">
        <f t="shared" si="3"/>
        <v>#REF!</v>
      </c>
      <c r="K31" s="153"/>
      <c r="L31" s="197"/>
    </row>
    <row r="32" spans="1:14" s="158" customFormat="1" ht="17">
      <c r="A32" s="161">
        <v>26</v>
      </c>
      <c r="B32" s="152" t="s">
        <v>95</v>
      </c>
      <c r="C32" s="151" t="e">
        <f>VLOOKUP(B32,#REF!,2,0)</f>
        <v>#REF!</v>
      </c>
      <c r="D32" s="153" t="e">
        <f>+VLOOKUP(B32,#REF!,6,0)</f>
        <v>#REF!</v>
      </c>
      <c r="E32" s="154">
        <v>8647000</v>
      </c>
      <c r="F32" s="154" t="e">
        <f>+VLOOKUP(B32,#REF!,149,0)</f>
        <v>#REF!</v>
      </c>
      <c r="G32" s="155" t="e">
        <f t="shared" si="0"/>
        <v>#REF!</v>
      </c>
      <c r="H32" s="156" t="e">
        <f t="shared" si="1"/>
        <v>#REF!</v>
      </c>
      <c r="I32" s="153">
        <v>0</v>
      </c>
      <c r="J32" s="157" t="e">
        <f t="shared" si="3"/>
        <v>#REF!</v>
      </c>
      <c r="K32" s="153"/>
      <c r="L32" s="197"/>
      <c r="M32" s="158">
        <f>8857-210</f>
        <v>8647</v>
      </c>
    </row>
    <row r="33" spans="1:12" s="158" customFormat="1" ht="17">
      <c r="A33" s="161">
        <v>27</v>
      </c>
      <c r="B33" s="152" t="s">
        <v>63</v>
      </c>
      <c r="C33" s="151" t="e">
        <f>VLOOKUP(B33,#REF!,2,0)</f>
        <v>#REF!</v>
      </c>
      <c r="D33" s="153" t="e">
        <f>+VLOOKUP(B33,#REF!,6,0)</f>
        <v>#REF!</v>
      </c>
      <c r="E33" s="154">
        <v>8247000</v>
      </c>
      <c r="F33" s="154" t="e">
        <f>+VLOOKUP(B33,#REF!,149,0)</f>
        <v>#REF!</v>
      </c>
      <c r="G33" s="155" t="e">
        <f t="shared" si="0"/>
        <v>#REF!</v>
      </c>
      <c r="H33" s="156" t="e">
        <f t="shared" si="1"/>
        <v>#REF!</v>
      </c>
      <c r="I33" s="153">
        <v>0</v>
      </c>
      <c r="J33" s="157" t="e">
        <f t="shared" si="3"/>
        <v>#REF!</v>
      </c>
      <c r="K33" s="153"/>
      <c r="L33" s="197"/>
    </row>
    <row r="34" spans="1:12" s="158" customFormat="1" ht="17">
      <c r="A34" s="161">
        <v>28</v>
      </c>
      <c r="B34" s="152" t="s">
        <v>96</v>
      </c>
      <c r="C34" s="151" t="e">
        <f>VLOOKUP(B34,#REF!,2,0)</f>
        <v>#REF!</v>
      </c>
      <c r="D34" s="153" t="e">
        <f>+VLOOKUP(B34,#REF!,6,0)</f>
        <v>#REF!</v>
      </c>
      <c r="E34" s="154">
        <v>10249000</v>
      </c>
      <c r="F34" s="154" t="e">
        <f>+VLOOKUP(B34,#REF!,149,0)</f>
        <v>#REF!</v>
      </c>
      <c r="G34" s="155" t="e">
        <f t="shared" si="0"/>
        <v>#REF!</v>
      </c>
      <c r="H34" s="156" t="e">
        <f t="shared" si="1"/>
        <v>#REF!</v>
      </c>
      <c r="I34" s="153">
        <v>0</v>
      </c>
      <c r="J34" s="157" t="e">
        <f t="shared" si="3"/>
        <v>#REF!</v>
      </c>
      <c r="K34" s="153"/>
      <c r="L34" s="197"/>
    </row>
    <row r="35" spans="1:12" s="158" customFormat="1" ht="17">
      <c r="A35" s="161">
        <v>29</v>
      </c>
      <c r="B35" s="152" t="s">
        <v>98</v>
      </c>
      <c r="C35" s="151" t="e">
        <f>VLOOKUP(B35,#REF!,2,0)</f>
        <v>#REF!</v>
      </c>
      <c r="D35" s="153" t="e">
        <f>+VLOOKUP(B35,#REF!,6,0)</f>
        <v>#REF!</v>
      </c>
      <c r="E35" s="154">
        <v>7533000</v>
      </c>
      <c r="F35" s="154" t="e">
        <f>+VLOOKUP(B35,#REF!,149,0)</f>
        <v>#REF!</v>
      </c>
      <c r="G35" s="155" t="e">
        <f t="shared" si="0"/>
        <v>#REF!</v>
      </c>
      <c r="H35" s="156" t="e">
        <f t="shared" si="1"/>
        <v>#REF!</v>
      </c>
      <c r="I35" s="153">
        <v>0</v>
      </c>
      <c r="J35" s="157" t="e">
        <f t="shared" si="3"/>
        <v>#REF!</v>
      </c>
      <c r="K35" s="153"/>
      <c r="L35" s="197"/>
    </row>
    <row r="36" spans="1:12" s="158" customFormat="1" ht="17">
      <c r="A36" s="161">
        <v>30</v>
      </c>
      <c r="B36" s="152" t="s">
        <v>99</v>
      </c>
      <c r="C36" s="151" t="e">
        <f>VLOOKUP(B36,#REF!,2,0)</f>
        <v>#REF!</v>
      </c>
      <c r="D36" s="153" t="e">
        <f>+VLOOKUP(B36,#REF!,6,0)</f>
        <v>#REF!</v>
      </c>
      <c r="E36" s="154">
        <v>7239000</v>
      </c>
      <c r="F36" s="154" t="e">
        <f>+VLOOKUP(B36,#REF!,149,0)</f>
        <v>#REF!</v>
      </c>
      <c r="G36" s="155" t="e">
        <f t="shared" si="0"/>
        <v>#REF!</v>
      </c>
      <c r="H36" s="156" t="e">
        <f t="shared" si="1"/>
        <v>#REF!</v>
      </c>
      <c r="I36" s="153">
        <v>0</v>
      </c>
      <c r="J36" s="157" t="e">
        <f t="shared" si="3"/>
        <v>#REF!</v>
      </c>
      <c r="K36" s="153"/>
      <c r="L36" s="197"/>
    </row>
    <row r="37" spans="1:12" s="158" customFormat="1" ht="17">
      <c r="A37" s="161">
        <v>31</v>
      </c>
      <c r="B37" s="170" t="s">
        <v>399</v>
      </c>
      <c r="C37" s="151" t="e">
        <f>VLOOKUP(B37,#REF!,2,0)</f>
        <v>#REF!</v>
      </c>
      <c r="D37" s="153" t="e">
        <f>+VLOOKUP(B37,#REF!,6,0)</f>
        <v>#REF!</v>
      </c>
      <c r="E37" s="154">
        <v>9448000</v>
      </c>
      <c r="F37" s="154" t="e">
        <f>+VLOOKUP(B37,#REF!,149,0)</f>
        <v>#REF!</v>
      </c>
      <c r="G37" s="155" t="e">
        <f t="shared" si="0"/>
        <v>#REF!</v>
      </c>
      <c r="H37" s="156" t="e">
        <f t="shared" si="1"/>
        <v>#REF!</v>
      </c>
      <c r="I37" s="153">
        <v>0</v>
      </c>
      <c r="J37" s="157" t="e">
        <f t="shared" si="3"/>
        <v>#REF!</v>
      </c>
      <c r="K37" s="153"/>
      <c r="L37" s="197"/>
    </row>
    <row r="38" spans="1:12" s="180" customFormat="1" ht="17">
      <c r="A38" s="172">
        <v>32</v>
      </c>
      <c r="B38" s="173" t="s">
        <v>439</v>
      </c>
      <c r="C38" s="174" t="e">
        <f>VLOOKUP(B38,#REF!,2,0)</f>
        <v>#REF!</v>
      </c>
      <c r="D38" s="175" t="e">
        <f>+VLOOKUP(B38,#REF!,6,0)</f>
        <v>#REF!</v>
      </c>
      <c r="E38" s="176">
        <v>40000</v>
      </c>
      <c r="F38" s="176" t="e">
        <f>+VLOOKUP(B38,#REF!,149,0)</f>
        <v>#REF!</v>
      </c>
      <c r="G38" s="177" t="e">
        <f t="shared" si="0"/>
        <v>#REF!</v>
      </c>
      <c r="H38" s="178" t="e">
        <f t="shared" si="1"/>
        <v>#REF!</v>
      </c>
      <c r="I38" s="175">
        <v>0</v>
      </c>
      <c r="J38" s="179" t="e">
        <f t="shared" si="3"/>
        <v>#REF!</v>
      </c>
      <c r="K38" s="175"/>
      <c r="L38" s="180" t="s">
        <v>523</v>
      </c>
    </row>
    <row r="39" spans="1:12" s="158" customFormat="1" ht="17">
      <c r="A39" s="161">
        <v>33</v>
      </c>
      <c r="B39" s="159" t="s">
        <v>288</v>
      </c>
      <c r="C39" s="151" t="e">
        <f>VLOOKUP(B39,#REF!,2,0)</f>
        <v>#REF!</v>
      </c>
      <c r="D39" s="153" t="e">
        <f>+VLOOKUP(B39,#REF!,6,0)</f>
        <v>#REF!</v>
      </c>
      <c r="E39" s="154">
        <v>8466000</v>
      </c>
      <c r="F39" s="154" t="e">
        <f>+VLOOKUP(B39,#REF!,149,0)</f>
        <v>#REF!</v>
      </c>
      <c r="G39" s="155" t="e">
        <f t="shared" si="0"/>
        <v>#REF!</v>
      </c>
      <c r="H39" s="156" t="e">
        <f t="shared" si="1"/>
        <v>#REF!</v>
      </c>
      <c r="I39" s="153">
        <v>0</v>
      </c>
      <c r="J39" s="157" t="e">
        <f t="shared" si="3"/>
        <v>#REF!</v>
      </c>
      <c r="K39" s="153"/>
      <c r="L39" s="197"/>
    </row>
    <row r="40" spans="1:12" s="158" customFormat="1" ht="17">
      <c r="A40" s="161">
        <v>34</v>
      </c>
      <c r="B40" s="152" t="s">
        <v>130</v>
      </c>
      <c r="C40" s="151" t="e">
        <f>VLOOKUP(B40,#REF!,2,0)</f>
        <v>#REF!</v>
      </c>
      <c r="D40" s="153" t="e">
        <f>+VLOOKUP(B40,#REF!,6,0)</f>
        <v>#REF!</v>
      </c>
      <c r="E40" s="154">
        <v>3694000</v>
      </c>
      <c r="F40" s="154" t="e">
        <f>+VLOOKUP(B40,#REF!,149,0)</f>
        <v>#REF!</v>
      </c>
      <c r="G40" s="155" t="e">
        <f t="shared" si="0"/>
        <v>#REF!</v>
      </c>
      <c r="H40" s="156" t="e">
        <f t="shared" si="1"/>
        <v>#REF!</v>
      </c>
      <c r="I40" s="153">
        <v>0</v>
      </c>
      <c r="J40" s="157" t="e">
        <f t="shared" si="3"/>
        <v>#REF!</v>
      </c>
      <c r="K40" s="153"/>
      <c r="L40" s="197"/>
    </row>
    <row r="41" spans="1:12" s="158" customFormat="1" ht="17">
      <c r="A41" s="161">
        <v>35</v>
      </c>
      <c r="B41" s="152" t="s">
        <v>131</v>
      </c>
      <c r="C41" s="151" t="e">
        <f>VLOOKUP(B41,#REF!,2,0)</f>
        <v>#REF!</v>
      </c>
      <c r="D41" s="153" t="e">
        <f>+VLOOKUP(B41,#REF!,6,0)</f>
        <v>#REF!</v>
      </c>
      <c r="E41" s="154">
        <v>3892000</v>
      </c>
      <c r="F41" s="154" t="e">
        <f>+VLOOKUP(B41,#REF!,149,0)</f>
        <v>#REF!</v>
      </c>
      <c r="G41" s="155" t="e">
        <f t="shared" si="0"/>
        <v>#REF!</v>
      </c>
      <c r="H41" s="156" t="e">
        <f t="shared" si="1"/>
        <v>#REF!</v>
      </c>
      <c r="I41" s="153">
        <v>0</v>
      </c>
      <c r="J41" s="157" t="e">
        <f t="shared" si="3"/>
        <v>#REF!</v>
      </c>
      <c r="K41" s="153"/>
      <c r="L41" s="197"/>
    </row>
    <row r="42" spans="1:12" s="158" customFormat="1" ht="17">
      <c r="A42" s="161">
        <v>36</v>
      </c>
      <c r="B42" s="152" t="s">
        <v>132</v>
      </c>
      <c r="C42" s="151" t="e">
        <f>VLOOKUP(B42,#REF!,2,0)</f>
        <v>#REF!</v>
      </c>
      <c r="D42" s="153" t="e">
        <f>+VLOOKUP(B42,#REF!,6,0)</f>
        <v>#REF!</v>
      </c>
      <c r="E42" s="154">
        <v>7206000</v>
      </c>
      <c r="F42" s="154" t="e">
        <f>+VLOOKUP(B42,#REF!,149,0)</f>
        <v>#REF!</v>
      </c>
      <c r="G42" s="155" t="e">
        <f t="shared" si="0"/>
        <v>#REF!</v>
      </c>
      <c r="H42" s="156" t="e">
        <f t="shared" si="1"/>
        <v>#REF!</v>
      </c>
      <c r="I42" s="153">
        <v>0</v>
      </c>
      <c r="J42" s="157" t="e">
        <f t="shared" si="3"/>
        <v>#REF!</v>
      </c>
      <c r="K42" s="153"/>
      <c r="L42" s="197"/>
    </row>
    <row r="43" spans="1:12" s="158" customFormat="1" ht="17">
      <c r="A43" s="161">
        <v>37</v>
      </c>
      <c r="B43" s="152" t="s">
        <v>133</v>
      </c>
      <c r="C43" s="151" t="e">
        <f>VLOOKUP(B43,#REF!,2,0)</f>
        <v>#REF!</v>
      </c>
      <c r="D43" s="153" t="e">
        <f>+VLOOKUP(B43,#REF!,6,0)</f>
        <v>#REF!</v>
      </c>
      <c r="E43" s="154">
        <v>3773000</v>
      </c>
      <c r="F43" s="154" t="e">
        <f>+VLOOKUP(B43,#REF!,149,0)</f>
        <v>#REF!</v>
      </c>
      <c r="G43" s="155" t="e">
        <f t="shared" si="0"/>
        <v>#REF!</v>
      </c>
      <c r="H43" s="156" t="e">
        <f t="shared" si="1"/>
        <v>#REF!</v>
      </c>
      <c r="I43" s="153">
        <v>0</v>
      </c>
      <c r="J43" s="157" t="e">
        <f t="shared" si="3"/>
        <v>#REF!</v>
      </c>
      <c r="K43" s="153"/>
      <c r="L43" s="197"/>
    </row>
    <row r="44" spans="1:12" s="158" customFormat="1" ht="17">
      <c r="A44" s="161">
        <v>38</v>
      </c>
      <c r="B44" s="152" t="s">
        <v>134</v>
      </c>
      <c r="C44" s="151" t="e">
        <f>VLOOKUP(B44,#REF!,2,0)</f>
        <v>#REF!</v>
      </c>
      <c r="D44" s="153" t="e">
        <f>+VLOOKUP(B44,#REF!,6,0)</f>
        <v>#REF!</v>
      </c>
      <c r="E44" s="154">
        <v>8282000</v>
      </c>
      <c r="F44" s="154" t="e">
        <f>+VLOOKUP(B44,#REF!,149,0)</f>
        <v>#REF!</v>
      </c>
      <c r="G44" s="155" t="e">
        <f t="shared" si="0"/>
        <v>#REF!</v>
      </c>
      <c r="H44" s="156" t="e">
        <f t="shared" si="1"/>
        <v>#REF!</v>
      </c>
      <c r="I44" s="153">
        <v>0</v>
      </c>
      <c r="J44" s="157" t="e">
        <f t="shared" si="3"/>
        <v>#REF!</v>
      </c>
      <c r="K44" s="153"/>
      <c r="L44" s="197"/>
    </row>
    <row r="45" spans="1:12" s="158" customFormat="1" ht="17">
      <c r="A45" s="161">
        <v>39</v>
      </c>
      <c r="B45" s="159" t="s">
        <v>426</v>
      </c>
      <c r="C45" s="151" t="e">
        <f>VLOOKUP(B45,#REF!,2,0)</f>
        <v>#REF!</v>
      </c>
      <c r="D45" s="153" t="e">
        <f>+VLOOKUP(B45,#REF!,6,0)</f>
        <v>#REF!</v>
      </c>
      <c r="E45" s="154">
        <v>8663000</v>
      </c>
      <c r="F45" s="154" t="e">
        <f>+VLOOKUP(B45,#REF!,149,0)</f>
        <v>#REF!</v>
      </c>
      <c r="G45" s="155" t="e">
        <f t="shared" si="0"/>
        <v>#REF!</v>
      </c>
      <c r="H45" s="156" t="e">
        <f t="shared" si="1"/>
        <v>#REF!</v>
      </c>
      <c r="I45" s="153">
        <v>0</v>
      </c>
      <c r="J45" s="157" t="e">
        <f t="shared" si="3"/>
        <v>#REF!</v>
      </c>
      <c r="K45" s="153"/>
      <c r="L45" s="197"/>
    </row>
    <row r="46" spans="1:12" s="158" customFormat="1" ht="17">
      <c r="A46" s="161">
        <v>40</v>
      </c>
      <c r="B46" s="159" t="s">
        <v>460</v>
      </c>
      <c r="C46" s="151" t="e">
        <f>VLOOKUP(B46,#REF!,2,0)</f>
        <v>#REF!</v>
      </c>
      <c r="D46" s="153" t="e">
        <f>+VLOOKUP(B46,#REF!,6,0)</f>
        <v>#REF!</v>
      </c>
      <c r="E46" s="154">
        <v>7403000</v>
      </c>
      <c r="F46" s="154" t="e">
        <f>+VLOOKUP(B46,#REF!,149,0)</f>
        <v>#REF!</v>
      </c>
      <c r="G46" s="155" t="e">
        <f t="shared" si="0"/>
        <v>#REF!</v>
      </c>
      <c r="H46" s="156" t="e">
        <f t="shared" si="1"/>
        <v>#REF!</v>
      </c>
      <c r="I46" s="153">
        <v>0</v>
      </c>
      <c r="J46" s="157" t="e">
        <f t="shared" si="3"/>
        <v>#REF!</v>
      </c>
      <c r="K46" s="153"/>
      <c r="L46" s="197"/>
    </row>
    <row r="47" spans="1:12" s="158" customFormat="1" ht="17">
      <c r="A47" s="161">
        <v>41</v>
      </c>
      <c r="B47" s="159" t="s">
        <v>461</v>
      </c>
      <c r="C47" s="151" t="e">
        <f>VLOOKUP(B47,#REF!,2,0)</f>
        <v>#REF!</v>
      </c>
      <c r="D47" s="153" t="e">
        <f>+VLOOKUP(B47,#REF!,6,0)</f>
        <v>#REF!</v>
      </c>
      <c r="E47" s="154">
        <v>5650000</v>
      </c>
      <c r="F47" s="154" t="e">
        <f>+VLOOKUP(B47,#REF!,149,0)</f>
        <v>#REF!</v>
      </c>
      <c r="G47" s="155" t="e">
        <f t="shared" si="0"/>
        <v>#REF!</v>
      </c>
      <c r="H47" s="156" t="e">
        <f t="shared" si="1"/>
        <v>#REF!</v>
      </c>
      <c r="I47" s="153">
        <v>0</v>
      </c>
      <c r="J47" s="157" t="e">
        <f t="shared" si="3"/>
        <v>#REF!</v>
      </c>
      <c r="K47" s="153"/>
      <c r="L47" s="197"/>
    </row>
    <row r="48" spans="1:12" s="158" customFormat="1" ht="17">
      <c r="A48" s="161">
        <v>42</v>
      </c>
      <c r="B48" s="171" t="s">
        <v>188</v>
      </c>
      <c r="C48" s="151" t="e">
        <f>VLOOKUP(B48,#REF!,2,0)</f>
        <v>#REF!</v>
      </c>
      <c r="D48" s="153" t="e">
        <f>+VLOOKUP(B48,#REF!,6,0)</f>
        <v>#REF!</v>
      </c>
      <c r="E48" s="154">
        <v>6127000</v>
      </c>
      <c r="F48" s="154" t="e">
        <f>+VLOOKUP(B48,#REF!,149,0)</f>
        <v>#REF!</v>
      </c>
      <c r="G48" s="155" t="e">
        <f t="shared" si="0"/>
        <v>#REF!</v>
      </c>
      <c r="H48" s="156" t="e">
        <f t="shared" si="1"/>
        <v>#REF!</v>
      </c>
      <c r="I48" s="153">
        <v>0</v>
      </c>
      <c r="J48" s="157" t="e">
        <f t="shared" si="3"/>
        <v>#REF!</v>
      </c>
      <c r="K48" s="153"/>
      <c r="L48" s="197"/>
    </row>
    <row r="49" spans="1:12" s="158" customFormat="1" ht="17">
      <c r="A49" s="161">
        <v>43</v>
      </c>
      <c r="B49" s="152" t="s">
        <v>213</v>
      </c>
      <c r="C49" s="151" t="e">
        <f>VLOOKUP(B49,#REF!,2,0)</f>
        <v>#REF!</v>
      </c>
      <c r="D49" s="153" t="e">
        <f>+VLOOKUP(B49,#REF!,6,0)</f>
        <v>#REF!</v>
      </c>
      <c r="E49" s="154">
        <v>9448000</v>
      </c>
      <c r="F49" s="154" t="e">
        <f>+VLOOKUP(B49,#REF!,149,0)</f>
        <v>#REF!</v>
      </c>
      <c r="G49" s="155" t="e">
        <f t="shared" si="0"/>
        <v>#REF!</v>
      </c>
      <c r="H49" s="156" t="e">
        <f t="shared" si="1"/>
        <v>#REF!</v>
      </c>
      <c r="I49" s="153">
        <v>0</v>
      </c>
      <c r="J49" s="157" t="e">
        <f t="shared" si="3"/>
        <v>#REF!</v>
      </c>
      <c r="K49" s="153"/>
      <c r="L49" s="197"/>
    </row>
    <row r="50" spans="1:12" s="223" customFormat="1" ht="17">
      <c r="A50" s="184">
        <v>44</v>
      </c>
      <c r="B50" s="185" t="s">
        <v>215</v>
      </c>
      <c r="C50" s="217" t="e">
        <f>VLOOKUP(B50,#REF!,2,0)</f>
        <v>#REF!</v>
      </c>
      <c r="D50" s="218" t="e">
        <f>+VLOOKUP(B50,#REF!,6,0)</f>
        <v>#REF!</v>
      </c>
      <c r="E50" s="219">
        <v>3099000</v>
      </c>
      <c r="F50" s="219" t="e">
        <f>+VLOOKUP(B50,#REF!,149,0)</f>
        <v>#REF!</v>
      </c>
      <c r="G50" s="220" t="e">
        <f t="shared" si="0"/>
        <v>#REF!</v>
      </c>
      <c r="H50" s="221" t="e">
        <f t="shared" si="1"/>
        <v>#REF!</v>
      </c>
      <c r="I50" s="218">
        <v>0</v>
      </c>
      <c r="J50" s="222" t="e">
        <f t="shared" si="3"/>
        <v>#REF!</v>
      </c>
      <c r="K50" s="218"/>
    </row>
    <row r="51" spans="1:12" s="158" customFormat="1" ht="17">
      <c r="A51" s="161">
        <v>45</v>
      </c>
      <c r="B51" s="159" t="s">
        <v>467</v>
      </c>
      <c r="C51" s="151" t="e">
        <f>VLOOKUP(B51,#REF!,2,0)</f>
        <v>#REF!</v>
      </c>
      <c r="D51" s="153" t="e">
        <f>+VLOOKUP(B51,#REF!,6,0)</f>
        <v>#REF!</v>
      </c>
      <c r="E51" s="154">
        <v>9507000</v>
      </c>
      <c r="F51" s="154" t="e">
        <f>+VLOOKUP(B51,#REF!,149,0)</f>
        <v>#REF!</v>
      </c>
      <c r="G51" s="155" t="e">
        <f t="shared" si="0"/>
        <v>#REF!</v>
      </c>
      <c r="H51" s="156" t="e">
        <f t="shared" si="1"/>
        <v>#REF!</v>
      </c>
      <c r="I51" s="153">
        <v>0</v>
      </c>
      <c r="J51" s="157" t="e">
        <f t="shared" si="3"/>
        <v>#REF!</v>
      </c>
      <c r="K51" s="153"/>
      <c r="L51" s="197"/>
    </row>
    <row r="52" spans="1:12" s="158" customFormat="1" ht="17">
      <c r="A52" s="161">
        <v>46</v>
      </c>
      <c r="B52" s="159" t="s">
        <v>468</v>
      </c>
      <c r="C52" s="151" t="e">
        <f>VLOOKUP(B52,#REF!,2,0)</f>
        <v>#REF!</v>
      </c>
      <c r="D52" s="153" t="e">
        <f>+VLOOKUP(B52,#REF!,6,0)</f>
        <v>#REF!</v>
      </c>
      <c r="E52" s="154">
        <v>9949000</v>
      </c>
      <c r="F52" s="154" t="e">
        <f>+VLOOKUP(B52,#REF!,149,0)</f>
        <v>#REF!</v>
      </c>
      <c r="G52" s="155" t="e">
        <f t="shared" si="0"/>
        <v>#REF!</v>
      </c>
      <c r="H52" s="156" t="e">
        <f t="shared" si="1"/>
        <v>#REF!</v>
      </c>
      <c r="I52" s="153">
        <v>0</v>
      </c>
      <c r="J52" s="157" t="e">
        <f t="shared" si="3"/>
        <v>#REF!</v>
      </c>
      <c r="K52" s="153"/>
      <c r="L52" s="197"/>
    </row>
    <row r="53" spans="1:12" s="158" customFormat="1" ht="17">
      <c r="A53" s="161">
        <v>47</v>
      </c>
      <c r="B53" s="152" t="s">
        <v>158</v>
      </c>
      <c r="C53" s="151" t="e">
        <f>VLOOKUP(B53,#REF!,2,0)</f>
        <v>#REF!</v>
      </c>
      <c r="D53" s="153" t="e">
        <f>+VLOOKUP(B53,#REF!,6,0)</f>
        <v>#REF!</v>
      </c>
      <c r="E53" s="154">
        <v>6124000</v>
      </c>
      <c r="F53" s="154" t="e">
        <f>+VLOOKUP(B53,#REF!,149,0)</f>
        <v>#REF!</v>
      </c>
      <c r="G53" s="155" t="e">
        <f t="shared" si="0"/>
        <v>#REF!</v>
      </c>
      <c r="H53" s="156" t="e">
        <f t="shared" si="1"/>
        <v>#REF!</v>
      </c>
      <c r="I53" s="153">
        <v>0</v>
      </c>
      <c r="J53" s="157" t="e">
        <f t="shared" si="3"/>
        <v>#REF!</v>
      </c>
      <c r="K53" s="153"/>
      <c r="L53" s="197"/>
    </row>
    <row r="54" spans="1:12" s="158" customFormat="1" ht="17">
      <c r="A54" s="161">
        <v>48</v>
      </c>
      <c r="B54" s="152" t="s">
        <v>159</v>
      </c>
      <c r="C54" s="151" t="e">
        <f>VLOOKUP(B54,#REF!,2,0)</f>
        <v>#REF!</v>
      </c>
      <c r="D54" s="153" t="e">
        <f>+VLOOKUP(B54,#REF!,6,0)</f>
        <v>#REF!</v>
      </c>
      <c r="E54" s="154">
        <v>7601000</v>
      </c>
      <c r="F54" s="154" t="e">
        <f>+VLOOKUP(B54,#REF!,149,0)</f>
        <v>#REF!</v>
      </c>
      <c r="G54" s="155" t="e">
        <f t="shared" si="0"/>
        <v>#REF!</v>
      </c>
      <c r="H54" s="156" t="e">
        <f t="shared" si="1"/>
        <v>#REF!</v>
      </c>
      <c r="I54" s="153">
        <v>0</v>
      </c>
      <c r="J54" s="157" t="e">
        <f t="shared" si="3"/>
        <v>#REF!</v>
      </c>
      <c r="K54" s="153"/>
      <c r="L54" s="197"/>
    </row>
    <row r="55" spans="1:12" s="158" customFormat="1" ht="17">
      <c r="A55" s="160" t="s">
        <v>352</v>
      </c>
      <c r="B55" s="152"/>
      <c r="C55" s="151"/>
      <c r="D55" s="153"/>
      <c r="E55" s="154"/>
      <c r="F55" s="154"/>
      <c r="G55" s="155"/>
      <c r="H55" s="156"/>
      <c r="I55" s="153"/>
      <c r="J55" s="157"/>
      <c r="K55" s="153"/>
      <c r="L55" s="197"/>
    </row>
    <row r="56" spans="1:12" s="158" customFormat="1" ht="17">
      <c r="A56" s="160" t="s">
        <v>353</v>
      </c>
      <c r="B56" s="144" t="s">
        <v>389</v>
      </c>
      <c r="C56" s="151"/>
      <c r="D56" s="153"/>
      <c r="E56" s="154"/>
      <c r="F56" s="154"/>
      <c r="G56" s="155"/>
      <c r="H56" s="156"/>
      <c r="I56" s="153"/>
      <c r="J56" s="157"/>
      <c r="K56" s="153"/>
      <c r="L56" s="197"/>
    </row>
    <row r="57" spans="1:12" s="158" customFormat="1" ht="17">
      <c r="A57" s="161">
        <v>49</v>
      </c>
      <c r="B57" s="152" t="s">
        <v>53</v>
      </c>
      <c r="C57" s="151" t="e">
        <f>VLOOKUP(B57,#REF!,2,0)</f>
        <v>#REF!</v>
      </c>
      <c r="D57" s="153" t="e">
        <f>+VLOOKUP(B57,#REF!,6,0)</f>
        <v>#REF!</v>
      </c>
      <c r="E57" s="154">
        <v>14684000</v>
      </c>
      <c r="F57" s="154" t="e">
        <f>+VLOOKUP(B57,#REF!,149,0)</f>
        <v>#REF!</v>
      </c>
      <c r="G57" s="155" t="e">
        <f t="shared" si="0"/>
        <v>#REF!</v>
      </c>
      <c r="H57" s="156" t="e">
        <f t="shared" si="1"/>
        <v>#REF!</v>
      </c>
      <c r="I57" s="153">
        <v>0</v>
      </c>
      <c r="J57" s="157" t="e">
        <f t="shared" si="3"/>
        <v>#REF!</v>
      </c>
      <c r="K57" s="153"/>
      <c r="L57" s="197"/>
    </row>
    <row r="58" spans="1:12" s="158" customFormat="1" ht="17">
      <c r="A58" s="161">
        <v>50</v>
      </c>
      <c r="B58" s="159" t="s">
        <v>50</v>
      </c>
      <c r="C58" s="151" t="e">
        <f>VLOOKUP(B58,#REF!,2,0)</f>
        <v>#REF!</v>
      </c>
      <c r="D58" s="153" t="e">
        <f>+VLOOKUP(B58,#REF!,6,0)</f>
        <v>#REF!</v>
      </c>
      <c r="E58" s="154">
        <v>16897000</v>
      </c>
      <c r="F58" s="154" t="e">
        <f>+VLOOKUP(B58,#REF!,149,0)</f>
        <v>#REF!</v>
      </c>
      <c r="G58" s="155" t="e">
        <f t="shared" si="0"/>
        <v>#REF!</v>
      </c>
      <c r="H58" s="156" t="e">
        <f t="shared" si="1"/>
        <v>#REF!</v>
      </c>
      <c r="I58" s="153">
        <v>0</v>
      </c>
      <c r="J58" s="157" t="e">
        <f t="shared" si="3"/>
        <v>#REF!</v>
      </c>
      <c r="K58" s="153"/>
      <c r="L58" s="197"/>
    </row>
    <row r="59" spans="1:12" s="158" customFormat="1" ht="17">
      <c r="A59" s="161">
        <v>51</v>
      </c>
      <c r="B59" s="152" t="s">
        <v>55</v>
      </c>
      <c r="C59" s="151" t="e">
        <f>VLOOKUP(B59,#REF!,2,0)</f>
        <v>#REF!</v>
      </c>
      <c r="D59" s="153" t="e">
        <f>+VLOOKUP(B59,#REF!,6,0)</f>
        <v>#REF!</v>
      </c>
      <c r="E59" s="154">
        <v>11825000</v>
      </c>
      <c r="F59" s="154" t="e">
        <f>+VLOOKUP(B59,#REF!,149,0)</f>
        <v>#REF!</v>
      </c>
      <c r="G59" s="155" t="e">
        <f t="shared" si="0"/>
        <v>#REF!</v>
      </c>
      <c r="H59" s="156" t="e">
        <f t="shared" si="1"/>
        <v>#REF!</v>
      </c>
      <c r="I59" s="153">
        <v>0</v>
      </c>
      <c r="J59" s="157" t="e">
        <f t="shared" si="3"/>
        <v>#REF!</v>
      </c>
      <c r="K59" s="153"/>
      <c r="L59" s="197"/>
    </row>
    <row r="60" spans="1:12" s="158" customFormat="1" ht="17">
      <c r="A60" s="161">
        <v>52</v>
      </c>
      <c r="B60" s="152" t="s">
        <v>54</v>
      </c>
      <c r="C60" s="151" t="e">
        <f>VLOOKUP(B60,#REF!,2,0)</f>
        <v>#REF!</v>
      </c>
      <c r="D60" s="153" t="e">
        <f>+VLOOKUP(B60,#REF!,6,0)</f>
        <v>#REF!</v>
      </c>
      <c r="E60" s="154">
        <v>11764000</v>
      </c>
      <c r="F60" s="154" t="e">
        <f>+VLOOKUP(B60,#REF!,149,0)</f>
        <v>#REF!</v>
      </c>
      <c r="G60" s="155" t="e">
        <f t="shared" si="0"/>
        <v>#REF!</v>
      </c>
      <c r="H60" s="156" t="e">
        <f t="shared" si="1"/>
        <v>#REF!</v>
      </c>
      <c r="I60" s="153">
        <v>0</v>
      </c>
      <c r="J60" s="157" t="e">
        <f t="shared" si="3"/>
        <v>#REF!</v>
      </c>
      <c r="K60" s="153"/>
      <c r="L60" s="197"/>
    </row>
    <row r="61" spans="1:12" s="158" customFormat="1" ht="17">
      <c r="A61" s="161">
        <v>53</v>
      </c>
      <c r="B61" s="152" t="s">
        <v>58</v>
      </c>
      <c r="C61" s="151" t="e">
        <f>VLOOKUP(B61,#REF!,2,0)</f>
        <v>#REF!</v>
      </c>
      <c r="D61" s="153" t="e">
        <f>+VLOOKUP(B61,#REF!,6,0)</f>
        <v>#REF!</v>
      </c>
      <c r="E61" s="154">
        <v>10685000</v>
      </c>
      <c r="F61" s="154" t="e">
        <f>+VLOOKUP(B61,#REF!,149,0)</f>
        <v>#REF!</v>
      </c>
      <c r="G61" s="155" t="e">
        <f t="shared" si="0"/>
        <v>#REF!</v>
      </c>
      <c r="H61" s="156" t="e">
        <f t="shared" si="1"/>
        <v>#REF!</v>
      </c>
      <c r="I61" s="153">
        <v>0</v>
      </c>
      <c r="J61" s="157" t="e">
        <f t="shared" si="3"/>
        <v>#REF!</v>
      </c>
      <c r="K61" s="153"/>
      <c r="L61" s="197"/>
    </row>
    <row r="62" spans="1:12" s="158" customFormat="1" ht="17">
      <c r="A62" s="161">
        <v>54</v>
      </c>
      <c r="B62" s="152" t="s">
        <v>60</v>
      </c>
      <c r="C62" s="151" t="e">
        <f>VLOOKUP(B62,#REF!,2,0)</f>
        <v>#REF!</v>
      </c>
      <c r="D62" s="153" t="e">
        <f>+VLOOKUP(B62,#REF!,6,0)</f>
        <v>#REF!</v>
      </c>
      <c r="E62" s="154">
        <v>10238000</v>
      </c>
      <c r="F62" s="154" t="e">
        <f>+VLOOKUP(B62,#REF!,149,0)</f>
        <v>#REF!</v>
      </c>
      <c r="G62" s="155" t="e">
        <f t="shared" si="0"/>
        <v>#REF!</v>
      </c>
      <c r="H62" s="156" t="e">
        <f t="shared" si="1"/>
        <v>#REF!</v>
      </c>
      <c r="I62" s="153">
        <v>0</v>
      </c>
      <c r="J62" s="157" t="e">
        <f t="shared" si="3"/>
        <v>#REF!</v>
      </c>
      <c r="K62" s="153"/>
      <c r="L62" s="197"/>
    </row>
    <row r="63" spans="1:12" s="158" customFormat="1" ht="17">
      <c r="A63" s="161">
        <v>55</v>
      </c>
      <c r="B63" s="152" t="s">
        <v>135</v>
      </c>
      <c r="C63" s="151" t="e">
        <f>VLOOKUP(B63,#REF!,2,0)</f>
        <v>#REF!</v>
      </c>
      <c r="D63" s="153" t="e">
        <f>+VLOOKUP(B63,#REF!,6,0)</f>
        <v>#REF!</v>
      </c>
      <c r="E63" s="154">
        <v>10447000</v>
      </c>
      <c r="F63" s="154" t="e">
        <f>+VLOOKUP(B63,#REF!,149,0)</f>
        <v>#REF!</v>
      </c>
      <c r="G63" s="155" t="e">
        <f t="shared" si="0"/>
        <v>#REF!</v>
      </c>
      <c r="H63" s="156" t="e">
        <f t="shared" si="1"/>
        <v>#REF!</v>
      </c>
      <c r="I63" s="153">
        <v>0</v>
      </c>
      <c r="J63" s="157" t="e">
        <f t="shared" si="3"/>
        <v>#REF!</v>
      </c>
      <c r="K63" s="153"/>
      <c r="L63" s="197"/>
    </row>
    <row r="64" spans="1:12" s="158" customFormat="1" ht="17">
      <c r="A64" s="161">
        <v>56</v>
      </c>
      <c r="B64" s="152" t="s">
        <v>90</v>
      </c>
      <c r="C64" s="151" t="e">
        <f>VLOOKUP(B64,#REF!,2,0)</f>
        <v>#REF!</v>
      </c>
      <c r="D64" s="153" t="e">
        <f>+VLOOKUP(B64,#REF!,6,0)</f>
        <v>#REF!</v>
      </c>
      <c r="E64" s="154">
        <v>8387000</v>
      </c>
      <c r="F64" s="154" t="e">
        <f>+VLOOKUP(B64,#REF!,149,0)</f>
        <v>#REF!</v>
      </c>
      <c r="G64" s="155" t="e">
        <f t="shared" si="0"/>
        <v>#REF!</v>
      </c>
      <c r="H64" s="156" t="e">
        <f t="shared" si="1"/>
        <v>#REF!</v>
      </c>
      <c r="I64" s="153">
        <v>0</v>
      </c>
      <c r="J64" s="157" t="e">
        <f t="shared" si="3"/>
        <v>#REF!</v>
      </c>
      <c r="K64" s="153"/>
      <c r="L64" s="197"/>
    </row>
    <row r="65" spans="1:12" s="158" customFormat="1" ht="17">
      <c r="A65" s="161">
        <v>57</v>
      </c>
      <c r="B65" s="152" t="s">
        <v>198</v>
      </c>
      <c r="C65" s="151" t="e">
        <f>VLOOKUP(B65,#REF!,2,0)</f>
        <v>#REF!</v>
      </c>
      <c r="D65" s="153" t="e">
        <f>+VLOOKUP(B65,#REF!,6,0)</f>
        <v>#REF!</v>
      </c>
      <c r="E65" s="154">
        <v>9654000</v>
      </c>
      <c r="F65" s="154" t="e">
        <f>+VLOOKUP(B65,#REF!,149,0)</f>
        <v>#REF!</v>
      </c>
      <c r="G65" s="155" t="e">
        <f t="shared" si="0"/>
        <v>#REF!</v>
      </c>
      <c r="H65" s="156" t="e">
        <f t="shared" si="1"/>
        <v>#REF!</v>
      </c>
      <c r="I65" s="153">
        <v>0</v>
      </c>
      <c r="J65" s="157" t="e">
        <f t="shared" si="3"/>
        <v>#REF!</v>
      </c>
      <c r="K65" s="153"/>
      <c r="L65" s="197"/>
    </row>
    <row r="66" spans="1:12" s="158" customFormat="1" ht="17">
      <c r="A66" s="160" t="s">
        <v>354</v>
      </c>
      <c r="B66" s="144" t="s">
        <v>352</v>
      </c>
      <c r="C66" s="151"/>
      <c r="D66" s="153"/>
      <c r="E66" s="154"/>
      <c r="F66" s="154"/>
      <c r="G66" s="155"/>
      <c r="H66" s="156"/>
      <c r="I66" s="153"/>
      <c r="J66" s="157"/>
      <c r="K66" s="153"/>
      <c r="L66" s="197"/>
    </row>
    <row r="67" spans="1:12" s="158" customFormat="1" ht="17">
      <c r="A67" s="161">
        <v>58</v>
      </c>
      <c r="B67" s="152" t="s">
        <v>69</v>
      </c>
      <c r="C67" s="151" t="e">
        <f>VLOOKUP(B67,#REF!,2,0)</f>
        <v>#REF!</v>
      </c>
      <c r="D67" s="153" t="e">
        <f>+VLOOKUP(B67,#REF!,6,0)</f>
        <v>#REF!</v>
      </c>
      <c r="E67" s="154">
        <v>10098000</v>
      </c>
      <c r="F67" s="154" t="e">
        <f>+VLOOKUP(B67,#REF!,149,0)</f>
        <v>#REF!</v>
      </c>
      <c r="G67" s="155" t="e">
        <f t="shared" si="0"/>
        <v>#REF!</v>
      </c>
      <c r="H67" s="156" t="e">
        <f t="shared" ref="H67:H130" si="4">+ROUND(G67*50,0)</f>
        <v>#REF!</v>
      </c>
      <c r="I67" s="153">
        <v>0</v>
      </c>
      <c r="J67" s="157" t="e">
        <f t="shared" si="3"/>
        <v>#REF!</v>
      </c>
      <c r="K67" s="153"/>
      <c r="L67" s="197"/>
    </row>
    <row r="68" spans="1:12" s="158" customFormat="1" ht="17">
      <c r="A68" s="161">
        <v>59</v>
      </c>
      <c r="B68" s="152" t="s">
        <v>67</v>
      </c>
      <c r="C68" s="151" t="e">
        <f>VLOOKUP(B68,#REF!,2,0)</f>
        <v>#REF!</v>
      </c>
      <c r="D68" s="153" t="e">
        <f>+VLOOKUP(B68,#REF!,6,0)</f>
        <v>#REF!</v>
      </c>
      <c r="E68" s="154">
        <v>8841000</v>
      </c>
      <c r="F68" s="154" t="e">
        <f>+VLOOKUP(B68,#REF!,149,0)</f>
        <v>#REF!</v>
      </c>
      <c r="G68" s="155" t="e">
        <f t="shared" ref="G68:G131" si="5">+F68/E68</f>
        <v>#REF!</v>
      </c>
      <c r="H68" s="156" t="e">
        <f t="shared" si="4"/>
        <v>#REF!</v>
      </c>
      <c r="I68" s="153">
        <v>0</v>
      </c>
      <c r="J68" s="157" t="e">
        <f t="shared" si="3"/>
        <v>#REF!</v>
      </c>
      <c r="K68" s="153"/>
      <c r="L68" s="197"/>
    </row>
    <row r="69" spans="1:12" s="158" customFormat="1" ht="17">
      <c r="A69" s="161">
        <v>60</v>
      </c>
      <c r="B69" s="152" t="s">
        <v>68</v>
      </c>
      <c r="C69" s="151" t="e">
        <f>VLOOKUP(B69,#REF!,2,0)</f>
        <v>#REF!</v>
      </c>
      <c r="D69" s="153" t="e">
        <f>+VLOOKUP(B69,#REF!,6,0)</f>
        <v>#REF!</v>
      </c>
      <c r="E69" s="154">
        <v>9241000</v>
      </c>
      <c r="F69" s="154" t="e">
        <f>+VLOOKUP(B69,#REF!,149,0)</f>
        <v>#REF!</v>
      </c>
      <c r="G69" s="155" t="e">
        <f t="shared" si="5"/>
        <v>#REF!</v>
      </c>
      <c r="H69" s="156" t="e">
        <f t="shared" si="4"/>
        <v>#REF!</v>
      </c>
      <c r="I69" s="153">
        <v>0</v>
      </c>
      <c r="J69" s="157" t="e">
        <f t="shared" si="3"/>
        <v>#REF!</v>
      </c>
      <c r="K69" s="153"/>
      <c r="L69" s="197"/>
    </row>
    <row r="70" spans="1:12" s="158" customFormat="1" ht="17">
      <c r="A70" s="161">
        <v>61</v>
      </c>
      <c r="B70" s="152" t="s">
        <v>197</v>
      </c>
      <c r="C70" s="151" t="e">
        <f>VLOOKUP(B70,#REF!,2,0)</f>
        <v>#REF!</v>
      </c>
      <c r="D70" s="153" t="e">
        <f>+VLOOKUP(B70,#REF!,6,0)</f>
        <v>#REF!</v>
      </c>
      <c r="E70" s="154">
        <v>8040000</v>
      </c>
      <c r="F70" s="154" t="e">
        <f>+VLOOKUP(B70,#REF!,149,0)</f>
        <v>#REF!</v>
      </c>
      <c r="G70" s="155" t="e">
        <f t="shared" si="5"/>
        <v>#REF!</v>
      </c>
      <c r="H70" s="156" t="e">
        <f t="shared" si="4"/>
        <v>#REF!</v>
      </c>
      <c r="I70" s="153">
        <v>0</v>
      </c>
      <c r="J70" s="157" t="e">
        <f t="shared" si="3"/>
        <v>#REF!</v>
      </c>
      <c r="K70" s="153"/>
      <c r="L70" s="197"/>
    </row>
    <row r="71" spans="1:12" s="158" customFormat="1" ht="17">
      <c r="A71" s="161">
        <v>62</v>
      </c>
      <c r="B71" s="152" t="s">
        <v>204</v>
      </c>
      <c r="C71" s="151" t="e">
        <f>VLOOKUP(B71,#REF!,2,0)</f>
        <v>#REF!</v>
      </c>
      <c r="D71" s="153" t="e">
        <f>+VLOOKUP(B71,#REF!,6,0)</f>
        <v>#REF!</v>
      </c>
      <c r="E71" s="154">
        <v>8841000</v>
      </c>
      <c r="F71" s="154" t="e">
        <f>+VLOOKUP(B71,#REF!,149,0)</f>
        <v>#REF!</v>
      </c>
      <c r="G71" s="155" t="e">
        <f t="shared" si="5"/>
        <v>#REF!</v>
      </c>
      <c r="H71" s="156" t="e">
        <f t="shared" si="4"/>
        <v>#REF!</v>
      </c>
      <c r="I71" s="153">
        <v>0</v>
      </c>
      <c r="J71" s="157" t="e">
        <f t="shared" si="3"/>
        <v>#REF!</v>
      </c>
      <c r="K71" s="153"/>
      <c r="L71" s="197"/>
    </row>
    <row r="72" spans="1:12" s="158" customFormat="1" ht="17">
      <c r="A72" s="161">
        <v>63</v>
      </c>
      <c r="B72" s="152" t="s">
        <v>230</v>
      </c>
      <c r="C72" s="151" t="e">
        <f>VLOOKUP(B72,#REF!,2,0)</f>
        <v>#REF!</v>
      </c>
      <c r="D72" s="153" t="e">
        <f>+VLOOKUP(B72,#REF!,6,0)</f>
        <v>#REF!</v>
      </c>
      <c r="E72" s="154">
        <v>8841000</v>
      </c>
      <c r="F72" s="154" t="e">
        <f>+VLOOKUP(B72,#REF!,149,0)</f>
        <v>#REF!</v>
      </c>
      <c r="G72" s="155" t="e">
        <f t="shared" si="5"/>
        <v>#REF!</v>
      </c>
      <c r="H72" s="156" t="e">
        <f t="shared" si="4"/>
        <v>#REF!</v>
      </c>
      <c r="I72" s="153">
        <v>0</v>
      </c>
      <c r="J72" s="157" t="e">
        <f t="shared" si="3"/>
        <v>#REF!</v>
      </c>
      <c r="K72" s="153"/>
      <c r="L72" s="197"/>
    </row>
    <row r="73" spans="1:12" s="158" customFormat="1" ht="17">
      <c r="A73" s="161">
        <v>64</v>
      </c>
      <c r="B73" s="152" t="s">
        <v>232</v>
      </c>
      <c r="C73" s="151" t="e">
        <f>VLOOKUP(B73,#REF!,2,0)</f>
        <v>#REF!</v>
      </c>
      <c r="D73" s="153" t="e">
        <f>+VLOOKUP(B73,#REF!,6,0)</f>
        <v>#REF!</v>
      </c>
      <c r="E73" s="154">
        <v>8440000</v>
      </c>
      <c r="F73" s="154" t="e">
        <f>+VLOOKUP(B73,#REF!,149,0)</f>
        <v>#REF!</v>
      </c>
      <c r="G73" s="155" t="e">
        <f t="shared" si="5"/>
        <v>#REF!</v>
      </c>
      <c r="H73" s="156" t="e">
        <f t="shared" si="4"/>
        <v>#REF!</v>
      </c>
      <c r="I73" s="153">
        <v>0</v>
      </c>
      <c r="J73" s="157" t="e">
        <f t="shared" si="3"/>
        <v>#REF!</v>
      </c>
      <c r="K73" s="153"/>
      <c r="L73" s="197"/>
    </row>
    <row r="74" spans="1:12" s="158" customFormat="1" ht="17">
      <c r="A74" s="161">
        <v>65</v>
      </c>
      <c r="B74" s="152" t="s">
        <v>233</v>
      </c>
      <c r="C74" s="151" t="e">
        <f>VLOOKUP(B74,#REF!,2,0)</f>
        <v>#REF!</v>
      </c>
      <c r="D74" s="153" t="e">
        <f>+VLOOKUP(B74,#REF!,6,0)</f>
        <v>#REF!</v>
      </c>
      <c r="E74" s="154">
        <v>8847000</v>
      </c>
      <c r="F74" s="154" t="e">
        <f>+VLOOKUP(B74,#REF!,149,0)</f>
        <v>#REF!</v>
      </c>
      <c r="G74" s="155" t="e">
        <f t="shared" si="5"/>
        <v>#REF!</v>
      </c>
      <c r="H74" s="156" t="e">
        <f t="shared" si="4"/>
        <v>#REF!</v>
      </c>
      <c r="I74" s="153">
        <v>0</v>
      </c>
      <c r="J74" s="157" t="e">
        <f t="shared" si="3"/>
        <v>#REF!</v>
      </c>
      <c r="K74" s="153"/>
      <c r="L74" s="197"/>
    </row>
    <row r="75" spans="1:12" s="158" customFormat="1" ht="17">
      <c r="A75" s="161">
        <v>66</v>
      </c>
      <c r="B75" s="152" t="s">
        <v>334</v>
      </c>
      <c r="C75" s="151" t="e">
        <f>VLOOKUP(B75,#REF!,2,0)</f>
        <v>#REF!</v>
      </c>
      <c r="D75" s="153" t="e">
        <f>+VLOOKUP(B75,#REF!,6,0)</f>
        <v>#REF!</v>
      </c>
      <c r="E75" s="154">
        <v>8466000</v>
      </c>
      <c r="F75" s="154" t="e">
        <f>+VLOOKUP(B75,#REF!,149,0)</f>
        <v>#REF!</v>
      </c>
      <c r="G75" s="155" t="e">
        <f t="shared" si="5"/>
        <v>#REF!</v>
      </c>
      <c r="H75" s="156" t="e">
        <f t="shared" si="4"/>
        <v>#REF!</v>
      </c>
      <c r="I75" s="153">
        <v>0</v>
      </c>
      <c r="J75" s="157" t="e">
        <f t="shared" si="3"/>
        <v>#REF!</v>
      </c>
      <c r="K75" s="153"/>
      <c r="L75" s="197"/>
    </row>
    <row r="76" spans="1:12" s="158" customFormat="1" ht="17">
      <c r="A76" s="161">
        <v>67</v>
      </c>
      <c r="B76" s="159" t="s">
        <v>323</v>
      </c>
      <c r="C76" s="151" t="e">
        <f>VLOOKUP(B76,#REF!,2,0)</f>
        <v>#REF!</v>
      </c>
      <c r="D76" s="153" t="e">
        <f>+VLOOKUP(B76,#REF!,6,0)</f>
        <v>#REF!</v>
      </c>
      <c r="E76" s="154">
        <v>9608000</v>
      </c>
      <c r="F76" s="154" t="e">
        <f>+VLOOKUP(B76,#REF!,149,0)</f>
        <v>#REF!</v>
      </c>
      <c r="G76" s="155" t="e">
        <f t="shared" si="5"/>
        <v>#REF!</v>
      </c>
      <c r="H76" s="156" t="e">
        <f t="shared" si="4"/>
        <v>#REF!</v>
      </c>
      <c r="I76" s="153">
        <v>0</v>
      </c>
      <c r="J76" s="157" t="e">
        <f t="shared" si="3"/>
        <v>#REF!</v>
      </c>
      <c r="K76" s="153"/>
      <c r="L76" s="197"/>
    </row>
    <row r="77" spans="1:12" s="158" customFormat="1" ht="17">
      <c r="A77" s="161">
        <v>68</v>
      </c>
      <c r="B77" s="152" t="s">
        <v>192</v>
      </c>
      <c r="C77" s="151" t="e">
        <f>VLOOKUP(B77,#REF!,2,0)</f>
        <v>#REF!</v>
      </c>
      <c r="D77" s="153" t="e">
        <f>+VLOOKUP(B77,#REF!,6,0)</f>
        <v>#REF!</v>
      </c>
      <c r="E77" s="154">
        <v>8382000</v>
      </c>
      <c r="F77" s="154" t="e">
        <f>+VLOOKUP(B77,#REF!,149,0)</f>
        <v>#REF!</v>
      </c>
      <c r="G77" s="155" t="e">
        <f t="shared" si="5"/>
        <v>#REF!</v>
      </c>
      <c r="H77" s="156" t="e">
        <f t="shared" si="4"/>
        <v>#REF!</v>
      </c>
      <c r="I77" s="153">
        <v>0</v>
      </c>
      <c r="J77" s="157" t="e">
        <f t="shared" ref="J77:J140" si="6">+F77-E77+I77</f>
        <v>#REF!</v>
      </c>
      <c r="K77" s="153"/>
      <c r="L77" s="197"/>
    </row>
    <row r="78" spans="1:12" s="158" customFormat="1" ht="17">
      <c r="A78" s="161">
        <v>69</v>
      </c>
      <c r="B78" s="152" t="s">
        <v>239</v>
      </c>
      <c r="C78" s="151" t="e">
        <f>VLOOKUP(B78,#REF!,2,0)</f>
        <v>#REF!</v>
      </c>
      <c r="D78" s="153" t="e">
        <f>+VLOOKUP(B78,#REF!,6,0)</f>
        <v>#REF!</v>
      </c>
      <c r="E78" s="154">
        <v>9044000</v>
      </c>
      <c r="F78" s="154" t="e">
        <f>+VLOOKUP(B78,#REF!,149,0)</f>
        <v>#REF!</v>
      </c>
      <c r="G78" s="155" t="e">
        <f t="shared" si="5"/>
        <v>#REF!</v>
      </c>
      <c r="H78" s="156" t="e">
        <f t="shared" si="4"/>
        <v>#REF!</v>
      </c>
      <c r="I78" s="153">
        <v>0</v>
      </c>
      <c r="J78" s="157" t="e">
        <f t="shared" si="6"/>
        <v>#REF!</v>
      </c>
      <c r="K78" s="153"/>
      <c r="L78" s="197"/>
    </row>
    <row r="79" spans="1:12" s="158" customFormat="1" ht="17">
      <c r="A79" s="161">
        <v>70</v>
      </c>
      <c r="B79" s="152" t="s">
        <v>73</v>
      </c>
      <c r="C79" s="151" t="e">
        <f>VLOOKUP(B79,#REF!,2,0)</f>
        <v>#REF!</v>
      </c>
      <c r="D79" s="153" t="e">
        <f>+VLOOKUP(B79,#REF!,6,0)</f>
        <v>#REF!</v>
      </c>
      <c r="E79" s="154">
        <v>9641000</v>
      </c>
      <c r="F79" s="154" t="e">
        <f>+VLOOKUP(B79,#REF!,149,0)</f>
        <v>#REF!</v>
      </c>
      <c r="G79" s="155" t="e">
        <f t="shared" si="5"/>
        <v>#REF!</v>
      </c>
      <c r="H79" s="156" t="e">
        <f t="shared" si="4"/>
        <v>#REF!</v>
      </c>
      <c r="I79" s="153">
        <v>0</v>
      </c>
      <c r="J79" s="157" t="e">
        <f t="shared" si="6"/>
        <v>#REF!</v>
      </c>
      <c r="K79" s="153"/>
      <c r="L79" s="197"/>
    </row>
    <row r="80" spans="1:12" s="158" customFormat="1" ht="17">
      <c r="A80" s="161">
        <v>71</v>
      </c>
      <c r="B80" s="152" t="s">
        <v>74</v>
      </c>
      <c r="C80" s="151" t="e">
        <f>VLOOKUP(B80,#REF!,2,0)</f>
        <v>#REF!</v>
      </c>
      <c r="D80" s="153" t="e">
        <f>+VLOOKUP(B80,#REF!,6,0)</f>
        <v>#REF!</v>
      </c>
      <c r="E80" s="154">
        <v>8841000</v>
      </c>
      <c r="F80" s="154" t="e">
        <f>+VLOOKUP(B80,#REF!,149,0)</f>
        <v>#REF!</v>
      </c>
      <c r="G80" s="155" t="e">
        <f t="shared" si="5"/>
        <v>#REF!</v>
      </c>
      <c r="H80" s="156" t="e">
        <f t="shared" si="4"/>
        <v>#REF!</v>
      </c>
      <c r="I80" s="153">
        <v>0</v>
      </c>
      <c r="J80" s="157" t="e">
        <f t="shared" si="6"/>
        <v>#REF!</v>
      </c>
      <c r="K80" s="153"/>
      <c r="L80" s="197"/>
    </row>
    <row r="81" spans="1:12" s="158" customFormat="1" ht="17">
      <c r="A81" s="161">
        <v>72</v>
      </c>
      <c r="B81" s="159" t="s">
        <v>75</v>
      </c>
      <c r="C81" s="151" t="e">
        <f>VLOOKUP(B81,#REF!,2,0)</f>
        <v>#REF!</v>
      </c>
      <c r="D81" s="153" t="e">
        <f>+VLOOKUP(B81,#REF!,6,0)</f>
        <v>#REF!</v>
      </c>
      <c r="E81" s="154">
        <v>9641000</v>
      </c>
      <c r="F81" s="154" t="e">
        <f>+VLOOKUP(B81,#REF!,149,0)</f>
        <v>#REF!</v>
      </c>
      <c r="G81" s="155" t="e">
        <f t="shared" si="5"/>
        <v>#REF!</v>
      </c>
      <c r="H81" s="156" t="e">
        <f t="shared" si="4"/>
        <v>#REF!</v>
      </c>
      <c r="I81" s="153">
        <v>0</v>
      </c>
      <c r="J81" s="157" t="e">
        <f t="shared" si="6"/>
        <v>#REF!</v>
      </c>
      <c r="K81" s="153"/>
      <c r="L81" s="197"/>
    </row>
    <row r="82" spans="1:12" s="158" customFormat="1" ht="17">
      <c r="A82" s="161">
        <v>73</v>
      </c>
      <c r="B82" s="152" t="s">
        <v>76</v>
      </c>
      <c r="C82" s="151" t="e">
        <f>VLOOKUP(B82,#REF!,2,0)</f>
        <v>#REF!</v>
      </c>
      <c r="D82" s="153" t="e">
        <f>+VLOOKUP(B82,#REF!,6,0)</f>
        <v>#REF!</v>
      </c>
      <c r="E82" s="154">
        <v>9241000</v>
      </c>
      <c r="F82" s="154" t="e">
        <f>+VLOOKUP(B82,#REF!,149,0)</f>
        <v>#REF!</v>
      </c>
      <c r="G82" s="155" t="e">
        <f t="shared" si="5"/>
        <v>#REF!</v>
      </c>
      <c r="H82" s="156" t="e">
        <f t="shared" si="4"/>
        <v>#REF!</v>
      </c>
      <c r="I82" s="153">
        <v>0</v>
      </c>
      <c r="J82" s="157" t="e">
        <f t="shared" si="6"/>
        <v>#REF!</v>
      </c>
      <c r="K82" s="153"/>
      <c r="L82" s="197"/>
    </row>
    <row r="83" spans="1:12" s="158" customFormat="1" ht="17">
      <c r="A83" s="161">
        <v>74</v>
      </c>
      <c r="B83" s="152" t="s">
        <v>78</v>
      </c>
      <c r="C83" s="151" t="e">
        <f>VLOOKUP(B83,#REF!,2,0)</f>
        <v>#REF!</v>
      </c>
      <c r="D83" s="153" t="e">
        <f>+VLOOKUP(B83,#REF!,6,0)</f>
        <v>#REF!</v>
      </c>
      <c r="E83" s="154">
        <v>7339000</v>
      </c>
      <c r="F83" s="154" t="e">
        <f>+VLOOKUP(B83,#REF!,149,0)</f>
        <v>#REF!</v>
      </c>
      <c r="G83" s="155" t="e">
        <f t="shared" si="5"/>
        <v>#REF!</v>
      </c>
      <c r="H83" s="156" t="e">
        <f t="shared" si="4"/>
        <v>#REF!</v>
      </c>
      <c r="I83" s="153">
        <v>0</v>
      </c>
      <c r="J83" s="157" t="e">
        <f t="shared" si="6"/>
        <v>#REF!</v>
      </c>
      <c r="K83" s="153"/>
      <c r="L83" s="197"/>
    </row>
    <row r="84" spans="1:12" s="158" customFormat="1" ht="17">
      <c r="A84" s="161">
        <v>75</v>
      </c>
      <c r="B84" s="152" t="s">
        <v>243</v>
      </c>
      <c r="C84" s="151" t="e">
        <f>VLOOKUP(B84,#REF!,2,0)</f>
        <v>#REF!</v>
      </c>
      <c r="D84" s="153" t="e">
        <f>+VLOOKUP(B84,#REF!,6,0)</f>
        <v>#REF!</v>
      </c>
      <c r="E84" s="154">
        <v>8466000</v>
      </c>
      <c r="F84" s="154" t="e">
        <f>+VLOOKUP(B84,#REF!,149,0)</f>
        <v>#REF!</v>
      </c>
      <c r="G84" s="155" t="e">
        <f t="shared" si="5"/>
        <v>#REF!</v>
      </c>
      <c r="H84" s="156" t="e">
        <f t="shared" si="4"/>
        <v>#REF!</v>
      </c>
      <c r="I84" s="153">
        <v>0</v>
      </c>
      <c r="J84" s="157" t="e">
        <f t="shared" si="6"/>
        <v>#REF!</v>
      </c>
      <c r="K84" s="153"/>
      <c r="L84" s="197"/>
    </row>
    <row r="85" spans="1:12" s="158" customFormat="1" ht="17">
      <c r="A85" s="161">
        <v>76</v>
      </c>
      <c r="B85" s="152" t="s">
        <v>315</v>
      </c>
      <c r="C85" s="151" t="e">
        <f>VLOOKUP(B85,#REF!,2,0)</f>
        <v>#REF!</v>
      </c>
      <c r="D85" s="153" t="e">
        <f>+VLOOKUP(B85,#REF!,6,0)</f>
        <v>#REF!</v>
      </c>
      <c r="E85" s="154">
        <v>9434000</v>
      </c>
      <c r="F85" s="154" t="e">
        <f>+VLOOKUP(B85,#REF!,149,0)</f>
        <v>#REF!</v>
      </c>
      <c r="G85" s="155" t="e">
        <f t="shared" si="5"/>
        <v>#REF!</v>
      </c>
      <c r="H85" s="156" t="e">
        <f t="shared" si="4"/>
        <v>#REF!</v>
      </c>
      <c r="I85" s="153">
        <v>0</v>
      </c>
      <c r="J85" s="157" t="e">
        <f t="shared" si="6"/>
        <v>#REF!</v>
      </c>
      <c r="K85" s="153"/>
      <c r="L85" s="197"/>
    </row>
    <row r="86" spans="1:12" s="158" customFormat="1" ht="17">
      <c r="A86" s="161">
        <v>77</v>
      </c>
      <c r="B86" s="170" t="s">
        <v>395</v>
      </c>
      <c r="C86" s="151" t="e">
        <f>VLOOKUP(B86,#REF!,2,0)</f>
        <v>#REF!</v>
      </c>
      <c r="D86" s="153" t="e">
        <f>+VLOOKUP(B86,#REF!,6,0)</f>
        <v>#REF!</v>
      </c>
      <c r="E86" s="154">
        <v>9241000</v>
      </c>
      <c r="F86" s="154" t="e">
        <f>+VLOOKUP(B86,#REF!,149,0)</f>
        <v>#REF!</v>
      </c>
      <c r="G86" s="155" t="e">
        <f t="shared" si="5"/>
        <v>#REF!</v>
      </c>
      <c r="H86" s="156" t="e">
        <f t="shared" si="4"/>
        <v>#REF!</v>
      </c>
      <c r="I86" s="153">
        <v>0</v>
      </c>
      <c r="J86" s="157" t="e">
        <f t="shared" si="6"/>
        <v>#REF!</v>
      </c>
      <c r="K86" s="153"/>
      <c r="L86" s="197"/>
    </row>
    <row r="87" spans="1:12" s="158" customFormat="1" ht="17">
      <c r="A87" s="161">
        <v>78</v>
      </c>
      <c r="B87" s="152" t="s">
        <v>82</v>
      </c>
      <c r="C87" s="151" t="e">
        <f>VLOOKUP(B87,#REF!,2,0)</f>
        <v>#REF!</v>
      </c>
      <c r="D87" s="153" t="e">
        <f>+VLOOKUP(B87,#REF!,6,0)</f>
        <v>#REF!</v>
      </c>
      <c r="E87" s="154">
        <v>9641000</v>
      </c>
      <c r="F87" s="154" t="e">
        <f>+VLOOKUP(B87,#REF!,149,0)</f>
        <v>#REF!</v>
      </c>
      <c r="G87" s="155" t="e">
        <f t="shared" si="5"/>
        <v>#REF!</v>
      </c>
      <c r="H87" s="156" t="e">
        <f t="shared" si="4"/>
        <v>#REF!</v>
      </c>
      <c r="I87" s="153">
        <v>0</v>
      </c>
      <c r="J87" s="157" t="e">
        <f t="shared" si="6"/>
        <v>#REF!</v>
      </c>
      <c r="K87" s="153"/>
      <c r="L87" s="197"/>
    </row>
    <row r="88" spans="1:12" s="158" customFormat="1" ht="17">
      <c r="A88" s="161">
        <v>79</v>
      </c>
      <c r="B88" s="152" t="s">
        <v>83</v>
      </c>
      <c r="C88" s="151" t="e">
        <f>VLOOKUP(B88,#REF!,2,0)</f>
        <v>#REF!</v>
      </c>
      <c r="D88" s="153" t="e">
        <f>+VLOOKUP(B88,#REF!,6,0)</f>
        <v>#REF!</v>
      </c>
      <c r="E88" s="154">
        <v>9641000</v>
      </c>
      <c r="F88" s="154" t="e">
        <f>+VLOOKUP(B88,#REF!,149,0)</f>
        <v>#REF!</v>
      </c>
      <c r="G88" s="155" t="e">
        <f t="shared" si="5"/>
        <v>#REF!</v>
      </c>
      <c r="H88" s="156" t="e">
        <f t="shared" si="4"/>
        <v>#REF!</v>
      </c>
      <c r="I88" s="153">
        <v>0</v>
      </c>
      <c r="J88" s="157" t="e">
        <f t="shared" si="6"/>
        <v>#REF!</v>
      </c>
      <c r="K88" s="153"/>
      <c r="L88" s="197"/>
    </row>
    <row r="89" spans="1:12" s="158" customFormat="1" ht="17">
      <c r="A89" s="161">
        <v>80</v>
      </c>
      <c r="B89" s="152" t="s">
        <v>248</v>
      </c>
      <c r="C89" s="151" t="e">
        <f>VLOOKUP(B89,#REF!,2,0)</f>
        <v>#REF!</v>
      </c>
      <c r="D89" s="153" t="e">
        <f>+VLOOKUP(B89,#REF!,6,0)</f>
        <v>#REF!</v>
      </c>
      <c r="E89" s="154">
        <v>8841000</v>
      </c>
      <c r="F89" s="154" t="e">
        <f>+VLOOKUP(B89,#REF!,149,0)</f>
        <v>#REF!</v>
      </c>
      <c r="G89" s="155" t="e">
        <f t="shared" si="5"/>
        <v>#REF!</v>
      </c>
      <c r="H89" s="156" t="e">
        <f t="shared" si="4"/>
        <v>#REF!</v>
      </c>
      <c r="I89" s="153">
        <v>0</v>
      </c>
      <c r="J89" s="157" t="e">
        <f t="shared" si="6"/>
        <v>#REF!</v>
      </c>
      <c r="K89" s="153"/>
      <c r="L89" s="197"/>
    </row>
    <row r="90" spans="1:12" s="158" customFormat="1" ht="17">
      <c r="A90" s="161">
        <v>81</v>
      </c>
      <c r="B90" s="152" t="s">
        <v>250</v>
      </c>
      <c r="C90" s="151" t="e">
        <f>VLOOKUP(B90,#REF!,2,0)</f>
        <v>#REF!</v>
      </c>
      <c r="D90" s="153" t="e">
        <f>+VLOOKUP(B90,#REF!,6,0)</f>
        <v>#REF!</v>
      </c>
      <c r="E90" s="154">
        <v>9241000</v>
      </c>
      <c r="F90" s="154" t="e">
        <f>+VLOOKUP(B90,#REF!,149,0)</f>
        <v>#REF!</v>
      </c>
      <c r="G90" s="155" t="e">
        <f t="shared" si="5"/>
        <v>#REF!</v>
      </c>
      <c r="H90" s="156" t="e">
        <f t="shared" si="4"/>
        <v>#REF!</v>
      </c>
      <c r="I90" s="153">
        <v>0</v>
      </c>
      <c r="J90" s="157" t="e">
        <f t="shared" si="6"/>
        <v>#REF!</v>
      </c>
      <c r="K90" s="153"/>
      <c r="L90" s="197"/>
    </row>
    <row r="91" spans="1:12" s="158" customFormat="1" ht="17">
      <c r="A91" s="161">
        <v>82</v>
      </c>
      <c r="B91" s="152" t="s">
        <v>251</v>
      </c>
      <c r="C91" s="151" t="e">
        <f>VLOOKUP(B91,#REF!,2,0)</f>
        <v>#REF!</v>
      </c>
      <c r="D91" s="153" t="e">
        <f>+VLOOKUP(B91,#REF!,6,0)</f>
        <v>#REF!</v>
      </c>
      <c r="E91" s="154">
        <v>4352000</v>
      </c>
      <c r="F91" s="154" t="e">
        <f>+VLOOKUP(B91,#REF!,149,0)</f>
        <v>#REF!</v>
      </c>
      <c r="G91" s="155" t="e">
        <f t="shared" si="5"/>
        <v>#REF!</v>
      </c>
      <c r="H91" s="156" t="e">
        <f t="shared" si="4"/>
        <v>#REF!</v>
      </c>
      <c r="I91" s="153">
        <v>0</v>
      </c>
      <c r="J91" s="157" t="e">
        <f t="shared" si="6"/>
        <v>#REF!</v>
      </c>
      <c r="K91" s="153"/>
      <c r="L91" s="197"/>
    </row>
    <row r="92" spans="1:12" s="158" customFormat="1" ht="17">
      <c r="A92" s="161">
        <v>83</v>
      </c>
      <c r="B92" s="152" t="s">
        <v>253</v>
      </c>
      <c r="C92" s="151" t="e">
        <f>VLOOKUP(B92,#REF!,2,0)</f>
        <v>#REF!</v>
      </c>
      <c r="D92" s="153" t="e">
        <f>+VLOOKUP(B92,#REF!,6,0)</f>
        <v>#REF!</v>
      </c>
      <c r="E92" s="154">
        <v>6459000</v>
      </c>
      <c r="F92" s="154" t="e">
        <f>+VLOOKUP(B92,#REF!,149,0)</f>
        <v>#REF!</v>
      </c>
      <c r="G92" s="155" t="e">
        <f t="shared" si="5"/>
        <v>#REF!</v>
      </c>
      <c r="H92" s="156" t="e">
        <f t="shared" si="4"/>
        <v>#REF!</v>
      </c>
      <c r="I92" s="153">
        <v>0</v>
      </c>
      <c r="J92" s="157" t="e">
        <f t="shared" si="6"/>
        <v>#REF!</v>
      </c>
      <c r="K92" s="153"/>
      <c r="L92" s="197"/>
    </row>
    <row r="93" spans="1:12" s="158" customFormat="1" ht="17">
      <c r="A93" s="161">
        <v>84</v>
      </c>
      <c r="B93" s="152" t="s">
        <v>254</v>
      </c>
      <c r="C93" s="151" t="e">
        <f>VLOOKUP(B93,#REF!,2,0)</f>
        <v>#REF!</v>
      </c>
      <c r="D93" s="153" t="e">
        <f>+VLOOKUP(B93,#REF!,6,0)</f>
        <v>#REF!</v>
      </c>
      <c r="E93" s="154">
        <v>2735000</v>
      </c>
      <c r="F93" s="154" t="e">
        <f>+VLOOKUP(B93,#REF!,149,0)</f>
        <v>#REF!</v>
      </c>
      <c r="G93" s="155" t="e">
        <f t="shared" si="5"/>
        <v>#REF!</v>
      </c>
      <c r="H93" s="156" t="e">
        <f t="shared" si="4"/>
        <v>#REF!</v>
      </c>
      <c r="I93" s="153">
        <v>0</v>
      </c>
      <c r="J93" s="157" t="e">
        <f t="shared" si="6"/>
        <v>#REF!</v>
      </c>
      <c r="K93" s="153"/>
      <c r="L93" s="197"/>
    </row>
    <row r="94" spans="1:12" s="158" customFormat="1" ht="17">
      <c r="A94" s="161">
        <v>85</v>
      </c>
      <c r="B94" s="152" t="s">
        <v>264</v>
      </c>
      <c r="C94" s="151" t="e">
        <f>VLOOKUP(B94,#REF!,2,0)</f>
        <v>#REF!</v>
      </c>
      <c r="D94" s="153" t="e">
        <f>+VLOOKUP(B94,#REF!,6,0)</f>
        <v>#REF!</v>
      </c>
      <c r="E94" s="154">
        <v>7132000</v>
      </c>
      <c r="F94" s="154" t="e">
        <f>+VLOOKUP(B94,#REF!,149,0)</f>
        <v>#REF!</v>
      </c>
      <c r="G94" s="155" t="e">
        <f t="shared" si="5"/>
        <v>#REF!</v>
      </c>
      <c r="H94" s="156" t="e">
        <f t="shared" si="4"/>
        <v>#REF!</v>
      </c>
      <c r="I94" s="153">
        <v>0</v>
      </c>
      <c r="J94" s="157" t="e">
        <f t="shared" si="6"/>
        <v>#REF!</v>
      </c>
      <c r="K94" s="153"/>
      <c r="L94" s="197"/>
    </row>
    <row r="95" spans="1:12" s="158" customFormat="1" ht="17">
      <c r="A95" s="161">
        <v>86</v>
      </c>
      <c r="B95" s="152" t="s">
        <v>295</v>
      </c>
      <c r="C95" s="151" t="e">
        <f>VLOOKUP(B95,#REF!,2,0)</f>
        <v>#REF!</v>
      </c>
      <c r="D95" s="153" t="e">
        <f>+VLOOKUP(B95,#REF!,6,0)</f>
        <v>#REF!</v>
      </c>
      <c r="E95" s="154">
        <v>9241000</v>
      </c>
      <c r="F95" s="154" t="e">
        <f>+VLOOKUP(B95,#REF!,149,0)</f>
        <v>#REF!</v>
      </c>
      <c r="G95" s="155" t="e">
        <f t="shared" si="5"/>
        <v>#REF!</v>
      </c>
      <c r="H95" s="156" t="e">
        <f t="shared" si="4"/>
        <v>#REF!</v>
      </c>
      <c r="I95" s="153">
        <v>0</v>
      </c>
      <c r="J95" s="157" t="e">
        <f t="shared" si="6"/>
        <v>#REF!</v>
      </c>
      <c r="K95" s="153"/>
      <c r="L95" s="197"/>
    </row>
    <row r="96" spans="1:12" s="158" customFormat="1" ht="17">
      <c r="A96" s="161">
        <v>87</v>
      </c>
      <c r="B96" s="152" t="s">
        <v>240</v>
      </c>
      <c r="C96" s="151" t="e">
        <f>VLOOKUP(B96,#REF!,2,0)</f>
        <v>#REF!</v>
      </c>
      <c r="D96" s="153" t="e">
        <f>+VLOOKUP(B96,#REF!,6,0)</f>
        <v>#REF!</v>
      </c>
      <c r="E96" s="154">
        <v>8847000</v>
      </c>
      <c r="F96" s="154" t="e">
        <f>+VLOOKUP(B96,#REF!,149,0)</f>
        <v>#REF!</v>
      </c>
      <c r="G96" s="155" t="e">
        <f t="shared" si="5"/>
        <v>#REF!</v>
      </c>
      <c r="H96" s="156" t="e">
        <f t="shared" si="4"/>
        <v>#REF!</v>
      </c>
      <c r="I96" s="153">
        <v>0</v>
      </c>
      <c r="J96" s="157" t="e">
        <f t="shared" si="6"/>
        <v>#REF!</v>
      </c>
      <c r="K96" s="153"/>
      <c r="L96" s="197"/>
    </row>
    <row r="97" spans="1:12" s="180" customFormat="1" ht="17">
      <c r="A97" s="172">
        <v>88</v>
      </c>
      <c r="B97" s="173" t="s">
        <v>77</v>
      </c>
      <c r="C97" s="174" t="e">
        <f>VLOOKUP(B97,#REF!,2,0)</f>
        <v>#REF!</v>
      </c>
      <c r="D97" s="175" t="e">
        <f>+VLOOKUP(B97,#REF!,6,0)</f>
        <v>#REF!</v>
      </c>
      <c r="E97" s="176">
        <v>2699000</v>
      </c>
      <c r="F97" s="176" t="e">
        <f>+VLOOKUP(B97,#REF!,149,0)</f>
        <v>#REF!</v>
      </c>
      <c r="G97" s="177" t="e">
        <f t="shared" si="5"/>
        <v>#REF!</v>
      </c>
      <c r="H97" s="178" t="e">
        <f t="shared" si="4"/>
        <v>#REF!</v>
      </c>
      <c r="I97" s="175">
        <v>0</v>
      </c>
      <c r="J97" s="179" t="e">
        <f t="shared" si="6"/>
        <v>#REF!</v>
      </c>
      <c r="K97" s="175"/>
    </row>
    <row r="98" spans="1:12" s="158" customFormat="1" ht="17">
      <c r="A98" s="161">
        <v>89</v>
      </c>
      <c r="B98" s="152" t="s">
        <v>242</v>
      </c>
      <c r="C98" s="151" t="e">
        <f>VLOOKUP(B98,#REF!,2,0)</f>
        <v>#REF!</v>
      </c>
      <c r="D98" s="153" t="e">
        <f>+VLOOKUP(B98,#REF!,6,0)</f>
        <v>#REF!</v>
      </c>
      <c r="E98" s="154">
        <v>9228000</v>
      </c>
      <c r="F98" s="154" t="e">
        <f>+VLOOKUP(B98,#REF!,149,0)</f>
        <v>#REF!</v>
      </c>
      <c r="G98" s="155" t="e">
        <f t="shared" si="5"/>
        <v>#REF!</v>
      </c>
      <c r="H98" s="156" t="e">
        <f t="shared" si="4"/>
        <v>#REF!</v>
      </c>
      <c r="I98" s="153">
        <v>0</v>
      </c>
      <c r="J98" s="157" t="e">
        <f t="shared" si="6"/>
        <v>#REF!</v>
      </c>
      <c r="K98" s="153"/>
      <c r="L98" s="197"/>
    </row>
    <row r="99" spans="1:12" s="158" customFormat="1" ht="17">
      <c r="A99" s="161">
        <v>90</v>
      </c>
      <c r="B99" s="152" t="s">
        <v>208</v>
      </c>
      <c r="C99" s="151" t="e">
        <f>VLOOKUP(B99,#REF!,2,0)</f>
        <v>#REF!</v>
      </c>
      <c r="D99" s="153" t="e">
        <f>+VLOOKUP(B99,#REF!,6,0)</f>
        <v>#REF!</v>
      </c>
      <c r="E99" s="154">
        <v>7740000</v>
      </c>
      <c r="F99" s="154" t="e">
        <f>+VLOOKUP(B99,#REF!,149,0)</f>
        <v>#REF!</v>
      </c>
      <c r="G99" s="155" t="e">
        <f t="shared" si="5"/>
        <v>#REF!</v>
      </c>
      <c r="H99" s="156" t="e">
        <f t="shared" si="4"/>
        <v>#REF!</v>
      </c>
      <c r="I99" s="153">
        <v>0</v>
      </c>
      <c r="J99" s="157" t="e">
        <f t="shared" si="6"/>
        <v>#REF!</v>
      </c>
      <c r="K99" s="153"/>
      <c r="L99" s="197"/>
    </row>
    <row r="100" spans="1:12" s="158" customFormat="1" ht="17">
      <c r="A100" s="161">
        <v>91</v>
      </c>
      <c r="B100" s="152" t="s">
        <v>26</v>
      </c>
      <c r="C100" s="151" t="e">
        <f>VLOOKUP(B100,#REF!,2,0)</f>
        <v>#REF!</v>
      </c>
      <c r="D100" s="153" t="e">
        <f>+VLOOKUP(B100,#REF!,6,0)</f>
        <v>#REF!</v>
      </c>
      <c r="E100" s="154">
        <v>9641000</v>
      </c>
      <c r="F100" s="154" t="e">
        <f>+VLOOKUP(B100,#REF!,149,0)</f>
        <v>#REF!</v>
      </c>
      <c r="G100" s="155" t="e">
        <f t="shared" si="5"/>
        <v>#REF!</v>
      </c>
      <c r="H100" s="156" t="e">
        <f t="shared" si="4"/>
        <v>#REF!</v>
      </c>
      <c r="I100" s="153">
        <v>0</v>
      </c>
      <c r="J100" s="157" t="e">
        <f t="shared" si="6"/>
        <v>#REF!</v>
      </c>
      <c r="K100" s="153"/>
      <c r="L100" s="197"/>
    </row>
    <row r="101" spans="1:12" s="158" customFormat="1" ht="17">
      <c r="A101" s="161">
        <v>92</v>
      </c>
      <c r="B101" s="152" t="s">
        <v>85</v>
      </c>
      <c r="C101" s="151" t="e">
        <f>VLOOKUP(B101,#REF!,2,0)</f>
        <v>#REF!</v>
      </c>
      <c r="D101" s="153" t="e">
        <f>+VLOOKUP(B101,#REF!,6,0)</f>
        <v>#REF!</v>
      </c>
      <c r="E101" s="154">
        <v>9241000</v>
      </c>
      <c r="F101" s="154" t="e">
        <f>+VLOOKUP(B101,#REF!,149,0)</f>
        <v>#REF!</v>
      </c>
      <c r="G101" s="155" t="e">
        <f t="shared" si="5"/>
        <v>#REF!</v>
      </c>
      <c r="H101" s="156" t="e">
        <f t="shared" si="4"/>
        <v>#REF!</v>
      </c>
      <c r="I101" s="153">
        <v>0</v>
      </c>
      <c r="J101" s="157" t="e">
        <f t="shared" si="6"/>
        <v>#REF!</v>
      </c>
      <c r="K101" s="153"/>
      <c r="L101" s="197"/>
    </row>
    <row r="102" spans="1:12" s="158" customFormat="1" ht="17">
      <c r="A102" s="161">
        <v>93</v>
      </c>
      <c r="B102" s="152" t="s">
        <v>256</v>
      </c>
      <c r="C102" s="151" t="e">
        <f>VLOOKUP(B102,#REF!,2,0)</f>
        <v>#REF!</v>
      </c>
      <c r="D102" s="153" t="e">
        <f>+VLOOKUP(B102,#REF!,6,0)</f>
        <v>#REF!</v>
      </c>
      <c r="E102" s="154">
        <v>9241000</v>
      </c>
      <c r="F102" s="154" t="e">
        <f>+VLOOKUP(B102,#REF!,149,0)</f>
        <v>#REF!</v>
      </c>
      <c r="G102" s="155" t="e">
        <f t="shared" si="5"/>
        <v>#REF!</v>
      </c>
      <c r="H102" s="156" t="e">
        <f t="shared" si="4"/>
        <v>#REF!</v>
      </c>
      <c r="I102" s="153">
        <v>0</v>
      </c>
      <c r="J102" s="157" t="e">
        <f t="shared" si="6"/>
        <v>#REF!</v>
      </c>
      <c r="K102" s="153"/>
      <c r="L102" s="197"/>
    </row>
    <row r="103" spans="1:12" s="158" customFormat="1" ht="17">
      <c r="A103" s="161">
        <v>94</v>
      </c>
      <c r="B103" s="152" t="s">
        <v>257</v>
      </c>
      <c r="C103" s="151" t="e">
        <f>VLOOKUP(B103,#REF!,2,0)</f>
        <v>#REF!</v>
      </c>
      <c r="D103" s="153" t="e">
        <f>+VLOOKUP(B103,#REF!,6,0)</f>
        <v>#REF!</v>
      </c>
      <c r="E103" s="154">
        <v>9241000</v>
      </c>
      <c r="F103" s="154" t="e">
        <f>+VLOOKUP(B103,#REF!,149,0)</f>
        <v>#REF!</v>
      </c>
      <c r="G103" s="155" t="e">
        <f t="shared" si="5"/>
        <v>#REF!</v>
      </c>
      <c r="H103" s="156" t="e">
        <f t="shared" si="4"/>
        <v>#REF!</v>
      </c>
      <c r="I103" s="153">
        <v>0</v>
      </c>
      <c r="J103" s="157" t="e">
        <f t="shared" si="6"/>
        <v>#REF!</v>
      </c>
      <c r="K103" s="153"/>
      <c r="L103" s="197"/>
    </row>
    <row r="104" spans="1:12" s="158" customFormat="1" ht="17">
      <c r="A104" s="161">
        <v>95</v>
      </c>
      <c r="B104" s="152" t="s">
        <v>260</v>
      </c>
      <c r="C104" s="151" t="e">
        <f>VLOOKUP(B104,#REF!,2,0)</f>
        <v>#REF!</v>
      </c>
      <c r="D104" s="153" t="e">
        <f>+VLOOKUP(B104,#REF!,6,0)</f>
        <v>#REF!</v>
      </c>
      <c r="E104" s="154">
        <v>8040000</v>
      </c>
      <c r="F104" s="154" t="e">
        <f>+VLOOKUP(B104,#REF!,149,0)</f>
        <v>#REF!</v>
      </c>
      <c r="G104" s="155" t="e">
        <f t="shared" si="5"/>
        <v>#REF!</v>
      </c>
      <c r="H104" s="156" t="e">
        <f t="shared" si="4"/>
        <v>#REF!</v>
      </c>
      <c r="I104" s="153">
        <v>0</v>
      </c>
      <c r="J104" s="157" t="e">
        <f t="shared" si="6"/>
        <v>#REF!</v>
      </c>
      <c r="K104" s="153"/>
      <c r="L104" s="197"/>
    </row>
    <row r="105" spans="1:12" s="158" customFormat="1" ht="17">
      <c r="A105" s="161">
        <v>96</v>
      </c>
      <c r="B105" s="152" t="s">
        <v>265</v>
      </c>
      <c r="C105" s="151" t="e">
        <f>VLOOKUP(B105,#REF!,2,0)</f>
        <v>#REF!</v>
      </c>
      <c r="D105" s="153" t="e">
        <f>+VLOOKUP(B105,#REF!,6,0)</f>
        <v>#REF!</v>
      </c>
      <c r="E105" s="154">
        <v>9641000</v>
      </c>
      <c r="F105" s="154" t="e">
        <f>+VLOOKUP(B105,#REF!,149,0)</f>
        <v>#REF!</v>
      </c>
      <c r="G105" s="155" t="e">
        <f t="shared" si="5"/>
        <v>#REF!</v>
      </c>
      <c r="H105" s="156" t="e">
        <f t="shared" si="4"/>
        <v>#REF!</v>
      </c>
      <c r="I105" s="153">
        <v>0</v>
      </c>
      <c r="J105" s="157" t="e">
        <f t="shared" si="6"/>
        <v>#REF!</v>
      </c>
      <c r="K105" s="153"/>
      <c r="L105" s="197"/>
    </row>
    <row r="106" spans="1:12" s="158" customFormat="1" ht="17">
      <c r="A106" s="161">
        <v>97</v>
      </c>
      <c r="B106" s="152" t="s">
        <v>320</v>
      </c>
      <c r="C106" s="151" t="e">
        <f>VLOOKUP(B106,#REF!,2,0)</f>
        <v>#REF!</v>
      </c>
      <c r="D106" s="153" t="e">
        <f>+VLOOKUP(B106,#REF!,6,0)</f>
        <v>#REF!</v>
      </c>
      <c r="E106" s="154">
        <v>5738000</v>
      </c>
      <c r="F106" s="154" t="e">
        <f>+VLOOKUP(B106,#REF!,149,0)</f>
        <v>#REF!</v>
      </c>
      <c r="G106" s="155" t="e">
        <f t="shared" si="5"/>
        <v>#REF!</v>
      </c>
      <c r="H106" s="156" t="e">
        <f t="shared" si="4"/>
        <v>#REF!</v>
      </c>
      <c r="I106" s="153">
        <v>0</v>
      </c>
      <c r="J106" s="157" t="e">
        <f t="shared" si="6"/>
        <v>#REF!</v>
      </c>
      <c r="K106" s="153"/>
      <c r="L106" s="197"/>
    </row>
    <row r="107" spans="1:12" s="158" customFormat="1" ht="17">
      <c r="A107" s="161">
        <v>98</v>
      </c>
      <c r="B107" s="152" t="s">
        <v>79</v>
      </c>
      <c r="C107" s="151" t="e">
        <f>VLOOKUP(B107,#REF!,2,0)</f>
        <v>#REF!</v>
      </c>
      <c r="D107" s="153" t="e">
        <f>+VLOOKUP(B107,#REF!,6,0)</f>
        <v>#REF!</v>
      </c>
      <c r="E107" s="154">
        <v>9411000</v>
      </c>
      <c r="F107" s="154" t="e">
        <f>+VLOOKUP(B107,#REF!,149,0)</f>
        <v>#REF!</v>
      </c>
      <c r="G107" s="155" t="e">
        <f t="shared" si="5"/>
        <v>#REF!</v>
      </c>
      <c r="H107" s="156" t="e">
        <f t="shared" si="4"/>
        <v>#REF!</v>
      </c>
      <c r="I107" s="153">
        <v>0</v>
      </c>
      <c r="J107" s="157" t="e">
        <f t="shared" si="6"/>
        <v>#REF!</v>
      </c>
      <c r="K107" s="153"/>
      <c r="L107" s="197"/>
    </row>
    <row r="108" spans="1:12" s="158" customFormat="1" ht="17">
      <c r="A108" s="161">
        <v>99</v>
      </c>
      <c r="B108" s="152" t="s">
        <v>86</v>
      </c>
      <c r="C108" s="151" t="e">
        <f>VLOOKUP(B108,#REF!,2,0)</f>
        <v>#REF!</v>
      </c>
      <c r="D108" s="153" t="e">
        <f>+VLOOKUP(B108,#REF!,6,0)</f>
        <v>#REF!</v>
      </c>
      <c r="E108" s="154">
        <v>9641000</v>
      </c>
      <c r="F108" s="154" t="e">
        <f>+VLOOKUP(B108,#REF!,149,0)</f>
        <v>#REF!</v>
      </c>
      <c r="G108" s="155" t="e">
        <f t="shared" si="5"/>
        <v>#REF!</v>
      </c>
      <c r="H108" s="156" t="e">
        <f t="shared" si="4"/>
        <v>#REF!</v>
      </c>
      <c r="I108" s="153">
        <v>0</v>
      </c>
      <c r="J108" s="157" t="e">
        <f t="shared" si="6"/>
        <v>#REF!</v>
      </c>
      <c r="K108" s="153"/>
      <c r="L108" s="197"/>
    </row>
    <row r="109" spans="1:12" s="158" customFormat="1" ht="17">
      <c r="A109" s="161">
        <v>100</v>
      </c>
      <c r="B109" s="152" t="s">
        <v>27</v>
      </c>
      <c r="C109" s="151" t="e">
        <f>VLOOKUP(B109,#REF!,2,0)</f>
        <v>#REF!</v>
      </c>
      <c r="D109" s="153" t="e">
        <f>+VLOOKUP(B109,#REF!,6,0)</f>
        <v>#REF!</v>
      </c>
      <c r="E109" s="154">
        <v>9641000</v>
      </c>
      <c r="F109" s="154" t="e">
        <f>+VLOOKUP(B109,#REF!,149,0)</f>
        <v>#REF!</v>
      </c>
      <c r="G109" s="155" t="e">
        <f t="shared" si="5"/>
        <v>#REF!</v>
      </c>
      <c r="H109" s="156" t="e">
        <f t="shared" si="4"/>
        <v>#REF!</v>
      </c>
      <c r="I109" s="153">
        <v>0</v>
      </c>
      <c r="J109" s="157" t="e">
        <f t="shared" si="6"/>
        <v>#REF!</v>
      </c>
      <c r="K109" s="153"/>
      <c r="L109" s="197"/>
    </row>
    <row r="110" spans="1:12" s="158" customFormat="1" ht="17">
      <c r="A110" s="161">
        <v>101</v>
      </c>
      <c r="B110" s="152" t="s">
        <v>325</v>
      </c>
      <c r="C110" s="151" t="e">
        <f>VLOOKUP(B110,#REF!,2,0)</f>
        <v>#REF!</v>
      </c>
      <c r="D110" s="153" t="e">
        <f>+VLOOKUP(B110,#REF!,6,0)</f>
        <v>#REF!</v>
      </c>
      <c r="E110" s="154">
        <v>9241000</v>
      </c>
      <c r="F110" s="154" t="e">
        <f>+VLOOKUP(B110,#REF!,149,0)</f>
        <v>#REF!</v>
      </c>
      <c r="G110" s="155" t="e">
        <f t="shared" si="5"/>
        <v>#REF!</v>
      </c>
      <c r="H110" s="156" t="e">
        <f t="shared" si="4"/>
        <v>#REF!</v>
      </c>
      <c r="I110" s="153">
        <v>0</v>
      </c>
      <c r="J110" s="157" t="e">
        <f t="shared" si="6"/>
        <v>#REF!</v>
      </c>
      <c r="K110" s="153"/>
      <c r="L110" s="197"/>
    </row>
    <row r="111" spans="1:12" s="158" customFormat="1" ht="17">
      <c r="A111" s="161">
        <v>102</v>
      </c>
      <c r="B111" s="152" t="s">
        <v>266</v>
      </c>
      <c r="C111" s="151" t="e">
        <f>VLOOKUP(B111,#REF!,2,0)</f>
        <v>#REF!</v>
      </c>
      <c r="D111" s="153" t="e">
        <f>+VLOOKUP(B111,#REF!,6,0)</f>
        <v>#REF!</v>
      </c>
      <c r="E111" s="154">
        <v>7339000</v>
      </c>
      <c r="F111" s="154" t="e">
        <f>+VLOOKUP(B111,#REF!,149,0)</f>
        <v>#REF!</v>
      </c>
      <c r="G111" s="155" t="e">
        <f t="shared" si="5"/>
        <v>#REF!</v>
      </c>
      <c r="H111" s="156" t="e">
        <f t="shared" si="4"/>
        <v>#REF!</v>
      </c>
      <c r="I111" s="153">
        <v>0</v>
      </c>
      <c r="J111" s="157" t="e">
        <f t="shared" si="6"/>
        <v>#REF!</v>
      </c>
      <c r="K111" s="153"/>
      <c r="L111" s="197"/>
    </row>
    <row r="112" spans="1:12" s="158" customFormat="1" ht="17">
      <c r="A112" s="161">
        <v>103</v>
      </c>
      <c r="B112" s="152" t="s">
        <v>241</v>
      </c>
      <c r="C112" s="151" t="e">
        <f>VLOOKUP(B112,#REF!,2,0)</f>
        <v>#REF!</v>
      </c>
      <c r="D112" s="153" t="e">
        <f>+VLOOKUP(B112,#REF!,6,0)</f>
        <v>#REF!</v>
      </c>
      <c r="E112" s="154">
        <v>3970000</v>
      </c>
      <c r="F112" s="154" t="e">
        <f>+VLOOKUP(B112,#REF!,149,0)</f>
        <v>#REF!</v>
      </c>
      <c r="G112" s="155" t="e">
        <f t="shared" si="5"/>
        <v>#REF!</v>
      </c>
      <c r="H112" s="156" t="e">
        <f t="shared" si="4"/>
        <v>#REF!</v>
      </c>
      <c r="I112" s="153">
        <v>0</v>
      </c>
      <c r="J112" s="157" t="e">
        <f t="shared" si="6"/>
        <v>#REF!</v>
      </c>
      <c r="K112" s="153"/>
      <c r="L112" s="197"/>
    </row>
    <row r="113" spans="1:12" s="158" customFormat="1" ht="17">
      <c r="A113" s="161">
        <v>104</v>
      </c>
      <c r="B113" s="152" t="s">
        <v>185</v>
      </c>
      <c r="C113" s="151" t="e">
        <f>VLOOKUP(B113,#REF!,2,0)</f>
        <v>#REF!</v>
      </c>
      <c r="D113" s="153" t="e">
        <f>+VLOOKUP(B113,#REF!,6,0)</f>
        <v>#REF!</v>
      </c>
      <c r="E113" s="154">
        <v>8841000</v>
      </c>
      <c r="F113" s="154" t="e">
        <f>+VLOOKUP(B113,#REF!,149,0)</f>
        <v>#REF!</v>
      </c>
      <c r="G113" s="155" t="e">
        <f t="shared" si="5"/>
        <v>#REF!</v>
      </c>
      <c r="H113" s="156" t="e">
        <f t="shared" si="4"/>
        <v>#REF!</v>
      </c>
      <c r="I113" s="153">
        <v>0</v>
      </c>
      <c r="J113" s="157" t="e">
        <f t="shared" si="6"/>
        <v>#REF!</v>
      </c>
      <c r="K113" s="153"/>
      <c r="L113" s="197"/>
    </row>
    <row r="114" spans="1:12" s="158" customFormat="1" ht="17">
      <c r="A114" s="161">
        <v>105</v>
      </c>
      <c r="B114" s="171" t="s">
        <v>469</v>
      </c>
      <c r="C114" s="151" t="e">
        <f>VLOOKUP(B114,#REF!,2,0)</f>
        <v>#REF!</v>
      </c>
      <c r="D114" s="153" t="e">
        <f>+VLOOKUP(B114,#REF!,6,0)</f>
        <v>#REF!</v>
      </c>
      <c r="E114" s="154">
        <v>3387000</v>
      </c>
      <c r="F114" s="154" t="e">
        <f>+VLOOKUP(B114,#REF!,149,0)</f>
        <v>#REF!</v>
      </c>
      <c r="G114" s="155" t="e">
        <f t="shared" si="5"/>
        <v>#REF!</v>
      </c>
      <c r="H114" s="156" t="e">
        <f t="shared" si="4"/>
        <v>#REF!</v>
      </c>
      <c r="I114" s="153">
        <v>0</v>
      </c>
      <c r="J114" s="157" t="e">
        <f t="shared" si="6"/>
        <v>#REF!</v>
      </c>
      <c r="K114" s="153"/>
      <c r="L114" s="197"/>
    </row>
    <row r="115" spans="1:12" s="158" customFormat="1" ht="17">
      <c r="A115" s="161">
        <v>106</v>
      </c>
      <c r="B115" s="152" t="s">
        <v>184</v>
      </c>
      <c r="C115" s="151" t="e">
        <f>VLOOKUP(B115,#REF!,2,0)</f>
        <v>#REF!</v>
      </c>
      <c r="D115" s="153" t="e">
        <f>+VLOOKUP(B115,#REF!,6,0)</f>
        <v>#REF!</v>
      </c>
      <c r="E115" s="154">
        <v>8466000</v>
      </c>
      <c r="F115" s="154" t="e">
        <f>+VLOOKUP(B115,#REF!,149,0)</f>
        <v>#REF!</v>
      </c>
      <c r="G115" s="155" t="e">
        <f t="shared" si="5"/>
        <v>#REF!</v>
      </c>
      <c r="H115" s="156" t="e">
        <f t="shared" si="4"/>
        <v>#REF!</v>
      </c>
      <c r="I115" s="153">
        <v>0</v>
      </c>
      <c r="J115" s="157" t="e">
        <f t="shared" si="6"/>
        <v>#REF!</v>
      </c>
      <c r="K115" s="153"/>
      <c r="L115" s="197"/>
    </row>
    <row r="116" spans="1:12" s="158" customFormat="1" ht="17">
      <c r="A116" s="161">
        <v>107</v>
      </c>
      <c r="B116" s="159" t="s">
        <v>417</v>
      </c>
      <c r="C116" s="151" t="e">
        <f>VLOOKUP(B116,#REF!,2,0)</f>
        <v>#REF!</v>
      </c>
      <c r="D116" s="153" t="e">
        <f>+VLOOKUP(B116,#REF!,6,0)</f>
        <v>#REF!</v>
      </c>
      <c r="E116" s="154">
        <v>9241000</v>
      </c>
      <c r="F116" s="154" t="e">
        <f>+VLOOKUP(B116,#REF!,149,0)</f>
        <v>#REF!</v>
      </c>
      <c r="G116" s="155" t="e">
        <f t="shared" si="5"/>
        <v>#REF!</v>
      </c>
      <c r="H116" s="156" t="e">
        <f t="shared" si="4"/>
        <v>#REF!</v>
      </c>
      <c r="I116" s="153">
        <v>0</v>
      </c>
      <c r="J116" s="157" t="e">
        <f t="shared" si="6"/>
        <v>#REF!</v>
      </c>
      <c r="K116" s="153"/>
      <c r="L116" s="197"/>
    </row>
    <row r="117" spans="1:12" s="158" customFormat="1" ht="17">
      <c r="A117" s="161">
        <v>108</v>
      </c>
      <c r="B117" s="159" t="s">
        <v>421</v>
      </c>
      <c r="C117" s="151" t="e">
        <f>VLOOKUP(B117,#REF!,2,0)</f>
        <v>#REF!</v>
      </c>
      <c r="D117" s="153" t="e">
        <f>+VLOOKUP(B117,#REF!,6,0)</f>
        <v>#REF!</v>
      </c>
      <c r="E117" s="154">
        <v>8841000</v>
      </c>
      <c r="F117" s="154" t="e">
        <f>+VLOOKUP(B117,#REF!,149,0)</f>
        <v>#REF!</v>
      </c>
      <c r="G117" s="155" t="e">
        <f t="shared" si="5"/>
        <v>#REF!</v>
      </c>
      <c r="H117" s="156" t="e">
        <f t="shared" si="4"/>
        <v>#REF!</v>
      </c>
      <c r="I117" s="153">
        <v>0</v>
      </c>
      <c r="J117" s="157" t="e">
        <f t="shared" si="6"/>
        <v>#REF!</v>
      </c>
      <c r="K117" s="153"/>
      <c r="L117" s="197"/>
    </row>
    <row r="118" spans="1:12" s="158" customFormat="1" ht="17">
      <c r="A118" s="161">
        <v>109</v>
      </c>
      <c r="B118" s="159" t="s">
        <v>422</v>
      </c>
      <c r="C118" s="151" t="e">
        <f>VLOOKUP(B118,#REF!,2,0)</f>
        <v>#REF!</v>
      </c>
      <c r="D118" s="153" t="e">
        <f>+VLOOKUP(B118,#REF!,6,0)</f>
        <v>#REF!</v>
      </c>
      <c r="E118" s="154">
        <v>9171000</v>
      </c>
      <c r="F118" s="154" t="e">
        <f>+VLOOKUP(B118,#REF!,149,0)</f>
        <v>#REF!</v>
      </c>
      <c r="G118" s="155" t="e">
        <f t="shared" si="5"/>
        <v>#REF!</v>
      </c>
      <c r="H118" s="156" t="e">
        <f t="shared" si="4"/>
        <v>#REF!</v>
      </c>
      <c r="I118" s="153">
        <v>0</v>
      </c>
      <c r="J118" s="157" t="e">
        <f t="shared" si="6"/>
        <v>#REF!</v>
      </c>
      <c r="K118" s="153"/>
      <c r="L118" s="197"/>
    </row>
    <row r="119" spans="1:12" s="158" customFormat="1" ht="17">
      <c r="A119" s="161">
        <v>110</v>
      </c>
      <c r="B119" s="152" t="s">
        <v>124</v>
      </c>
      <c r="C119" s="151" t="e">
        <f>VLOOKUP(B119,#REF!,2,0)</f>
        <v>#REF!</v>
      </c>
      <c r="D119" s="153" t="e">
        <f>+VLOOKUP(B119,#REF!,6,0)</f>
        <v>#REF!</v>
      </c>
      <c r="E119" s="154">
        <v>7657000</v>
      </c>
      <c r="F119" s="154" t="e">
        <f>+VLOOKUP(B119,#REF!,149,0)</f>
        <v>#REF!</v>
      </c>
      <c r="G119" s="155" t="e">
        <f t="shared" si="5"/>
        <v>#REF!</v>
      </c>
      <c r="H119" s="156" t="e">
        <f t="shared" si="4"/>
        <v>#REF!</v>
      </c>
      <c r="I119" s="153">
        <v>0</v>
      </c>
      <c r="J119" s="157" t="e">
        <f t="shared" si="6"/>
        <v>#REF!</v>
      </c>
      <c r="K119" s="153"/>
      <c r="L119" s="197"/>
    </row>
    <row r="120" spans="1:12" s="158" customFormat="1" ht="17">
      <c r="A120" s="161">
        <v>111</v>
      </c>
      <c r="B120" s="152" t="s">
        <v>278</v>
      </c>
      <c r="C120" s="151" t="e">
        <f>VLOOKUP(B120,#REF!,2,0)</f>
        <v>#REF!</v>
      </c>
      <c r="D120" s="153" t="e">
        <f>+VLOOKUP(B120,#REF!,6,0)</f>
        <v>#REF!</v>
      </c>
      <c r="E120" s="154">
        <v>7850000</v>
      </c>
      <c r="F120" s="154" t="e">
        <f>+VLOOKUP(B120,#REF!,149,0)</f>
        <v>#REF!</v>
      </c>
      <c r="G120" s="155" t="e">
        <f t="shared" si="5"/>
        <v>#REF!</v>
      </c>
      <c r="H120" s="156" t="e">
        <f t="shared" si="4"/>
        <v>#REF!</v>
      </c>
      <c r="I120" s="153">
        <v>0</v>
      </c>
      <c r="J120" s="157" t="e">
        <f t="shared" si="6"/>
        <v>#REF!</v>
      </c>
      <c r="K120" s="153"/>
      <c r="L120" s="197"/>
    </row>
    <row r="121" spans="1:12" s="158" customFormat="1" ht="17">
      <c r="A121" s="161">
        <v>112</v>
      </c>
      <c r="B121" s="152" t="s">
        <v>299</v>
      </c>
      <c r="C121" s="151" t="e">
        <f>VLOOKUP(B121,#REF!,2,0)</f>
        <v>#REF!</v>
      </c>
      <c r="D121" s="153" t="e">
        <f>+VLOOKUP(B121,#REF!,6,0)</f>
        <v>#REF!</v>
      </c>
      <c r="E121" s="154">
        <v>8356000</v>
      </c>
      <c r="F121" s="154" t="e">
        <f>+VLOOKUP(B121,#REF!,149,0)</f>
        <v>#REF!</v>
      </c>
      <c r="G121" s="155" t="e">
        <f t="shared" si="5"/>
        <v>#REF!</v>
      </c>
      <c r="H121" s="156" t="e">
        <f t="shared" si="4"/>
        <v>#REF!</v>
      </c>
      <c r="I121" s="153">
        <v>0</v>
      </c>
      <c r="J121" s="157" t="e">
        <f t="shared" si="6"/>
        <v>#REF!</v>
      </c>
      <c r="K121" s="153"/>
      <c r="L121" s="197"/>
    </row>
    <row r="122" spans="1:12" s="158" customFormat="1" ht="17">
      <c r="A122" s="161">
        <v>113</v>
      </c>
      <c r="B122" s="152" t="s">
        <v>101</v>
      </c>
      <c r="C122" s="151" t="e">
        <f>VLOOKUP(B122,#REF!,2,0)</f>
        <v>#REF!</v>
      </c>
      <c r="D122" s="153" t="e">
        <f>+VLOOKUP(B122,#REF!,6,0)</f>
        <v>#REF!</v>
      </c>
      <c r="E122" s="154">
        <v>8801000</v>
      </c>
      <c r="F122" s="154" t="e">
        <f>+VLOOKUP(B122,#REF!,149,0)</f>
        <v>#REF!</v>
      </c>
      <c r="G122" s="155" t="e">
        <f t="shared" si="5"/>
        <v>#REF!</v>
      </c>
      <c r="H122" s="156" t="e">
        <f t="shared" si="4"/>
        <v>#REF!</v>
      </c>
      <c r="I122" s="153">
        <v>0</v>
      </c>
      <c r="J122" s="157" t="e">
        <f t="shared" si="6"/>
        <v>#REF!</v>
      </c>
      <c r="K122" s="153"/>
      <c r="L122" s="197"/>
    </row>
    <row r="123" spans="1:12" s="158" customFormat="1" ht="17">
      <c r="A123" s="161">
        <v>114</v>
      </c>
      <c r="B123" s="152" t="s">
        <v>102</v>
      </c>
      <c r="C123" s="151" t="e">
        <f>VLOOKUP(B123,#REF!,2,0)</f>
        <v>#REF!</v>
      </c>
      <c r="D123" s="153" t="e">
        <f>+VLOOKUP(B123,#REF!,6,0)</f>
        <v>#REF!</v>
      </c>
      <c r="E123" s="154">
        <v>6193000</v>
      </c>
      <c r="F123" s="154" t="e">
        <f>+VLOOKUP(B123,#REF!,149,0)</f>
        <v>#REF!</v>
      </c>
      <c r="G123" s="155" t="e">
        <f t="shared" si="5"/>
        <v>#REF!</v>
      </c>
      <c r="H123" s="156" t="e">
        <f t="shared" si="4"/>
        <v>#REF!</v>
      </c>
      <c r="I123" s="153">
        <v>0</v>
      </c>
      <c r="J123" s="157" t="e">
        <f t="shared" si="6"/>
        <v>#REF!</v>
      </c>
      <c r="K123" s="153"/>
      <c r="L123" s="197"/>
    </row>
    <row r="124" spans="1:12" s="158" customFormat="1" ht="17">
      <c r="A124" s="161">
        <v>115</v>
      </c>
      <c r="B124" s="152" t="s">
        <v>103</v>
      </c>
      <c r="C124" s="151" t="e">
        <f>VLOOKUP(B124,#REF!,2,0)</f>
        <v>#REF!</v>
      </c>
      <c r="D124" s="153" t="e">
        <f>+VLOOKUP(B124,#REF!,6,0)</f>
        <v>#REF!</v>
      </c>
      <c r="E124" s="154">
        <v>6905000</v>
      </c>
      <c r="F124" s="154" t="e">
        <f>+VLOOKUP(B124,#REF!,149,0)</f>
        <v>#REF!</v>
      </c>
      <c r="G124" s="155" t="e">
        <f t="shared" si="5"/>
        <v>#REF!</v>
      </c>
      <c r="H124" s="156" t="e">
        <f t="shared" si="4"/>
        <v>#REF!</v>
      </c>
      <c r="I124" s="153">
        <v>0</v>
      </c>
      <c r="J124" s="157" t="e">
        <f t="shared" si="6"/>
        <v>#REF!</v>
      </c>
      <c r="K124" s="153"/>
      <c r="L124" s="197"/>
    </row>
    <row r="125" spans="1:12" s="158" customFormat="1" ht="17">
      <c r="A125" s="161">
        <v>116</v>
      </c>
      <c r="B125" s="152" t="s">
        <v>104</v>
      </c>
      <c r="C125" s="151" t="e">
        <f>VLOOKUP(B125,#REF!,2,0)</f>
        <v>#REF!</v>
      </c>
      <c r="D125" s="153" t="e">
        <f>+VLOOKUP(B125,#REF!,6,0)</f>
        <v>#REF!</v>
      </c>
      <c r="E125" s="154">
        <v>9521000</v>
      </c>
      <c r="F125" s="154" t="e">
        <f>+VLOOKUP(B125,#REF!,149,0)</f>
        <v>#REF!</v>
      </c>
      <c r="G125" s="155" t="e">
        <f t="shared" si="5"/>
        <v>#REF!</v>
      </c>
      <c r="H125" s="156" t="e">
        <f t="shared" si="4"/>
        <v>#REF!</v>
      </c>
      <c r="I125" s="153">
        <v>0</v>
      </c>
      <c r="J125" s="157" t="e">
        <f t="shared" si="6"/>
        <v>#REF!</v>
      </c>
      <c r="K125" s="153"/>
      <c r="L125" s="197"/>
    </row>
    <row r="126" spans="1:12" s="158" customFormat="1" ht="17">
      <c r="A126" s="161">
        <v>117</v>
      </c>
      <c r="B126" s="159" t="s">
        <v>281</v>
      </c>
      <c r="C126" s="151" t="e">
        <f>VLOOKUP(B126,#REF!,2,0)</f>
        <v>#REF!</v>
      </c>
      <c r="D126" s="153" t="e">
        <f>+VLOOKUP(B126,#REF!,6,0)</f>
        <v>#REF!</v>
      </c>
      <c r="E126" s="154">
        <v>8758000</v>
      </c>
      <c r="F126" s="154" t="e">
        <f>+VLOOKUP(B126,#REF!,149,0)</f>
        <v>#REF!</v>
      </c>
      <c r="G126" s="155" t="e">
        <f t="shared" si="5"/>
        <v>#REF!</v>
      </c>
      <c r="H126" s="156" t="e">
        <f t="shared" si="4"/>
        <v>#REF!</v>
      </c>
      <c r="I126" s="153">
        <v>0</v>
      </c>
      <c r="J126" s="157" t="e">
        <f t="shared" si="6"/>
        <v>#REF!</v>
      </c>
      <c r="K126" s="153"/>
      <c r="L126" s="197"/>
    </row>
    <row r="127" spans="1:12" s="158" customFormat="1" ht="17">
      <c r="A127" s="161">
        <v>118</v>
      </c>
      <c r="B127" s="152" t="s">
        <v>108</v>
      </c>
      <c r="C127" s="151" t="e">
        <f>VLOOKUP(B127,#REF!,2,0)</f>
        <v>#REF!</v>
      </c>
      <c r="D127" s="153" t="e">
        <f>+VLOOKUP(B127,#REF!,6,0)</f>
        <v>#REF!</v>
      </c>
      <c r="E127" s="154">
        <v>9912000</v>
      </c>
      <c r="F127" s="154" t="e">
        <f>+VLOOKUP(B127,#REF!,149,0)</f>
        <v>#REF!</v>
      </c>
      <c r="G127" s="155" t="e">
        <f t="shared" si="5"/>
        <v>#REF!</v>
      </c>
      <c r="H127" s="156" t="e">
        <f t="shared" si="4"/>
        <v>#REF!</v>
      </c>
      <c r="I127" s="153">
        <v>0</v>
      </c>
      <c r="J127" s="157" t="e">
        <f t="shared" si="6"/>
        <v>#REF!</v>
      </c>
      <c r="K127" s="153"/>
      <c r="L127" s="197"/>
    </row>
    <row r="128" spans="1:12" s="158" customFormat="1" ht="17">
      <c r="A128" s="161">
        <v>119</v>
      </c>
      <c r="B128" s="152" t="s">
        <v>109</v>
      </c>
      <c r="C128" s="151" t="e">
        <f>VLOOKUP(B128,#REF!,2,0)</f>
        <v>#REF!</v>
      </c>
      <c r="D128" s="153" t="e">
        <f>+VLOOKUP(B128,#REF!,6,0)</f>
        <v>#REF!</v>
      </c>
      <c r="E128" s="154">
        <v>8790000</v>
      </c>
      <c r="F128" s="154" t="e">
        <f>+VLOOKUP(B128,#REF!,149,0)</f>
        <v>#REF!</v>
      </c>
      <c r="G128" s="155" t="e">
        <f t="shared" si="5"/>
        <v>#REF!</v>
      </c>
      <c r="H128" s="156" t="e">
        <f t="shared" si="4"/>
        <v>#REF!</v>
      </c>
      <c r="I128" s="153">
        <v>0</v>
      </c>
      <c r="J128" s="157" t="e">
        <f t="shared" si="6"/>
        <v>#REF!</v>
      </c>
      <c r="K128" s="153"/>
      <c r="L128" s="197"/>
    </row>
    <row r="129" spans="1:12" s="158" customFormat="1" ht="17">
      <c r="A129" s="161">
        <v>120</v>
      </c>
      <c r="B129" s="152" t="s">
        <v>110</v>
      </c>
      <c r="C129" s="151" t="e">
        <f>VLOOKUP(B129,#REF!,2,0)</f>
        <v>#REF!</v>
      </c>
      <c r="D129" s="153" t="e">
        <f>+VLOOKUP(B129,#REF!,6,0)</f>
        <v>#REF!</v>
      </c>
      <c r="E129" s="154">
        <v>8780000</v>
      </c>
      <c r="F129" s="154" t="e">
        <f>+VLOOKUP(B129,#REF!,149,0)</f>
        <v>#REF!</v>
      </c>
      <c r="G129" s="155" t="e">
        <f t="shared" si="5"/>
        <v>#REF!</v>
      </c>
      <c r="H129" s="156" t="e">
        <f t="shared" si="4"/>
        <v>#REF!</v>
      </c>
      <c r="I129" s="153">
        <v>0</v>
      </c>
      <c r="J129" s="157" t="e">
        <f t="shared" si="6"/>
        <v>#REF!</v>
      </c>
      <c r="K129" s="153"/>
      <c r="L129" s="197"/>
    </row>
    <row r="130" spans="1:12" s="158" customFormat="1" ht="17">
      <c r="A130" s="161">
        <v>121</v>
      </c>
      <c r="B130" s="152" t="s">
        <v>111</v>
      </c>
      <c r="C130" s="151" t="e">
        <f>VLOOKUP(B130,#REF!,2,0)</f>
        <v>#REF!</v>
      </c>
      <c r="D130" s="153" t="e">
        <f>+VLOOKUP(B130,#REF!,6,0)</f>
        <v>#REF!</v>
      </c>
      <c r="E130" s="154">
        <v>9330000</v>
      </c>
      <c r="F130" s="154" t="e">
        <f>+VLOOKUP(B130,#REF!,149,0)</f>
        <v>#REF!</v>
      </c>
      <c r="G130" s="155" t="e">
        <f t="shared" si="5"/>
        <v>#REF!</v>
      </c>
      <c r="H130" s="156" t="e">
        <f t="shared" si="4"/>
        <v>#REF!</v>
      </c>
      <c r="I130" s="153">
        <v>0</v>
      </c>
      <c r="J130" s="157" t="e">
        <f t="shared" si="6"/>
        <v>#REF!</v>
      </c>
      <c r="K130" s="153"/>
      <c r="L130" s="197"/>
    </row>
    <row r="131" spans="1:12" s="158" customFormat="1" ht="17">
      <c r="A131" s="161">
        <v>122</v>
      </c>
      <c r="B131" s="152" t="s">
        <v>279</v>
      </c>
      <c r="C131" s="151" t="e">
        <f>VLOOKUP(B131,#REF!,2,0)</f>
        <v>#REF!</v>
      </c>
      <c r="D131" s="153" t="e">
        <f>+VLOOKUP(B131,#REF!,6,0)</f>
        <v>#REF!</v>
      </c>
      <c r="E131" s="154">
        <v>6955000</v>
      </c>
      <c r="F131" s="154" t="e">
        <f>+VLOOKUP(B131,#REF!,149,0)</f>
        <v>#REF!</v>
      </c>
      <c r="G131" s="155" t="e">
        <f t="shared" si="5"/>
        <v>#REF!</v>
      </c>
      <c r="H131" s="156" t="e">
        <f t="shared" ref="H131:H194" si="7">+ROUND(G131*50,0)</f>
        <v>#REF!</v>
      </c>
      <c r="I131" s="153">
        <v>0</v>
      </c>
      <c r="J131" s="157" t="e">
        <f t="shared" si="6"/>
        <v>#REF!</v>
      </c>
      <c r="K131" s="153"/>
      <c r="L131" s="197"/>
    </row>
    <row r="132" spans="1:12" s="158" customFormat="1" ht="17">
      <c r="A132" s="161">
        <v>123</v>
      </c>
      <c r="B132" s="152" t="s">
        <v>312</v>
      </c>
      <c r="C132" s="151" t="e">
        <f>VLOOKUP(B132,#REF!,2,0)</f>
        <v>#REF!</v>
      </c>
      <c r="D132" s="153" t="e">
        <f>+VLOOKUP(B132,#REF!,6,0)</f>
        <v>#REF!</v>
      </c>
      <c r="E132" s="154">
        <v>8769000</v>
      </c>
      <c r="F132" s="154" t="e">
        <f>+VLOOKUP(B132,#REF!,149,0)</f>
        <v>#REF!</v>
      </c>
      <c r="G132" s="155" t="e">
        <f t="shared" ref="G132:G195" si="8">+F132/E132</f>
        <v>#REF!</v>
      </c>
      <c r="H132" s="156" t="e">
        <f t="shared" si="7"/>
        <v>#REF!</v>
      </c>
      <c r="I132" s="153">
        <v>0</v>
      </c>
      <c r="J132" s="157" t="e">
        <f t="shared" si="6"/>
        <v>#REF!</v>
      </c>
      <c r="K132" s="153"/>
      <c r="L132" s="197"/>
    </row>
    <row r="133" spans="1:12" s="158" customFormat="1" ht="17">
      <c r="A133" s="161">
        <v>124</v>
      </c>
      <c r="B133" s="152" t="s">
        <v>174</v>
      </c>
      <c r="C133" s="151" t="e">
        <f>VLOOKUP(B133,#REF!,2,0)</f>
        <v>#REF!</v>
      </c>
      <c r="D133" s="153" t="e">
        <f>+VLOOKUP(B133,#REF!,6,0)</f>
        <v>#REF!</v>
      </c>
      <c r="E133" s="154">
        <v>9531000</v>
      </c>
      <c r="F133" s="154" t="e">
        <f>+VLOOKUP(B133,#REF!,149,0)</f>
        <v>#REF!</v>
      </c>
      <c r="G133" s="155" t="e">
        <f t="shared" si="8"/>
        <v>#REF!</v>
      </c>
      <c r="H133" s="156" t="e">
        <f t="shared" si="7"/>
        <v>#REF!</v>
      </c>
      <c r="I133" s="153">
        <v>0</v>
      </c>
      <c r="J133" s="157" t="e">
        <f t="shared" si="6"/>
        <v>#REF!</v>
      </c>
      <c r="K133" s="153"/>
      <c r="L133" s="197"/>
    </row>
    <row r="134" spans="1:12" s="158" customFormat="1" ht="17">
      <c r="A134" s="161">
        <v>125</v>
      </c>
      <c r="B134" s="159" t="s">
        <v>390</v>
      </c>
      <c r="C134" s="151" t="e">
        <f>VLOOKUP(B134,#REF!,2,0)</f>
        <v>#REF!</v>
      </c>
      <c r="D134" s="153" t="e">
        <f>+VLOOKUP(B134,#REF!,6,0)</f>
        <v>#REF!</v>
      </c>
      <c r="E134" s="154">
        <v>9531000</v>
      </c>
      <c r="F134" s="154" t="e">
        <f>+VLOOKUP(B134,#REF!,149,0)</f>
        <v>#REF!</v>
      </c>
      <c r="G134" s="155" t="e">
        <f t="shared" si="8"/>
        <v>#REF!</v>
      </c>
      <c r="H134" s="156" t="e">
        <f t="shared" si="7"/>
        <v>#REF!</v>
      </c>
      <c r="I134" s="153">
        <v>0</v>
      </c>
      <c r="J134" s="157" t="e">
        <f t="shared" si="6"/>
        <v>#REF!</v>
      </c>
      <c r="K134" s="153"/>
      <c r="L134" s="197"/>
    </row>
    <row r="135" spans="1:12" s="158" customFormat="1" ht="17">
      <c r="A135" s="161">
        <v>126</v>
      </c>
      <c r="B135" s="159" t="s">
        <v>443</v>
      </c>
      <c r="C135" s="151" t="e">
        <f>VLOOKUP(B135,#REF!,2,0)</f>
        <v>#REF!</v>
      </c>
      <c r="D135" s="153" t="e">
        <f>+VLOOKUP(B135,#REF!,6,0)</f>
        <v>#REF!</v>
      </c>
      <c r="E135" s="154">
        <v>8758000</v>
      </c>
      <c r="F135" s="154" t="e">
        <f>+VLOOKUP(B135,#REF!,149,0)</f>
        <v>#REF!</v>
      </c>
      <c r="G135" s="155" t="e">
        <f t="shared" si="8"/>
        <v>#REF!</v>
      </c>
      <c r="H135" s="156" t="e">
        <f t="shared" si="7"/>
        <v>#REF!</v>
      </c>
      <c r="I135" s="153">
        <v>0</v>
      </c>
      <c r="J135" s="157" t="e">
        <f t="shared" si="6"/>
        <v>#REF!</v>
      </c>
      <c r="K135" s="153"/>
      <c r="L135" s="197"/>
    </row>
    <row r="136" spans="1:12" s="158" customFormat="1" ht="17">
      <c r="A136" s="161">
        <v>127</v>
      </c>
      <c r="B136" s="159" t="s">
        <v>444</v>
      </c>
      <c r="C136" s="151" t="e">
        <f>VLOOKUP(B136,#REF!,2,0)</f>
        <v>#REF!</v>
      </c>
      <c r="D136" s="153" t="e">
        <f>+VLOOKUP(B136,#REF!,6,0)</f>
        <v>#REF!</v>
      </c>
      <c r="E136" s="154">
        <v>8377000</v>
      </c>
      <c r="F136" s="154" t="e">
        <f>+VLOOKUP(B136,#REF!,149,0)</f>
        <v>#REF!</v>
      </c>
      <c r="G136" s="155" t="e">
        <f t="shared" si="8"/>
        <v>#REF!</v>
      </c>
      <c r="H136" s="156" t="e">
        <f t="shared" si="7"/>
        <v>#REF!</v>
      </c>
      <c r="I136" s="153">
        <v>0</v>
      </c>
      <c r="J136" s="157" t="e">
        <f t="shared" si="6"/>
        <v>#REF!</v>
      </c>
      <c r="K136" s="153"/>
      <c r="L136" s="197"/>
    </row>
    <row r="137" spans="1:12" s="158" customFormat="1" ht="17">
      <c r="A137" s="161">
        <v>128</v>
      </c>
      <c r="B137" s="152" t="s">
        <v>114</v>
      </c>
      <c r="C137" s="151" t="e">
        <f>VLOOKUP(B137,#REF!,2,0)</f>
        <v>#REF!</v>
      </c>
      <c r="D137" s="153" t="e">
        <f>+VLOOKUP(B137,#REF!,6,0)</f>
        <v>#REF!</v>
      </c>
      <c r="E137" s="154">
        <v>8480000</v>
      </c>
      <c r="F137" s="154" t="e">
        <f>+VLOOKUP(B137,#REF!,149,0)</f>
        <v>#REF!</v>
      </c>
      <c r="G137" s="155" t="e">
        <f t="shared" si="8"/>
        <v>#REF!</v>
      </c>
      <c r="H137" s="156" t="e">
        <f t="shared" si="7"/>
        <v>#REF!</v>
      </c>
      <c r="I137" s="153">
        <v>0</v>
      </c>
      <c r="J137" s="157" t="e">
        <f t="shared" si="6"/>
        <v>#REF!</v>
      </c>
      <c r="K137" s="153"/>
      <c r="L137" s="197"/>
    </row>
    <row r="138" spans="1:12" s="158" customFormat="1" ht="17">
      <c r="A138" s="161">
        <v>129</v>
      </c>
      <c r="B138" s="152" t="s">
        <v>324</v>
      </c>
      <c r="C138" s="151" t="e">
        <f>VLOOKUP(B138,#REF!,2,0)</f>
        <v>#REF!</v>
      </c>
      <c r="D138" s="153" t="e">
        <f>+VLOOKUP(B138,#REF!,6,0)</f>
        <v>#REF!</v>
      </c>
      <c r="E138" s="154">
        <v>9542000</v>
      </c>
      <c r="F138" s="154" t="e">
        <f>+VLOOKUP(B138,#REF!,149,0)</f>
        <v>#REF!</v>
      </c>
      <c r="G138" s="155" t="e">
        <f t="shared" si="8"/>
        <v>#REF!</v>
      </c>
      <c r="H138" s="156" t="e">
        <f t="shared" si="7"/>
        <v>#REF!</v>
      </c>
      <c r="I138" s="153">
        <v>0</v>
      </c>
      <c r="J138" s="157" t="e">
        <f t="shared" si="6"/>
        <v>#REF!</v>
      </c>
      <c r="K138" s="153"/>
      <c r="L138" s="197"/>
    </row>
    <row r="139" spans="1:12" s="158" customFormat="1" ht="17">
      <c r="A139" s="161">
        <v>130</v>
      </c>
      <c r="B139" s="152" t="s">
        <v>116</v>
      </c>
      <c r="C139" s="151" t="e">
        <f>VLOOKUP(B139,#REF!,2,0)</f>
        <v>#REF!</v>
      </c>
      <c r="D139" s="153" t="e">
        <f>+VLOOKUP(B139,#REF!,6,0)</f>
        <v>#REF!</v>
      </c>
      <c r="E139" s="154">
        <v>9342000</v>
      </c>
      <c r="F139" s="154" t="e">
        <f>+VLOOKUP(B139,#REF!,149,0)</f>
        <v>#REF!</v>
      </c>
      <c r="G139" s="155" t="e">
        <f t="shared" si="8"/>
        <v>#REF!</v>
      </c>
      <c r="H139" s="156" t="e">
        <f t="shared" si="7"/>
        <v>#REF!</v>
      </c>
      <c r="I139" s="153">
        <v>0</v>
      </c>
      <c r="J139" s="157" t="e">
        <f t="shared" si="6"/>
        <v>#REF!</v>
      </c>
      <c r="K139" s="153"/>
      <c r="L139" s="197"/>
    </row>
    <row r="140" spans="1:12" s="158" customFormat="1" ht="17">
      <c r="A140" s="161">
        <v>131</v>
      </c>
      <c r="B140" s="152" t="s">
        <v>117</v>
      </c>
      <c r="C140" s="151" t="e">
        <f>VLOOKUP(B140,#REF!,2,0)</f>
        <v>#REF!</v>
      </c>
      <c r="D140" s="153" t="e">
        <f>+VLOOKUP(B140,#REF!,6,0)</f>
        <v>#REF!</v>
      </c>
      <c r="E140" s="154">
        <v>9744000</v>
      </c>
      <c r="F140" s="154" t="e">
        <f>+VLOOKUP(B140,#REF!,149,0)</f>
        <v>#REF!</v>
      </c>
      <c r="G140" s="155" t="e">
        <f t="shared" si="8"/>
        <v>#REF!</v>
      </c>
      <c r="H140" s="156" t="e">
        <f t="shared" si="7"/>
        <v>#REF!</v>
      </c>
      <c r="I140" s="153">
        <v>0</v>
      </c>
      <c r="J140" s="157" t="e">
        <f t="shared" si="6"/>
        <v>#REF!</v>
      </c>
      <c r="K140" s="153"/>
      <c r="L140" s="197"/>
    </row>
    <row r="141" spans="1:12" s="158" customFormat="1" ht="17">
      <c r="A141" s="161">
        <v>132</v>
      </c>
      <c r="B141" s="152" t="s">
        <v>118</v>
      </c>
      <c r="C141" s="151" t="e">
        <f>VLOOKUP(B141,#REF!,2,0)</f>
        <v>#REF!</v>
      </c>
      <c r="D141" s="153" t="e">
        <f>+VLOOKUP(B141,#REF!,6,0)</f>
        <v>#REF!</v>
      </c>
      <c r="E141" s="154">
        <v>8758000</v>
      </c>
      <c r="F141" s="154" t="e">
        <f>+VLOOKUP(B141,#REF!,149,0)</f>
        <v>#REF!</v>
      </c>
      <c r="G141" s="155" t="e">
        <f t="shared" si="8"/>
        <v>#REF!</v>
      </c>
      <c r="H141" s="156" t="e">
        <f t="shared" si="7"/>
        <v>#REF!</v>
      </c>
      <c r="I141" s="153">
        <v>0</v>
      </c>
      <c r="J141" s="157" t="e">
        <f t="shared" ref="J141:J204" si="9">+F141-E141+I141</f>
        <v>#REF!</v>
      </c>
      <c r="K141" s="153"/>
      <c r="L141" s="197"/>
    </row>
    <row r="142" spans="1:12" s="180" customFormat="1" ht="17">
      <c r="A142" s="172">
        <v>133</v>
      </c>
      <c r="B142" s="173" t="s">
        <v>119</v>
      </c>
      <c r="C142" s="174" t="e">
        <f>VLOOKUP(B142,#REF!,2,0)</f>
        <v>#REF!</v>
      </c>
      <c r="D142" s="175" t="e">
        <f>+VLOOKUP(B142,#REF!,6,0)</f>
        <v>#REF!</v>
      </c>
      <c r="E142" s="176">
        <v>-408000</v>
      </c>
      <c r="F142" s="176" t="e">
        <f>+VLOOKUP(B142,#REF!,149,0)</f>
        <v>#REF!</v>
      </c>
      <c r="G142" s="177" t="e">
        <f t="shared" si="8"/>
        <v>#REF!</v>
      </c>
      <c r="H142" s="178" t="e">
        <f t="shared" si="7"/>
        <v>#REF!</v>
      </c>
      <c r="I142" s="175">
        <v>0</v>
      </c>
      <c r="J142" s="179" t="e">
        <f t="shared" si="9"/>
        <v>#REF!</v>
      </c>
      <c r="K142" s="175"/>
    </row>
    <row r="143" spans="1:12" s="180" customFormat="1" ht="17">
      <c r="A143" s="172">
        <v>134</v>
      </c>
      <c r="B143" s="173" t="s">
        <v>107</v>
      </c>
      <c r="C143" s="174" t="e">
        <f>VLOOKUP(B143,#REF!,2,0)</f>
        <v>#REF!</v>
      </c>
      <c r="D143" s="175" t="e">
        <f>+VLOOKUP(B143,#REF!,6,0)</f>
        <v>#REF!</v>
      </c>
      <c r="E143" s="176">
        <v>40000</v>
      </c>
      <c r="F143" s="176" t="e">
        <f>+VLOOKUP(B143,#REF!,149,0)</f>
        <v>#REF!</v>
      </c>
      <c r="G143" s="177" t="e">
        <f t="shared" si="8"/>
        <v>#REF!</v>
      </c>
      <c r="H143" s="178" t="e">
        <f t="shared" si="7"/>
        <v>#REF!</v>
      </c>
      <c r="I143" s="175">
        <v>0</v>
      </c>
      <c r="J143" s="179" t="e">
        <f t="shared" si="9"/>
        <v>#REF!</v>
      </c>
      <c r="K143" s="175"/>
    </row>
    <row r="144" spans="1:12" s="158" customFormat="1" ht="17">
      <c r="A144" s="161">
        <v>135</v>
      </c>
      <c r="B144" s="159" t="s">
        <v>121</v>
      </c>
      <c r="C144" s="151" t="e">
        <f>VLOOKUP(B144,#REF!,2,0)</f>
        <v>#REF!</v>
      </c>
      <c r="D144" s="153" t="e">
        <f>+VLOOKUP(B144,#REF!,6,0)</f>
        <v>#REF!</v>
      </c>
      <c r="E144" s="154">
        <v>7985000</v>
      </c>
      <c r="F144" s="154" t="e">
        <f>+VLOOKUP(B144,#REF!,149,0)</f>
        <v>#REF!</v>
      </c>
      <c r="G144" s="155" t="e">
        <f t="shared" si="8"/>
        <v>#REF!</v>
      </c>
      <c r="H144" s="156" t="e">
        <f t="shared" si="7"/>
        <v>#REF!</v>
      </c>
      <c r="I144" s="153">
        <v>0</v>
      </c>
      <c r="J144" s="157" t="e">
        <f t="shared" si="9"/>
        <v>#REF!</v>
      </c>
      <c r="K144" s="153"/>
      <c r="L144" s="197"/>
    </row>
    <row r="145" spans="1:12" s="158" customFormat="1" ht="17">
      <c r="A145" s="161">
        <v>136</v>
      </c>
      <c r="B145" s="152" t="s">
        <v>122</v>
      </c>
      <c r="C145" s="151" t="e">
        <f>VLOOKUP(B145,#REF!,2,0)</f>
        <v>#REF!</v>
      </c>
      <c r="D145" s="153" t="e">
        <f>+VLOOKUP(B145,#REF!,6,0)</f>
        <v>#REF!</v>
      </c>
      <c r="E145" s="154">
        <v>8748000</v>
      </c>
      <c r="F145" s="154" t="e">
        <f>+VLOOKUP(B145,#REF!,149,0)</f>
        <v>#REF!</v>
      </c>
      <c r="G145" s="155" t="e">
        <f t="shared" si="8"/>
        <v>#REF!</v>
      </c>
      <c r="H145" s="156" t="e">
        <f t="shared" si="7"/>
        <v>#REF!</v>
      </c>
      <c r="I145" s="153">
        <v>0</v>
      </c>
      <c r="J145" s="157" t="e">
        <f t="shared" si="9"/>
        <v>#REF!</v>
      </c>
      <c r="K145" s="153"/>
      <c r="L145" s="197"/>
    </row>
    <row r="146" spans="1:12" s="158" customFormat="1" ht="17">
      <c r="A146" s="161">
        <v>137</v>
      </c>
      <c r="B146" s="159" t="s">
        <v>121</v>
      </c>
      <c r="C146" s="151" t="e">
        <f>VLOOKUP(B146,#REF!,2,0)</f>
        <v>#REF!</v>
      </c>
      <c r="D146" s="153" t="e">
        <f>+VLOOKUP(B146,#REF!,6,0)</f>
        <v>#REF!</v>
      </c>
      <c r="E146" s="154">
        <v>8067000</v>
      </c>
      <c r="F146" s="154" t="e">
        <f>+VLOOKUP(B146,#REF!,149,0)</f>
        <v>#REF!</v>
      </c>
      <c r="G146" s="155" t="e">
        <f t="shared" si="8"/>
        <v>#REF!</v>
      </c>
      <c r="H146" s="156" t="e">
        <f t="shared" si="7"/>
        <v>#REF!</v>
      </c>
      <c r="I146" s="153">
        <v>0</v>
      </c>
      <c r="J146" s="157" t="e">
        <f t="shared" si="9"/>
        <v>#REF!</v>
      </c>
      <c r="K146" s="153"/>
      <c r="L146" s="197"/>
    </row>
    <row r="147" spans="1:12" s="158" customFormat="1" ht="17">
      <c r="A147" s="161">
        <v>138</v>
      </c>
      <c r="B147" s="152" t="s">
        <v>203</v>
      </c>
      <c r="C147" s="151" t="e">
        <f>VLOOKUP(B147,#REF!,2,0)</f>
        <v>#REF!</v>
      </c>
      <c r="D147" s="153" t="e">
        <f>+VLOOKUP(B147,#REF!,6,0)</f>
        <v>#REF!</v>
      </c>
      <c r="E147" s="154">
        <v>7294000</v>
      </c>
      <c r="F147" s="154" t="e">
        <f>+VLOOKUP(B147,#REF!,149,0)</f>
        <v>#REF!</v>
      </c>
      <c r="G147" s="155" t="e">
        <f t="shared" si="8"/>
        <v>#REF!</v>
      </c>
      <c r="H147" s="156" t="e">
        <f t="shared" si="7"/>
        <v>#REF!</v>
      </c>
      <c r="I147" s="153">
        <v>0</v>
      </c>
      <c r="J147" s="157" t="e">
        <f t="shared" si="9"/>
        <v>#REF!</v>
      </c>
      <c r="K147" s="153"/>
      <c r="L147" s="197"/>
    </row>
    <row r="148" spans="1:12" s="158" customFormat="1" ht="17">
      <c r="A148" s="161">
        <v>139</v>
      </c>
      <c r="B148" s="152" t="s">
        <v>205</v>
      </c>
      <c r="C148" s="151" t="e">
        <f>VLOOKUP(B148,#REF!,2,0)</f>
        <v>#REF!</v>
      </c>
      <c r="D148" s="153" t="e">
        <f>+VLOOKUP(B148,#REF!,6,0)</f>
        <v>#REF!</v>
      </c>
      <c r="E148" s="154">
        <v>7664000</v>
      </c>
      <c r="F148" s="154" t="e">
        <f>+VLOOKUP(B148,#REF!,149,0)</f>
        <v>#REF!</v>
      </c>
      <c r="G148" s="155" t="e">
        <f t="shared" si="8"/>
        <v>#REF!</v>
      </c>
      <c r="H148" s="156" t="e">
        <f t="shared" si="7"/>
        <v>#REF!</v>
      </c>
      <c r="I148" s="153">
        <v>0</v>
      </c>
      <c r="J148" s="157" t="e">
        <f t="shared" si="9"/>
        <v>#REF!</v>
      </c>
      <c r="K148" s="153"/>
      <c r="L148" s="197"/>
    </row>
    <row r="149" spans="1:12" s="158" customFormat="1" ht="17">
      <c r="A149" s="161">
        <v>140</v>
      </c>
      <c r="B149" s="152" t="s">
        <v>206</v>
      </c>
      <c r="C149" s="151" t="e">
        <f>VLOOKUP(B149,#REF!,2,0)</f>
        <v>#REF!</v>
      </c>
      <c r="D149" s="153" t="e">
        <f>+VLOOKUP(B149,#REF!,6,0)</f>
        <v>#REF!</v>
      </c>
      <c r="E149" s="154">
        <v>8748000</v>
      </c>
      <c r="F149" s="154" t="e">
        <f>+VLOOKUP(B149,#REF!,149,0)</f>
        <v>#REF!</v>
      </c>
      <c r="G149" s="155" t="e">
        <f t="shared" si="8"/>
        <v>#REF!</v>
      </c>
      <c r="H149" s="156" t="e">
        <f t="shared" si="7"/>
        <v>#REF!</v>
      </c>
      <c r="I149" s="153">
        <v>0</v>
      </c>
      <c r="J149" s="157" t="e">
        <f t="shared" si="9"/>
        <v>#REF!</v>
      </c>
      <c r="K149" s="153"/>
      <c r="L149" s="197"/>
    </row>
    <row r="150" spans="1:12" s="180" customFormat="1" ht="17">
      <c r="A150" s="172">
        <v>141</v>
      </c>
      <c r="B150" s="173" t="s">
        <v>268</v>
      </c>
      <c r="C150" s="174" t="e">
        <f>VLOOKUP(B150,#REF!,2,0)</f>
        <v>#REF!</v>
      </c>
      <c r="D150" s="175" t="e">
        <f>+VLOOKUP(B150,#REF!,6,0)</f>
        <v>#REF!</v>
      </c>
      <c r="E150" s="176">
        <v>3022000</v>
      </c>
      <c r="F150" s="176" t="e">
        <f>+VLOOKUP(B150,#REF!,149,0)</f>
        <v>#REF!</v>
      </c>
      <c r="G150" s="177" t="e">
        <f t="shared" si="8"/>
        <v>#REF!</v>
      </c>
      <c r="H150" s="178" t="e">
        <f t="shared" si="7"/>
        <v>#REF!</v>
      </c>
      <c r="I150" s="175">
        <v>0</v>
      </c>
      <c r="J150" s="179" t="e">
        <f t="shared" si="9"/>
        <v>#REF!</v>
      </c>
      <c r="K150" s="175"/>
    </row>
    <row r="151" spans="1:12" s="158" customFormat="1" ht="17">
      <c r="A151" s="161">
        <v>142</v>
      </c>
      <c r="B151" s="170" t="s">
        <v>404</v>
      </c>
      <c r="C151" s="151" t="e">
        <f>VLOOKUP(B151,#REF!,2,0)</f>
        <v>#REF!</v>
      </c>
      <c r="D151" s="153" t="e">
        <f>+VLOOKUP(B151,#REF!,6,0)</f>
        <v>#REF!</v>
      </c>
      <c r="E151" s="154">
        <v>8737000</v>
      </c>
      <c r="F151" s="154" t="e">
        <f>+VLOOKUP(B151,#REF!,149,0)</f>
        <v>#REF!</v>
      </c>
      <c r="G151" s="155" t="e">
        <f t="shared" si="8"/>
        <v>#REF!</v>
      </c>
      <c r="H151" s="156" t="e">
        <f t="shared" si="7"/>
        <v>#REF!</v>
      </c>
      <c r="I151" s="153">
        <v>0</v>
      </c>
      <c r="J151" s="157" t="e">
        <f t="shared" si="9"/>
        <v>#REF!</v>
      </c>
      <c r="K151" s="153"/>
      <c r="L151" s="197"/>
    </row>
    <row r="152" spans="1:12" s="158" customFormat="1" ht="17">
      <c r="A152" s="161">
        <v>143</v>
      </c>
      <c r="B152" s="170" t="s">
        <v>405</v>
      </c>
      <c r="C152" s="151" t="e">
        <f>VLOOKUP(B152,#REF!,2,0)</f>
        <v>#REF!</v>
      </c>
      <c r="D152" s="153" t="e">
        <f>+VLOOKUP(B152,#REF!,6,0)</f>
        <v>#REF!</v>
      </c>
      <c r="E152" s="154">
        <v>8727000</v>
      </c>
      <c r="F152" s="154" t="e">
        <f>+VLOOKUP(B152,#REF!,149,0)</f>
        <v>#REF!</v>
      </c>
      <c r="G152" s="155" t="e">
        <f t="shared" si="8"/>
        <v>#REF!</v>
      </c>
      <c r="H152" s="156" t="e">
        <f t="shared" si="7"/>
        <v>#REF!</v>
      </c>
      <c r="I152" s="153">
        <v>0</v>
      </c>
      <c r="J152" s="157" t="e">
        <f t="shared" si="9"/>
        <v>#REF!</v>
      </c>
      <c r="K152" s="153"/>
      <c r="L152" s="197"/>
    </row>
    <row r="153" spans="1:12" s="158" customFormat="1" ht="17">
      <c r="A153" s="161">
        <v>144</v>
      </c>
      <c r="B153" s="170" t="s">
        <v>406</v>
      </c>
      <c r="C153" s="151" t="e">
        <f>VLOOKUP(B153,#REF!,2,0)</f>
        <v>#REF!</v>
      </c>
      <c r="D153" s="153" t="e">
        <f>+VLOOKUP(B153,#REF!,6,0)</f>
        <v>#REF!</v>
      </c>
      <c r="E153" s="154">
        <v>8727000</v>
      </c>
      <c r="F153" s="154" t="e">
        <f>+VLOOKUP(B153,#REF!,149,0)</f>
        <v>#REF!</v>
      </c>
      <c r="G153" s="155" t="e">
        <f t="shared" si="8"/>
        <v>#REF!</v>
      </c>
      <c r="H153" s="156" t="e">
        <f t="shared" si="7"/>
        <v>#REF!</v>
      </c>
      <c r="I153" s="153">
        <v>0</v>
      </c>
      <c r="J153" s="157" t="e">
        <f t="shared" si="9"/>
        <v>#REF!</v>
      </c>
      <c r="K153" s="153"/>
      <c r="L153" s="197"/>
    </row>
    <row r="154" spans="1:12" s="158" customFormat="1" ht="17">
      <c r="A154" s="161">
        <v>145</v>
      </c>
      <c r="B154" s="170" t="s">
        <v>407</v>
      </c>
      <c r="C154" s="151" t="e">
        <f>VLOOKUP(B154,#REF!,2,0)</f>
        <v>#REF!</v>
      </c>
      <c r="D154" s="153" t="e">
        <f>+VLOOKUP(B154,#REF!,6,0)</f>
        <v>#REF!</v>
      </c>
      <c r="E154" s="154">
        <v>8356000</v>
      </c>
      <c r="F154" s="154" t="e">
        <f>+VLOOKUP(B154,#REF!,149,0)</f>
        <v>#REF!</v>
      </c>
      <c r="G154" s="155" t="e">
        <f t="shared" si="8"/>
        <v>#REF!</v>
      </c>
      <c r="H154" s="156" t="e">
        <f t="shared" si="7"/>
        <v>#REF!</v>
      </c>
      <c r="I154" s="153">
        <v>0</v>
      </c>
      <c r="J154" s="157" t="e">
        <f t="shared" si="9"/>
        <v>#REF!</v>
      </c>
      <c r="K154" s="153"/>
      <c r="L154" s="197"/>
    </row>
    <row r="155" spans="1:12" s="158" customFormat="1" ht="17">
      <c r="A155" s="161">
        <v>146</v>
      </c>
      <c r="B155" s="170" t="s">
        <v>408</v>
      </c>
      <c r="C155" s="151" t="e">
        <f>VLOOKUP(B155,#REF!,2,0)</f>
        <v>#REF!</v>
      </c>
      <c r="D155" s="153" t="e">
        <f>+VLOOKUP(B155,#REF!,6,0)</f>
        <v>#REF!</v>
      </c>
      <c r="E155" s="154">
        <v>7664000</v>
      </c>
      <c r="F155" s="154" t="e">
        <f>+VLOOKUP(B155,#REF!,149,0)</f>
        <v>#REF!</v>
      </c>
      <c r="G155" s="155" t="e">
        <f t="shared" si="8"/>
        <v>#REF!</v>
      </c>
      <c r="H155" s="156" t="e">
        <f t="shared" si="7"/>
        <v>#REF!</v>
      </c>
      <c r="I155" s="153">
        <v>0</v>
      </c>
      <c r="J155" s="157" t="e">
        <f t="shared" si="9"/>
        <v>#REF!</v>
      </c>
      <c r="K155" s="153"/>
      <c r="L155" s="197"/>
    </row>
    <row r="156" spans="1:12" s="158" customFormat="1" ht="17">
      <c r="A156" s="161">
        <v>147</v>
      </c>
      <c r="B156" s="170" t="s">
        <v>410</v>
      </c>
      <c r="C156" s="151" t="e">
        <f>VLOOKUP(B156,#REF!,2,0)</f>
        <v>#REF!</v>
      </c>
      <c r="D156" s="153" t="e">
        <f>+VLOOKUP(B156,#REF!,6,0)</f>
        <v>#REF!</v>
      </c>
      <c r="E156" s="154">
        <v>6881000</v>
      </c>
      <c r="F156" s="154" t="e">
        <f>+VLOOKUP(B156,#REF!,149,0)</f>
        <v>#REF!</v>
      </c>
      <c r="G156" s="155" t="e">
        <f t="shared" si="8"/>
        <v>#REF!</v>
      </c>
      <c r="H156" s="156" t="e">
        <f t="shared" si="7"/>
        <v>#REF!</v>
      </c>
      <c r="I156" s="153">
        <v>0</v>
      </c>
      <c r="J156" s="157" t="e">
        <f t="shared" si="9"/>
        <v>#REF!</v>
      </c>
      <c r="K156" s="153"/>
      <c r="L156" s="197"/>
    </row>
    <row r="157" spans="1:12" s="158" customFormat="1" ht="17">
      <c r="A157" s="161">
        <v>148</v>
      </c>
      <c r="B157" s="159" t="s">
        <v>288</v>
      </c>
      <c r="C157" s="151" t="e">
        <f>VLOOKUP(B157,#REF!,2,0)</f>
        <v>#REF!</v>
      </c>
      <c r="D157" s="153" t="e">
        <f>+VLOOKUP(B157,#REF!,6,0)</f>
        <v>#REF!</v>
      </c>
      <c r="E157" s="154">
        <v>8748000</v>
      </c>
      <c r="F157" s="154" t="e">
        <f>+VLOOKUP(B157,#REF!,149,0)</f>
        <v>#REF!</v>
      </c>
      <c r="G157" s="155" t="e">
        <f t="shared" si="8"/>
        <v>#REF!</v>
      </c>
      <c r="H157" s="156" t="e">
        <f t="shared" si="7"/>
        <v>#REF!</v>
      </c>
      <c r="I157" s="153">
        <v>0</v>
      </c>
      <c r="J157" s="157" t="e">
        <f t="shared" si="9"/>
        <v>#REF!</v>
      </c>
      <c r="K157" s="153"/>
      <c r="L157" s="197"/>
    </row>
    <row r="158" spans="1:12" s="158" customFormat="1" ht="17">
      <c r="A158" s="161">
        <v>149</v>
      </c>
      <c r="B158" s="152" t="s">
        <v>183</v>
      </c>
      <c r="C158" s="151" t="e">
        <f>VLOOKUP(B158,#REF!,2,0)</f>
        <v>#REF!</v>
      </c>
      <c r="D158" s="153" t="e">
        <f>+VLOOKUP(B158,#REF!,6,0)</f>
        <v>#REF!</v>
      </c>
      <c r="E158" s="154">
        <v>9214000</v>
      </c>
      <c r="F158" s="154" t="e">
        <f>+VLOOKUP(B158,#REF!,149,0)</f>
        <v>#REF!</v>
      </c>
      <c r="G158" s="155" t="e">
        <f t="shared" si="8"/>
        <v>#REF!</v>
      </c>
      <c r="H158" s="156" t="e">
        <f t="shared" si="7"/>
        <v>#REF!</v>
      </c>
      <c r="I158" s="153">
        <v>0</v>
      </c>
      <c r="J158" s="157" t="e">
        <f t="shared" si="9"/>
        <v>#REF!</v>
      </c>
      <c r="K158" s="153"/>
      <c r="L158" s="197"/>
    </row>
    <row r="159" spans="1:12" s="158" customFormat="1" ht="17">
      <c r="A159" s="161">
        <v>150</v>
      </c>
      <c r="B159" s="152" t="s">
        <v>338</v>
      </c>
      <c r="C159" s="151" t="e">
        <f>VLOOKUP(B159,#REF!,2,0)</f>
        <v>#REF!</v>
      </c>
      <c r="D159" s="153" t="e">
        <f>+VLOOKUP(B159,#REF!,6,0)</f>
        <v>#REF!</v>
      </c>
      <c r="E159" s="154">
        <v>8748000</v>
      </c>
      <c r="F159" s="154" t="e">
        <f>+VLOOKUP(B159,#REF!,149,0)</f>
        <v>#REF!</v>
      </c>
      <c r="G159" s="155" t="e">
        <f t="shared" si="8"/>
        <v>#REF!</v>
      </c>
      <c r="H159" s="156" t="e">
        <f t="shared" si="7"/>
        <v>#REF!</v>
      </c>
      <c r="I159" s="153">
        <v>0</v>
      </c>
      <c r="J159" s="157" t="e">
        <f t="shared" si="9"/>
        <v>#REF!</v>
      </c>
      <c r="K159" s="153"/>
      <c r="L159" s="197"/>
    </row>
    <row r="160" spans="1:12" s="158" customFormat="1" ht="17">
      <c r="A160" s="161">
        <v>151</v>
      </c>
      <c r="B160" s="152" t="s">
        <v>339</v>
      </c>
      <c r="C160" s="151" t="e">
        <f>VLOOKUP(B160,#REF!,2,0)</f>
        <v>#REF!</v>
      </c>
      <c r="D160" s="153" t="e">
        <f>+VLOOKUP(B160,#REF!,6,0)</f>
        <v>#REF!</v>
      </c>
      <c r="E160" s="154">
        <v>7594000</v>
      </c>
      <c r="F160" s="154" t="e">
        <f>+VLOOKUP(B160,#REF!,149,0)</f>
        <v>#REF!</v>
      </c>
      <c r="G160" s="155" t="e">
        <f t="shared" si="8"/>
        <v>#REF!</v>
      </c>
      <c r="H160" s="156" t="e">
        <f t="shared" si="7"/>
        <v>#REF!</v>
      </c>
      <c r="I160" s="153">
        <v>0</v>
      </c>
      <c r="J160" s="157" t="e">
        <f t="shared" si="9"/>
        <v>#REF!</v>
      </c>
      <c r="K160" s="153"/>
      <c r="L160" s="197"/>
    </row>
    <row r="161" spans="1:12" s="158" customFormat="1" ht="17">
      <c r="A161" s="161">
        <v>152</v>
      </c>
      <c r="B161" s="170" t="s">
        <v>401</v>
      </c>
      <c r="C161" s="151" t="e">
        <f>VLOOKUP(B161,#REF!,2,0)</f>
        <v>#REF!</v>
      </c>
      <c r="D161" s="153" t="e">
        <f>+VLOOKUP(B161,#REF!,6,0)</f>
        <v>#REF!</v>
      </c>
      <c r="E161" s="154">
        <v>9605000</v>
      </c>
      <c r="F161" s="154" t="e">
        <f>+VLOOKUP(B161,#REF!,149,0)</f>
        <v>#REF!</v>
      </c>
      <c r="G161" s="155" t="e">
        <f t="shared" si="8"/>
        <v>#REF!</v>
      </c>
      <c r="H161" s="156" t="e">
        <f t="shared" si="7"/>
        <v>#REF!</v>
      </c>
      <c r="I161" s="153">
        <v>0</v>
      </c>
      <c r="J161" s="157" t="e">
        <f t="shared" si="9"/>
        <v>#REF!</v>
      </c>
      <c r="K161" s="153"/>
      <c r="L161" s="197"/>
    </row>
    <row r="162" spans="1:12" s="158" customFormat="1" ht="17">
      <c r="A162" s="161">
        <v>153</v>
      </c>
      <c r="B162" s="170" t="s">
        <v>402</v>
      </c>
      <c r="C162" s="151" t="e">
        <f>VLOOKUP(B162,#REF!,2,0)</f>
        <v>#REF!</v>
      </c>
      <c r="D162" s="153" t="e">
        <f>+VLOOKUP(B162,#REF!,6,0)</f>
        <v>#REF!</v>
      </c>
      <c r="E162" s="154">
        <v>6182000</v>
      </c>
      <c r="F162" s="154" t="e">
        <f>+VLOOKUP(B162,#REF!,149,0)</f>
        <v>#REF!</v>
      </c>
      <c r="G162" s="155" t="e">
        <f t="shared" si="8"/>
        <v>#REF!</v>
      </c>
      <c r="H162" s="156" t="e">
        <f t="shared" si="7"/>
        <v>#REF!</v>
      </c>
      <c r="I162" s="153">
        <v>0</v>
      </c>
      <c r="J162" s="157" t="e">
        <f t="shared" si="9"/>
        <v>#REF!</v>
      </c>
      <c r="K162" s="153"/>
      <c r="L162" s="197"/>
    </row>
    <row r="163" spans="1:12" s="158" customFormat="1" ht="17">
      <c r="A163" s="161">
        <v>154</v>
      </c>
      <c r="B163" s="170" t="s">
        <v>403</v>
      </c>
      <c r="C163" s="151" t="e">
        <f>VLOOKUP(B163,#REF!,2,0)</f>
        <v>#REF!</v>
      </c>
      <c r="D163" s="153" t="e">
        <f>+VLOOKUP(B163,#REF!,6,0)</f>
        <v>#REF!</v>
      </c>
      <c r="E163" s="154">
        <v>6765000</v>
      </c>
      <c r="F163" s="154" t="e">
        <f>+VLOOKUP(B163,#REF!,149,0)</f>
        <v>#REF!</v>
      </c>
      <c r="G163" s="155" t="e">
        <f t="shared" si="8"/>
        <v>#REF!</v>
      </c>
      <c r="H163" s="156" t="e">
        <f t="shared" si="7"/>
        <v>#REF!</v>
      </c>
      <c r="I163" s="153">
        <v>0</v>
      </c>
      <c r="J163" s="157" t="e">
        <f t="shared" si="9"/>
        <v>#REF!</v>
      </c>
      <c r="K163" s="153"/>
      <c r="L163" s="197"/>
    </row>
    <row r="164" spans="1:12" s="158" customFormat="1" ht="17">
      <c r="A164" s="161">
        <v>155</v>
      </c>
      <c r="B164" s="159" t="s">
        <v>446</v>
      </c>
      <c r="C164" s="151" t="e">
        <f>VLOOKUP(B164,#REF!,2,0)</f>
        <v>#REF!</v>
      </c>
      <c r="D164" s="153" t="e">
        <f>+VLOOKUP(B164,#REF!,6,0)</f>
        <v>#REF!</v>
      </c>
      <c r="E164" s="154">
        <v>9214000</v>
      </c>
      <c r="F164" s="154" t="e">
        <f>+VLOOKUP(B164,#REF!,149,0)</f>
        <v>#REF!</v>
      </c>
      <c r="G164" s="155" t="e">
        <f t="shared" si="8"/>
        <v>#REF!</v>
      </c>
      <c r="H164" s="156" t="e">
        <f t="shared" si="7"/>
        <v>#REF!</v>
      </c>
      <c r="I164" s="153">
        <v>0</v>
      </c>
      <c r="J164" s="157" t="e">
        <f t="shared" si="9"/>
        <v>#REF!</v>
      </c>
      <c r="K164" s="153"/>
      <c r="L164" s="197"/>
    </row>
    <row r="165" spans="1:12" s="158" customFormat="1" ht="17">
      <c r="A165" s="161">
        <v>156</v>
      </c>
      <c r="B165" s="159" t="s">
        <v>447</v>
      </c>
      <c r="C165" s="151" t="e">
        <f>VLOOKUP(B165,#REF!,2,0)</f>
        <v>#REF!</v>
      </c>
      <c r="D165" s="153" t="e">
        <f>+VLOOKUP(B165,#REF!,6,0)</f>
        <v>#REF!</v>
      </c>
      <c r="E165" s="154">
        <v>8430000</v>
      </c>
      <c r="F165" s="154" t="e">
        <f>+VLOOKUP(B165,#REF!,149,0)</f>
        <v>#REF!</v>
      </c>
      <c r="G165" s="155" t="e">
        <f t="shared" si="8"/>
        <v>#REF!</v>
      </c>
      <c r="H165" s="156" t="e">
        <f t="shared" si="7"/>
        <v>#REF!</v>
      </c>
      <c r="I165" s="153">
        <v>0</v>
      </c>
      <c r="J165" s="157" t="e">
        <f t="shared" si="9"/>
        <v>#REF!</v>
      </c>
      <c r="K165" s="153"/>
      <c r="L165" s="197"/>
    </row>
    <row r="166" spans="1:12" s="158" customFormat="1" ht="17">
      <c r="A166" s="161">
        <v>157</v>
      </c>
      <c r="B166" s="159" t="s">
        <v>448</v>
      </c>
      <c r="C166" s="151" t="e">
        <f>VLOOKUP(B166,#REF!,2,0)</f>
        <v>#REF!</v>
      </c>
      <c r="D166" s="153" t="e">
        <f>+VLOOKUP(B166,#REF!,6,0)</f>
        <v>#REF!</v>
      </c>
      <c r="E166" s="154">
        <v>9150000</v>
      </c>
      <c r="F166" s="154" t="e">
        <f>+VLOOKUP(B166,#REF!,149,0)</f>
        <v>#REF!</v>
      </c>
      <c r="G166" s="155" t="e">
        <f t="shared" si="8"/>
        <v>#REF!</v>
      </c>
      <c r="H166" s="156" t="e">
        <f t="shared" si="7"/>
        <v>#REF!</v>
      </c>
      <c r="I166" s="153">
        <v>0</v>
      </c>
      <c r="J166" s="157" t="e">
        <f t="shared" si="9"/>
        <v>#REF!</v>
      </c>
      <c r="K166" s="153"/>
      <c r="L166" s="197"/>
    </row>
    <row r="167" spans="1:12" s="180" customFormat="1" ht="17">
      <c r="A167" s="172">
        <v>158</v>
      </c>
      <c r="B167" s="173" t="s">
        <v>463</v>
      </c>
      <c r="C167" s="174" t="e">
        <f>VLOOKUP(B167,#REF!,2,0)</f>
        <v>#REF!</v>
      </c>
      <c r="D167" s="175" t="e">
        <f>+VLOOKUP(B167,#REF!,6,0)</f>
        <v>#REF!</v>
      </c>
      <c r="E167" s="176">
        <v>980000</v>
      </c>
      <c r="F167" s="176" t="e">
        <f>+VLOOKUP(B167,#REF!,149,0)</f>
        <v>#REF!</v>
      </c>
      <c r="G167" s="177" t="e">
        <f t="shared" si="8"/>
        <v>#REF!</v>
      </c>
      <c r="H167" s="178" t="e">
        <f t="shared" si="7"/>
        <v>#REF!</v>
      </c>
      <c r="I167" s="175">
        <v>0</v>
      </c>
      <c r="J167" s="179" t="e">
        <f t="shared" si="9"/>
        <v>#REF!</v>
      </c>
      <c r="K167" s="175"/>
    </row>
    <row r="168" spans="1:12" s="158" customFormat="1" ht="17">
      <c r="A168" s="161">
        <v>159</v>
      </c>
      <c r="B168" s="159" t="s">
        <v>464</v>
      </c>
      <c r="C168" s="151" t="e">
        <f>VLOOKUP(B168,#REF!,2,0)</f>
        <v>#REF!</v>
      </c>
      <c r="D168" s="153" t="e">
        <f>+VLOOKUP(B168,#REF!,6,0)</f>
        <v>#REF!</v>
      </c>
      <c r="E168" s="154">
        <v>7954000</v>
      </c>
      <c r="F168" s="154" t="e">
        <f>+VLOOKUP(B168,#REF!,149,0)</f>
        <v>#REF!</v>
      </c>
      <c r="G168" s="155" t="e">
        <f t="shared" si="8"/>
        <v>#REF!</v>
      </c>
      <c r="H168" s="156" t="e">
        <f t="shared" si="7"/>
        <v>#REF!</v>
      </c>
      <c r="I168" s="153">
        <v>0</v>
      </c>
      <c r="J168" s="157" t="e">
        <f t="shared" si="9"/>
        <v>#REF!</v>
      </c>
      <c r="K168" s="153"/>
      <c r="L168" s="197"/>
    </row>
    <row r="169" spans="1:12" s="158" customFormat="1" ht="17">
      <c r="A169" s="161">
        <v>160</v>
      </c>
      <c r="B169" s="159" t="s">
        <v>466</v>
      </c>
      <c r="C169" s="151" t="e">
        <f>VLOOKUP(B169,#REF!,2,0)</f>
        <v>#REF!</v>
      </c>
      <c r="D169" s="153" t="e">
        <f>+VLOOKUP(B169,#REF!,6,0)</f>
        <v>#REF!</v>
      </c>
      <c r="E169" s="154">
        <v>680000</v>
      </c>
      <c r="F169" s="154" t="e">
        <f>+VLOOKUP(B169,#REF!,149,0)</f>
        <v>#REF!</v>
      </c>
      <c r="G169" s="155" t="e">
        <f t="shared" si="8"/>
        <v>#REF!</v>
      </c>
      <c r="H169" s="156" t="e">
        <f t="shared" si="7"/>
        <v>#REF!</v>
      </c>
      <c r="I169" s="153">
        <v>0</v>
      </c>
      <c r="J169" s="157" t="e">
        <f t="shared" si="9"/>
        <v>#REF!</v>
      </c>
      <c r="K169" s="153"/>
      <c r="L169" s="197"/>
    </row>
    <row r="170" spans="1:12" s="158" customFormat="1" ht="17">
      <c r="A170" s="161">
        <v>161</v>
      </c>
      <c r="B170" s="152" t="s">
        <v>61</v>
      </c>
      <c r="C170" s="151" t="e">
        <f>VLOOKUP(B170,#REF!,2,0)</f>
        <v>#REF!</v>
      </c>
      <c r="D170" s="153" t="e">
        <f>+VLOOKUP(B170,#REF!,6,0)</f>
        <v>#REF!</v>
      </c>
      <c r="E170" s="154">
        <v>9016000</v>
      </c>
      <c r="F170" s="154" t="e">
        <f>+VLOOKUP(B170,#REF!,149,0)</f>
        <v>#REF!</v>
      </c>
      <c r="G170" s="155" t="e">
        <f t="shared" si="8"/>
        <v>#REF!</v>
      </c>
      <c r="H170" s="156" t="e">
        <f t="shared" si="7"/>
        <v>#REF!</v>
      </c>
      <c r="I170" s="153">
        <v>0</v>
      </c>
      <c r="J170" s="157" t="e">
        <f t="shared" si="9"/>
        <v>#REF!</v>
      </c>
      <c r="K170" s="153"/>
      <c r="L170" s="197"/>
    </row>
    <row r="171" spans="1:12" s="158" customFormat="1" ht="17">
      <c r="A171" s="161">
        <v>162</v>
      </c>
      <c r="B171" s="152" t="s">
        <v>270</v>
      </c>
      <c r="C171" s="151" t="e">
        <f>VLOOKUP(B171,#REF!,2,0)</f>
        <v>#REF!</v>
      </c>
      <c r="D171" s="153" t="e">
        <f>+VLOOKUP(B171,#REF!,6,0)</f>
        <v>#REF!</v>
      </c>
      <c r="E171" s="154">
        <v>5759000</v>
      </c>
      <c r="F171" s="154" t="e">
        <f>+VLOOKUP(B171,#REF!,149,0)</f>
        <v>#REF!</v>
      </c>
      <c r="G171" s="155" t="e">
        <f t="shared" si="8"/>
        <v>#REF!</v>
      </c>
      <c r="H171" s="156" t="e">
        <f t="shared" si="7"/>
        <v>#REF!</v>
      </c>
      <c r="I171" s="153">
        <v>0</v>
      </c>
      <c r="J171" s="157" t="e">
        <f t="shared" si="9"/>
        <v>#REF!</v>
      </c>
      <c r="K171" s="153"/>
      <c r="L171" s="197"/>
    </row>
    <row r="172" spans="1:12" s="158" customFormat="1" ht="17">
      <c r="A172" s="161">
        <v>163</v>
      </c>
      <c r="B172" s="152" t="s">
        <v>112</v>
      </c>
      <c r="C172" s="151" t="e">
        <f>VLOOKUP(B172,#REF!,2,0)</f>
        <v>#REF!</v>
      </c>
      <c r="D172" s="153" t="e">
        <f>+VLOOKUP(B172,#REF!,6,0)</f>
        <v>#REF!</v>
      </c>
      <c r="E172" s="154">
        <v>7728000</v>
      </c>
      <c r="F172" s="154" t="e">
        <f>+VLOOKUP(B172,#REF!,149,0)</f>
        <v>#REF!</v>
      </c>
      <c r="G172" s="155" t="e">
        <f t="shared" si="8"/>
        <v>#REF!</v>
      </c>
      <c r="H172" s="156" t="e">
        <f t="shared" si="7"/>
        <v>#REF!</v>
      </c>
      <c r="I172" s="153">
        <v>0</v>
      </c>
      <c r="J172" s="157" t="e">
        <f t="shared" si="9"/>
        <v>#REF!</v>
      </c>
      <c r="K172" s="153"/>
      <c r="L172" s="197"/>
    </row>
    <row r="173" spans="1:12" s="158" customFormat="1" ht="17">
      <c r="A173" s="161">
        <v>164</v>
      </c>
      <c r="B173" s="152" t="s">
        <v>318</v>
      </c>
      <c r="C173" s="151" t="e">
        <f>VLOOKUP(B173,#REF!,2,0)</f>
        <v>#REF!</v>
      </c>
      <c r="D173" s="153" t="e">
        <f>+VLOOKUP(B173,#REF!,6,0)</f>
        <v>#REF!</v>
      </c>
      <c r="E173" s="154">
        <v>8748000</v>
      </c>
      <c r="F173" s="154" t="e">
        <f>+VLOOKUP(B173,#REF!,149,0)</f>
        <v>#REF!</v>
      </c>
      <c r="G173" s="155" t="e">
        <f t="shared" si="8"/>
        <v>#REF!</v>
      </c>
      <c r="H173" s="156" t="e">
        <f t="shared" si="7"/>
        <v>#REF!</v>
      </c>
      <c r="I173" s="153">
        <v>0</v>
      </c>
      <c r="J173" s="157" t="e">
        <f t="shared" si="9"/>
        <v>#REF!</v>
      </c>
      <c r="K173" s="153"/>
      <c r="L173" s="197"/>
    </row>
    <row r="174" spans="1:12" s="180" customFormat="1" ht="17">
      <c r="A174" s="172">
        <v>165</v>
      </c>
      <c r="B174" s="173" t="s">
        <v>186</v>
      </c>
      <c r="C174" s="174" t="e">
        <f>VLOOKUP(B174,#REF!,2,0)</f>
        <v>#REF!</v>
      </c>
      <c r="D174" s="175" t="e">
        <f>+VLOOKUP(B174,#REF!,6,0)</f>
        <v>#REF!</v>
      </c>
      <c r="E174" s="176">
        <v>2928000</v>
      </c>
      <c r="F174" s="176" t="e">
        <f>+VLOOKUP(B174,#REF!,149,0)</f>
        <v>#REF!</v>
      </c>
      <c r="G174" s="177" t="e">
        <f t="shared" si="8"/>
        <v>#REF!</v>
      </c>
      <c r="H174" s="178" t="e">
        <f t="shared" si="7"/>
        <v>#REF!</v>
      </c>
      <c r="I174" s="175">
        <v>0</v>
      </c>
      <c r="J174" s="179" t="e">
        <f t="shared" si="9"/>
        <v>#REF!</v>
      </c>
      <c r="K174" s="175"/>
    </row>
    <row r="175" spans="1:12" s="158" customFormat="1" ht="17">
      <c r="A175" s="161">
        <v>166</v>
      </c>
      <c r="B175" s="159" t="s">
        <v>409</v>
      </c>
      <c r="C175" s="151" t="e">
        <f>VLOOKUP(B175,#REF!,2,0)</f>
        <v>#REF!</v>
      </c>
      <c r="D175" s="153" t="e">
        <f>+VLOOKUP(B175,#REF!,6,0)</f>
        <v>#REF!</v>
      </c>
      <c r="E175" s="154">
        <v>7594000</v>
      </c>
      <c r="F175" s="154" t="e">
        <f>+VLOOKUP(B175,#REF!,149,0)</f>
        <v>#REF!</v>
      </c>
      <c r="G175" s="155" t="e">
        <f t="shared" si="8"/>
        <v>#REF!</v>
      </c>
      <c r="H175" s="156" t="e">
        <f t="shared" si="7"/>
        <v>#REF!</v>
      </c>
      <c r="I175" s="153">
        <v>0</v>
      </c>
      <c r="J175" s="157" t="e">
        <f t="shared" si="9"/>
        <v>#REF!</v>
      </c>
      <c r="K175" s="153"/>
      <c r="L175" s="197"/>
    </row>
    <row r="176" spans="1:12" s="158" customFormat="1" ht="17">
      <c r="A176" s="161">
        <v>167</v>
      </c>
      <c r="B176" s="159" t="s">
        <v>418</v>
      </c>
      <c r="C176" s="151" t="e">
        <f>VLOOKUP(B176,#REF!,2,0)</f>
        <v>#REF!</v>
      </c>
      <c r="D176" s="153" t="e">
        <f>+VLOOKUP(B176,#REF!,6,0)</f>
        <v>#REF!</v>
      </c>
      <c r="E176" s="154">
        <v>8748000</v>
      </c>
      <c r="F176" s="154" t="e">
        <f>+VLOOKUP(B176,#REF!,149,0)</f>
        <v>#REF!</v>
      </c>
      <c r="G176" s="155" t="e">
        <f t="shared" si="8"/>
        <v>#REF!</v>
      </c>
      <c r="H176" s="156" t="e">
        <f t="shared" si="7"/>
        <v>#REF!</v>
      </c>
      <c r="I176" s="153">
        <v>0</v>
      </c>
      <c r="J176" s="157" t="e">
        <f t="shared" si="9"/>
        <v>#REF!</v>
      </c>
      <c r="K176" s="153"/>
      <c r="L176" s="197"/>
    </row>
    <row r="177" spans="1:12" s="158" customFormat="1" ht="17">
      <c r="A177" s="161">
        <v>168</v>
      </c>
      <c r="B177" s="152" t="s">
        <v>306</v>
      </c>
      <c r="C177" s="151" t="e">
        <f>VLOOKUP(B177,#REF!,2,0)</f>
        <v>#REF!</v>
      </c>
      <c r="D177" s="153" t="e">
        <f>+VLOOKUP(B177,#REF!,6,0)</f>
        <v>#REF!</v>
      </c>
      <c r="E177" s="154">
        <v>8587000</v>
      </c>
      <c r="F177" s="154" t="e">
        <f>+VLOOKUP(B177,#REF!,149,0)</f>
        <v>#REF!</v>
      </c>
      <c r="G177" s="155" t="e">
        <f t="shared" si="8"/>
        <v>#REF!</v>
      </c>
      <c r="H177" s="156" t="e">
        <f t="shared" si="7"/>
        <v>#REF!</v>
      </c>
      <c r="I177" s="153">
        <v>0</v>
      </c>
      <c r="J177" s="157" t="e">
        <f t="shared" si="9"/>
        <v>#REF!</v>
      </c>
      <c r="K177" s="153"/>
      <c r="L177" s="197"/>
    </row>
    <row r="178" spans="1:12" s="158" customFormat="1" ht="17">
      <c r="A178" s="161">
        <v>169</v>
      </c>
      <c r="B178" s="159" t="s">
        <v>281</v>
      </c>
      <c r="C178" s="151" t="e">
        <f>VLOOKUP(B178,#REF!,2,0)</f>
        <v>#REF!</v>
      </c>
      <c r="D178" s="153" t="e">
        <f>+VLOOKUP(B178,#REF!,6,0)</f>
        <v>#REF!</v>
      </c>
      <c r="E178" s="154">
        <v>7880000</v>
      </c>
      <c r="F178" s="154" t="e">
        <f>+VLOOKUP(B178,#REF!,149,0)</f>
        <v>#REF!</v>
      </c>
      <c r="G178" s="155" t="e">
        <f t="shared" si="8"/>
        <v>#REF!</v>
      </c>
      <c r="H178" s="156" t="e">
        <f t="shared" si="7"/>
        <v>#REF!</v>
      </c>
      <c r="I178" s="153">
        <v>0</v>
      </c>
      <c r="J178" s="157" t="e">
        <f t="shared" si="9"/>
        <v>#REF!</v>
      </c>
      <c r="K178" s="153"/>
      <c r="L178" s="197"/>
    </row>
    <row r="179" spans="1:12" s="158" customFormat="1" ht="17">
      <c r="A179" s="161">
        <v>170</v>
      </c>
      <c r="B179" s="152" t="s">
        <v>259</v>
      </c>
      <c r="C179" s="151" t="e">
        <f>VLOOKUP(B179,#REF!,2,0)</f>
        <v>#REF!</v>
      </c>
      <c r="D179" s="153" t="e">
        <f>+VLOOKUP(B179,#REF!,6,0)</f>
        <v>#REF!</v>
      </c>
      <c r="E179" s="154">
        <v>9531000</v>
      </c>
      <c r="F179" s="154" t="e">
        <f>+VLOOKUP(B179,#REF!,149,0)</f>
        <v>#REF!</v>
      </c>
      <c r="G179" s="155" t="e">
        <f t="shared" si="8"/>
        <v>#REF!</v>
      </c>
      <c r="H179" s="156" t="e">
        <f t="shared" si="7"/>
        <v>#REF!</v>
      </c>
      <c r="I179" s="153">
        <v>0</v>
      </c>
      <c r="J179" s="157" t="e">
        <f t="shared" si="9"/>
        <v>#REF!</v>
      </c>
      <c r="K179" s="153"/>
      <c r="L179" s="197"/>
    </row>
    <row r="180" spans="1:12" s="158" customFormat="1" ht="17">
      <c r="A180" s="161">
        <v>171</v>
      </c>
      <c r="B180" s="152" t="s">
        <v>297</v>
      </c>
      <c r="C180" s="151" t="e">
        <f>VLOOKUP(B180,#REF!,2,0)</f>
        <v>#REF!</v>
      </c>
      <c r="D180" s="153" t="e">
        <f>+VLOOKUP(B180,#REF!,6,0)</f>
        <v>#REF!</v>
      </c>
      <c r="E180" s="154">
        <v>8758000</v>
      </c>
      <c r="F180" s="154" t="e">
        <f>+VLOOKUP(B180,#REF!,149,0)</f>
        <v>#REF!</v>
      </c>
      <c r="G180" s="155" t="e">
        <f t="shared" si="8"/>
        <v>#REF!</v>
      </c>
      <c r="H180" s="156" t="e">
        <f t="shared" si="7"/>
        <v>#REF!</v>
      </c>
      <c r="I180" s="153">
        <v>0</v>
      </c>
      <c r="J180" s="157" t="e">
        <f t="shared" si="9"/>
        <v>#REF!</v>
      </c>
      <c r="K180" s="153"/>
      <c r="L180" s="197"/>
    </row>
    <row r="181" spans="1:12" s="158" customFormat="1" ht="17">
      <c r="A181" s="161">
        <v>172</v>
      </c>
      <c r="B181" s="152" t="s">
        <v>316</v>
      </c>
      <c r="C181" s="151" t="e">
        <f>VLOOKUP(B181,#REF!,2,0)</f>
        <v>#REF!</v>
      </c>
      <c r="D181" s="153" t="e">
        <f>+VLOOKUP(B181,#REF!,6,0)</f>
        <v>#REF!</v>
      </c>
      <c r="E181" s="154">
        <v>8748000</v>
      </c>
      <c r="F181" s="154" t="e">
        <f>+VLOOKUP(B181,#REF!,149,0)</f>
        <v>#REF!</v>
      </c>
      <c r="G181" s="155" t="e">
        <f t="shared" si="8"/>
        <v>#REF!</v>
      </c>
      <c r="H181" s="156" t="e">
        <f t="shared" si="7"/>
        <v>#REF!</v>
      </c>
      <c r="I181" s="153">
        <v>0</v>
      </c>
      <c r="J181" s="157" t="e">
        <f t="shared" si="9"/>
        <v>#REF!</v>
      </c>
      <c r="K181" s="153"/>
      <c r="L181" s="197"/>
    </row>
    <row r="182" spans="1:12" s="158" customFormat="1" ht="17">
      <c r="A182" s="161">
        <v>173</v>
      </c>
      <c r="B182" s="152" t="s">
        <v>331</v>
      </c>
      <c r="C182" s="151" t="e">
        <f>VLOOKUP(B182,#REF!,2,0)</f>
        <v>#REF!</v>
      </c>
      <c r="D182" s="153" t="e">
        <f>+VLOOKUP(B182,#REF!,6,0)</f>
        <v>#REF!</v>
      </c>
      <c r="E182" s="154">
        <v>8748000</v>
      </c>
      <c r="F182" s="154" t="e">
        <f>+VLOOKUP(B182,#REF!,149,0)</f>
        <v>#REF!</v>
      </c>
      <c r="G182" s="155" t="e">
        <f t="shared" si="8"/>
        <v>#REF!</v>
      </c>
      <c r="H182" s="156" t="e">
        <f t="shared" si="7"/>
        <v>#REF!</v>
      </c>
      <c r="I182" s="153">
        <v>0</v>
      </c>
      <c r="J182" s="157" t="e">
        <f t="shared" si="9"/>
        <v>#REF!</v>
      </c>
      <c r="K182" s="153"/>
      <c r="L182" s="197"/>
    </row>
    <row r="183" spans="1:12" s="158" customFormat="1" ht="17">
      <c r="A183" s="161">
        <v>174</v>
      </c>
      <c r="B183" s="152" t="s">
        <v>129</v>
      </c>
      <c r="C183" s="151" t="e">
        <f>VLOOKUP(B183,#REF!,2,0)</f>
        <v>#REF!</v>
      </c>
      <c r="D183" s="153" t="e">
        <f>+VLOOKUP(B183,#REF!,6,0)</f>
        <v>#REF!</v>
      </c>
      <c r="E183" s="154">
        <v>9425000</v>
      </c>
      <c r="F183" s="154" t="e">
        <f>+VLOOKUP(B183,#REF!,149,0)</f>
        <v>#REF!</v>
      </c>
      <c r="G183" s="155" t="e">
        <f t="shared" si="8"/>
        <v>#REF!</v>
      </c>
      <c r="H183" s="156" t="e">
        <f t="shared" si="7"/>
        <v>#REF!</v>
      </c>
      <c r="I183" s="153">
        <v>0</v>
      </c>
      <c r="J183" s="157" t="e">
        <f t="shared" si="9"/>
        <v>#REF!</v>
      </c>
      <c r="K183" s="153"/>
      <c r="L183" s="197"/>
    </row>
    <row r="184" spans="1:12" s="158" customFormat="1" ht="17">
      <c r="A184" s="161">
        <v>175</v>
      </c>
      <c r="B184" s="159" t="s">
        <v>449</v>
      </c>
      <c r="C184" s="151" t="e">
        <f>VLOOKUP(B184,#REF!,2,0)</f>
        <v>#REF!</v>
      </c>
      <c r="D184" s="153" t="e">
        <f>+VLOOKUP(B184,#REF!,6,0)</f>
        <v>#REF!</v>
      </c>
      <c r="E184" s="154">
        <v>9521000</v>
      </c>
      <c r="F184" s="154" t="e">
        <f>+VLOOKUP(B184,#REF!,149,0)</f>
        <v>#REF!</v>
      </c>
      <c r="G184" s="155" t="e">
        <f t="shared" si="8"/>
        <v>#REF!</v>
      </c>
      <c r="H184" s="156" t="e">
        <f t="shared" si="7"/>
        <v>#REF!</v>
      </c>
      <c r="I184" s="153">
        <v>0</v>
      </c>
      <c r="J184" s="157" t="e">
        <f t="shared" si="9"/>
        <v>#REF!</v>
      </c>
      <c r="K184" s="153"/>
      <c r="L184" s="197"/>
    </row>
    <row r="185" spans="1:12" s="158" customFormat="1" ht="17">
      <c r="A185" s="161">
        <v>176</v>
      </c>
      <c r="B185" s="159" t="s">
        <v>341</v>
      </c>
      <c r="C185" s="151" t="e">
        <f>VLOOKUP(B185,#REF!,2,0)</f>
        <v>#REF!</v>
      </c>
      <c r="D185" s="153" t="e">
        <f>+VLOOKUP(B185,#REF!,6,0)</f>
        <v>#REF!</v>
      </c>
      <c r="E185" s="154">
        <v>7604000</v>
      </c>
      <c r="F185" s="154" t="e">
        <f>+VLOOKUP(B185,#REF!,149,0)</f>
        <v>#REF!</v>
      </c>
      <c r="G185" s="155" t="e">
        <f t="shared" si="8"/>
        <v>#REF!</v>
      </c>
      <c r="H185" s="156" t="e">
        <f t="shared" si="7"/>
        <v>#REF!</v>
      </c>
      <c r="I185" s="153">
        <v>0</v>
      </c>
      <c r="J185" s="157" t="e">
        <f t="shared" si="9"/>
        <v>#REF!</v>
      </c>
      <c r="K185" s="153"/>
      <c r="L185" s="197"/>
    </row>
    <row r="186" spans="1:12" s="158" customFormat="1" ht="17">
      <c r="A186" s="161">
        <v>177</v>
      </c>
      <c r="B186" s="159" t="s">
        <v>344</v>
      </c>
      <c r="C186" s="151" t="e">
        <f>VLOOKUP(B186,#REF!,2,0)</f>
        <v>#REF!</v>
      </c>
      <c r="D186" s="153" t="e">
        <f>+VLOOKUP(B186,#REF!,6,0)</f>
        <v>#REF!</v>
      </c>
      <c r="E186" s="154">
        <v>8561000</v>
      </c>
      <c r="F186" s="154" t="e">
        <f>+VLOOKUP(B186,#REF!,149,0)</f>
        <v>#REF!</v>
      </c>
      <c r="G186" s="155" t="e">
        <f t="shared" si="8"/>
        <v>#REF!</v>
      </c>
      <c r="H186" s="156" t="e">
        <f t="shared" si="7"/>
        <v>#REF!</v>
      </c>
      <c r="I186" s="153">
        <v>0</v>
      </c>
      <c r="J186" s="157" t="e">
        <f t="shared" si="9"/>
        <v>#REF!</v>
      </c>
      <c r="K186" s="153"/>
      <c r="L186" s="197"/>
    </row>
    <row r="187" spans="1:12" s="158" customFormat="1" ht="17">
      <c r="A187" s="161">
        <v>178</v>
      </c>
      <c r="B187" s="159" t="s">
        <v>440</v>
      </c>
      <c r="C187" s="151" t="e">
        <f>VLOOKUP(B187,#REF!,2,0)</f>
        <v>#REF!</v>
      </c>
      <c r="D187" s="153" t="e">
        <f>+VLOOKUP(B187,#REF!,6,0)</f>
        <v>#REF!</v>
      </c>
      <c r="E187" s="154">
        <v>8180000</v>
      </c>
      <c r="F187" s="154" t="e">
        <f>+VLOOKUP(B187,#REF!,149,0)</f>
        <v>#REF!</v>
      </c>
      <c r="G187" s="155" t="e">
        <f t="shared" si="8"/>
        <v>#REF!</v>
      </c>
      <c r="H187" s="156" t="e">
        <f t="shared" si="7"/>
        <v>#REF!</v>
      </c>
      <c r="I187" s="153">
        <v>0</v>
      </c>
      <c r="J187" s="157" t="e">
        <f t="shared" si="9"/>
        <v>#REF!</v>
      </c>
      <c r="K187" s="153"/>
      <c r="L187" s="197"/>
    </row>
    <row r="188" spans="1:12" s="180" customFormat="1" ht="17">
      <c r="A188" s="172">
        <v>179</v>
      </c>
      <c r="B188" s="173" t="s">
        <v>462</v>
      </c>
      <c r="C188" s="174" t="e">
        <f>VLOOKUP(B188,#REF!,2,0)</f>
        <v>#REF!</v>
      </c>
      <c r="D188" s="175" t="e">
        <f>+VLOOKUP(B188,#REF!,6,0)</f>
        <v>#REF!</v>
      </c>
      <c r="E188" s="176">
        <v>999000</v>
      </c>
      <c r="F188" s="176" t="e">
        <f>+VLOOKUP(B188,#REF!,149,0)</f>
        <v>#REF!</v>
      </c>
      <c r="G188" s="177" t="e">
        <f t="shared" si="8"/>
        <v>#REF!</v>
      </c>
      <c r="H188" s="178" t="e">
        <f t="shared" si="7"/>
        <v>#REF!</v>
      </c>
      <c r="I188" s="175">
        <v>0</v>
      </c>
      <c r="J188" s="179" t="e">
        <f t="shared" si="9"/>
        <v>#REF!</v>
      </c>
      <c r="K188" s="175"/>
    </row>
    <row r="189" spans="1:12" s="158" customFormat="1" ht="17">
      <c r="A189" s="161">
        <v>180</v>
      </c>
      <c r="B189" s="152" t="s">
        <v>100</v>
      </c>
      <c r="C189" s="151" t="e">
        <f>VLOOKUP(B189,#REF!,2,0)</f>
        <v>#REF!</v>
      </c>
      <c r="D189" s="153" t="e">
        <f>+VLOOKUP(B189,#REF!,6,0)</f>
        <v>#REF!</v>
      </c>
      <c r="E189" s="154">
        <v>8028000</v>
      </c>
      <c r="F189" s="154" t="e">
        <f>+VLOOKUP(B189,#REF!,149,0)</f>
        <v>#REF!</v>
      </c>
      <c r="G189" s="155" t="e">
        <f t="shared" si="8"/>
        <v>#REF!</v>
      </c>
      <c r="H189" s="156" t="e">
        <f t="shared" si="7"/>
        <v>#REF!</v>
      </c>
      <c r="I189" s="153">
        <v>0</v>
      </c>
      <c r="J189" s="157" t="e">
        <f t="shared" si="9"/>
        <v>#REF!</v>
      </c>
      <c r="K189" s="153"/>
      <c r="L189" s="197"/>
    </row>
    <row r="190" spans="1:12" s="158" customFormat="1" ht="17">
      <c r="A190" s="161">
        <v>181</v>
      </c>
      <c r="B190" s="152" t="s">
        <v>199</v>
      </c>
      <c r="C190" s="151" t="e">
        <f>VLOOKUP(B190,#REF!,2,0)</f>
        <v>#REF!</v>
      </c>
      <c r="D190" s="153" t="e">
        <f>+VLOOKUP(B190,#REF!,6,0)</f>
        <v>#REF!</v>
      </c>
      <c r="E190" s="154">
        <v>9628000</v>
      </c>
      <c r="F190" s="154" t="e">
        <f>+VLOOKUP(B190,#REF!,149,0)</f>
        <v>#REF!</v>
      </c>
      <c r="G190" s="155" t="e">
        <f t="shared" si="8"/>
        <v>#REF!</v>
      </c>
      <c r="H190" s="156" t="e">
        <f t="shared" si="7"/>
        <v>#REF!</v>
      </c>
      <c r="I190" s="153">
        <v>0</v>
      </c>
      <c r="J190" s="157" t="e">
        <f t="shared" si="9"/>
        <v>#REF!</v>
      </c>
      <c r="K190" s="153"/>
      <c r="L190" s="197"/>
    </row>
    <row r="191" spans="1:12" s="158" customFormat="1" ht="17">
      <c r="A191" s="161">
        <v>182</v>
      </c>
      <c r="B191" s="152" t="s">
        <v>309</v>
      </c>
      <c r="C191" s="151" t="e">
        <f>VLOOKUP(B191,#REF!,2,0)</f>
        <v>#REF!</v>
      </c>
      <c r="D191" s="153" t="e">
        <f>+VLOOKUP(B191,#REF!,6,0)</f>
        <v>#REF!</v>
      </c>
      <c r="E191" s="154">
        <v>10030000</v>
      </c>
      <c r="F191" s="154" t="e">
        <f>+VLOOKUP(B191,#REF!,149,0)</f>
        <v>#REF!</v>
      </c>
      <c r="G191" s="155" t="e">
        <f t="shared" si="8"/>
        <v>#REF!</v>
      </c>
      <c r="H191" s="156" t="e">
        <f t="shared" si="7"/>
        <v>#REF!</v>
      </c>
      <c r="I191" s="153">
        <v>0</v>
      </c>
      <c r="J191" s="157" t="e">
        <f t="shared" si="9"/>
        <v>#REF!</v>
      </c>
      <c r="K191" s="153"/>
      <c r="L191" s="197"/>
    </row>
    <row r="192" spans="1:12" s="158" customFormat="1" ht="17">
      <c r="A192" s="161">
        <v>183</v>
      </c>
      <c r="B192" s="152" t="s">
        <v>335</v>
      </c>
      <c r="C192" s="151" t="e">
        <f>VLOOKUP(B192,#REF!,2,0)</f>
        <v>#REF!</v>
      </c>
      <c r="D192" s="153" t="e">
        <f>+VLOOKUP(B192,#REF!,6,0)</f>
        <v>#REF!</v>
      </c>
      <c r="E192" s="154">
        <v>8201000</v>
      </c>
      <c r="F192" s="154" t="e">
        <f>+VLOOKUP(B192,#REF!,149,0)</f>
        <v>#REF!</v>
      </c>
      <c r="G192" s="155" t="e">
        <f t="shared" si="8"/>
        <v>#REF!</v>
      </c>
      <c r="H192" s="156" t="e">
        <f t="shared" si="7"/>
        <v>#REF!</v>
      </c>
      <c r="I192" s="153">
        <v>0</v>
      </c>
      <c r="J192" s="157" t="e">
        <f t="shared" si="9"/>
        <v>#REF!</v>
      </c>
      <c r="K192" s="153"/>
      <c r="L192" s="197"/>
    </row>
    <row r="193" spans="1:12" s="158" customFormat="1" ht="17">
      <c r="A193" s="161">
        <v>184</v>
      </c>
      <c r="B193" s="159" t="s">
        <v>345</v>
      </c>
      <c r="C193" s="151" t="e">
        <f>VLOOKUP(B193,#REF!,2,0)</f>
        <v>#REF!</v>
      </c>
      <c r="D193" s="153" t="e">
        <f>+VLOOKUP(B193,#REF!,6,0)</f>
        <v>#REF!</v>
      </c>
      <c r="E193" s="154">
        <v>8169000</v>
      </c>
      <c r="F193" s="154" t="e">
        <f>+VLOOKUP(B193,#REF!,149,0)</f>
        <v>#REF!</v>
      </c>
      <c r="G193" s="155" t="e">
        <f t="shared" si="8"/>
        <v>#REF!</v>
      </c>
      <c r="H193" s="156" t="e">
        <f t="shared" si="7"/>
        <v>#REF!</v>
      </c>
      <c r="I193" s="153">
        <v>0</v>
      </c>
      <c r="J193" s="157" t="e">
        <f t="shared" si="9"/>
        <v>#REF!</v>
      </c>
      <c r="K193" s="153"/>
      <c r="L193" s="197"/>
    </row>
    <row r="194" spans="1:12" s="158" customFormat="1" ht="17">
      <c r="A194" s="161">
        <v>185</v>
      </c>
      <c r="B194" s="159" t="s">
        <v>200</v>
      </c>
      <c r="C194" s="151" t="e">
        <f>VLOOKUP(B194,#REF!,2,0)</f>
        <v>#REF!</v>
      </c>
      <c r="D194" s="153" t="e">
        <f>+VLOOKUP(B194,#REF!,6,0)</f>
        <v>#REF!</v>
      </c>
      <c r="E194" s="154">
        <v>10296000</v>
      </c>
      <c r="F194" s="154" t="e">
        <f>+VLOOKUP(B194,#REF!,149,0)</f>
        <v>#REF!</v>
      </c>
      <c r="G194" s="155" t="e">
        <f t="shared" si="8"/>
        <v>#REF!</v>
      </c>
      <c r="H194" s="156" t="e">
        <f t="shared" si="7"/>
        <v>#REF!</v>
      </c>
      <c r="I194" s="153">
        <v>0</v>
      </c>
      <c r="J194" s="157" t="e">
        <f t="shared" si="9"/>
        <v>#REF!</v>
      </c>
      <c r="K194" s="153"/>
      <c r="L194" s="197"/>
    </row>
    <row r="195" spans="1:12" s="158" customFormat="1" ht="17">
      <c r="A195" s="161">
        <v>186</v>
      </c>
      <c r="B195" s="159" t="s">
        <v>441</v>
      </c>
      <c r="C195" s="151" t="e">
        <f>VLOOKUP(B195,#REF!,2,0)</f>
        <v>#REF!</v>
      </c>
      <c r="D195" s="153" t="e">
        <f>+VLOOKUP(B195,#REF!,6,0)</f>
        <v>#REF!</v>
      </c>
      <c r="E195" s="154">
        <v>9055000</v>
      </c>
      <c r="F195" s="154" t="e">
        <f>+VLOOKUP(B195,#REF!,149,0)</f>
        <v>#REF!</v>
      </c>
      <c r="G195" s="155" t="e">
        <f t="shared" si="8"/>
        <v>#REF!</v>
      </c>
      <c r="H195" s="156" t="e">
        <f t="shared" ref="H195:H258" si="10">+ROUND(G195*50,0)</f>
        <v>#REF!</v>
      </c>
      <c r="I195" s="153">
        <v>0</v>
      </c>
      <c r="J195" s="157" t="e">
        <f t="shared" si="9"/>
        <v>#REF!</v>
      </c>
      <c r="K195" s="153"/>
      <c r="L195" s="197"/>
    </row>
    <row r="196" spans="1:12" s="158" customFormat="1" ht="17">
      <c r="A196" s="161">
        <v>187</v>
      </c>
      <c r="B196" s="159" t="s">
        <v>458</v>
      </c>
      <c r="C196" s="151" t="e">
        <f>VLOOKUP(B196,#REF!,2,0)</f>
        <v>#REF!</v>
      </c>
      <c r="D196" s="153" t="e">
        <f>+VLOOKUP(B196,#REF!,6,0)</f>
        <v>#REF!</v>
      </c>
      <c r="E196" s="154">
        <v>9355000</v>
      </c>
      <c r="F196" s="154" t="e">
        <f>+VLOOKUP(B196,#REF!,149,0)</f>
        <v>#REF!</v>
      </c>
      <c r="G196" s="155" t="e">
        <f t="shared" ref="G196:G259" si="11">+F196/E196</f>
        <v>#REF!</v>
      </c>
      <c r="H196" s="156" t="e">
        <f t="shared" si="10"/>
        <v>#REF!</v>
      </c>
      <c r="I196" s="153">
        <v>0</v>
      </c>
      <c r="J196" s="157" t="e">
        <f t="shared" si="9"/>
        <v>#REF!</v>
      </c>
      <c r="K196" s="153"/>
      <c r="L196" s="197"/>
    </row>
    <row r="197" spans="1:12" s="158" customFormat="1" ht="17">
      <c r="A197" s="161">
        <v>188</v>
      </c>
      <c r="B197" s="159" t="s">
        <v>459</v>
      </c>
      <c r="C197" s="151" t="e">
        <f>VLOOKUP(B197,#REF!,2,0)</f>
        <v>#REF!</v>
      </c>
      <c r="D197" s="153" t="e">
        <f>+VLOOKUP(B197,#REF!,6,0)</f>
        <v>#REF!</v>
      </c>
      <c r="E197" s="154">
        <v>5156000</v>
      </c>
      <c r="F197" s="154" t="e">
        <f>+VLOOKUP(B197,#REF!,149,0)</f>
        <v>#REF!</v>
      </c>
      <c r="G197" s="155" t="e">
        <f t="shared" si="11"/>
        <v>#REF!</v>
      </c>
      <c r="H197" s="156" t="e">
        <f t="shared" si="10"/>
        <v>#REF!</v>
      </c>
      <c r="I197" s="153">
        <v>0</v>
      </c>
      <c r="J197" s="157" t="e">
        <f t="shared" si="9"/>
        <v>#REF!</v>
      </c>
      <c r="K197" s="153"/>
      <c r="L197" s="197"/>
    </row>
    <row r="198" spans="1:12" s="216" customFormat="1" ht="17">
      <c r="A198" s="208">
        <v>189</v>
      </c>
      <c r="B198" s="209" t="s">
        <v>140</v>
      </c>
      <c r="C198" s="210" t="e">
        <f>VLOOKUP(B198,#REF!,2,0)</f>
        <v>#REF!</v>
      </c>
      <c r="D198" s="211" t="e">
        <f>+VLOOKUP(B198,#REF!,6,0)</f>
        <v>#REF!</v>
      </c>
      <c r="E198" s="212">
        <v>10060000</v>
      </c>
      <c r="F198" s="212" t="e">
        <f>+VLOOKUP(B198,#REF!,149,0)</f>
        <v>#REF!</v>
      </c>
      <c r="G198" s="213" t="e">
        <f t="shared" si="11"/>
        <v>#REF!</v>
      </c>
      <c r="H198" s="214" t="e">
        <f t="shared" si="10"/>
        <v>#REF!</v>
      </c>
      <c r="I198" s="211">
        <v>0</v>
      </c>
      <c r="J198" s="215" t="e">
        <f t="shared" si="9"/>
        <v>#REF!</v>
      </c>
      <c r="K198" s="211"/>
    </row>
    <row r="199" spans="1:12" s="158" customFormat="1" ht="17">
      <c r="A199" s="161">
        <v>190</v>
      </c>
      <c r="B199" s="152" t="s">
        <v>143</v>
      </c>
      <c r="C199" s="151" t="e">
        <f>VLOOKUP(B199,#REF!,2,0)</f>
        <v>#REF!</v>
      </c>
      <c r="D199" s="153" t="e">
        <f>+VLOOKUP(B199,#REF!,6,0)</f>
        <v>#REF!</v>
      </c>
      <c r="E199" s="154">
        <v>9744000</v>
      </c>
      <c r="F199" s="154" t="e">
        <f>+VLOOKUP(B199,#REF!,149,0)</f>
        <v>#REF!</v>
      </c>
      <c r="G199" s="155" t="e">
        <f t="shared" si="11"/>
        <v>#REF!</v>
      </c>
      <c r="H199" s="156" t="e">
        <f t="shared" si="10"/>
        <v>#REF!</v>
      </c>
      <c r="I199" s="153">
        <v>0</v>
      </c>
      <c r="J199" s="157" t="e">
        <f t="shared" si="9"/>
        <v>#REF!</v>
      </c>
      <c r="K199" s="153"/>
      <c r="L199" s="197"/>
    </row>
    <row r="200" spans="1:12" s="158" customFormat="1" ht="17">
      <c r="A200" s="161">
        <v>191</v>
      </c>
      <c r="B200" s="152" t="s">
        <v>301</v>
      </c>
      <c r="C200" s="151" t="e">
        <f>VLOOKUP(B200,#REF!,2,0)</f>
        <v>#REF!</v>
      </c>
      <c r="D200" s="153" t="e">
        <f>+VLOOKUP(B200,#REF!,6,0)</f>
        <v>#REF!</v>
      </c>
      <c r="E200" s="154">
        <v>9923000</v>
      </c>
      <c r="F200" s="154" t="e">
        <f>+VLOOKUP(B200,#REF!,149,0)</f>
        <v>#REF!</v>
      </c>
      <c r="G200" s="155" t="e">
        <f t="shared" si="11"/>
        <v>#REF!</v>
      </c>
      <c r="H200" s="156" t="e">
        <f t="shared" si="10"/>
        <v>#REF!</v>
      </c>
      <c r="I200" s="153">
        <v>0</v>
      </c>
      <c r="J200" s="157" t="e">
        <f t="shared" si="9"/>
        <v>#REF!</v>
      </c>
      <c r="K200" s="153"/>
      <c r="L200" s="197"/>
    </row>
    <row r="201" spans="1:12" s="158" customFormat="1" ht="17">
      <c r="A201" s="161">
        <v>192</v>
      </c>
      <c r="B201" s="152" t="s">
        <v>333</v>
      </c>
      <c r="C201" s="151" t="e">
        <f>VLOOKUP(B201,#REF!,2,0)</f>
        <v>#REF!</v>
      </c>
      <c r="D201" s="153" t="e">
        <f>+VLOOKUP(B201,#REF!,6,0)</f>
        <v>#REF!</v>
      </c>
      <c r="E201" s="154">
        <v>8367000</v>
      </c>
      <c r="F201" s="154" t="e">
        <f>+VLOOKUP(B201,#REF!,149,0)</f>
        <v>#REF!</v>
      </c>
      <c r="G201" s="155" t="e">
        <f t="shared" si="11"/>
        <v>#REF!</v>
      </c>
      <c r="H201" s="156" t="e">
        <f t="shared" si="10"/>
        <v>#REF!</v>
      </c>
      <c r="I201" s="153">
        <v>0</v>
      </c>
      <c r="J201" s="157" t="e">
        <f t="shared" si="9"/>
        <v>#REF!</v>
      </c>
      <c r="K201" s="153"/>
      <c r="L201" s="197"/>
    </row>
    <row r="202" spans="1:12" s="158" customFormat="1" ht="17">
      <c r="A202" s="161">
        <v>193</v>
      </c>
      <c r="B202" s="159" t="s">
        <v>212</v>
      </c>
      <c r="C202" s="151" t="e">
        <f>VLOOKUP(B202,#REF!,2,0)</f>
        <v>#REF!</v>
      </c>
      <c r="D202" s="153" t="e">
        <f>+VLOOKUP(B202,#REF!,6,0)</f>
        <v>#REF!</v>
      </c>
      <c r="E202" s="154">
        <v>8377000</v>
      </c>
      <c r="F202" s="154" t="e">
        <f>+VLOOKUP(B202,#REF!,149,0)</f>
        <v>#REF!</v>
      </c>
      <c r="G202" s="155" t="e">
        <f t="shared" si="11"/>
        <v>#REF!</v>
      </c>
      <c r="H202" s="156" t="e">
        <f t="shared" si="10"/>
        <v>#REF!</v>
      </c>
      <c r="I202" s="153">
        <v>0</v>
      </c>
      <c r="J202" s="157" t="e">
        <f t="shared" si="9"/>
        <v>#REF!</v>
      </c>
      <c r="K202" s="153"/>
      <c r="L202" s="197"/>
    </row>
    <row r="203" spans="1:12" s="158" customFormat="1" ht="17">
      <c r="A203" s="161">
        <v>194</v>
      </c>
      <c r="B203" s="170" t="s">
        <v>411</v>
      </c>
      <c r="C203" s="151" t="e">
        <f>VLOOKUP(B203,#REF!,2,0)</f>
        <v>#REF!</v>
      </c>
      <c r="D203" s="153" t="e">
        <f>+VLOOKUP(B203,#REF!,6,0)</f>
        <v>#REF!</v>
      </c>
      <c r="E203" s="154">
        <v>8769000</v>
      </c>
      <c r="F203" s="154" t="e">
        <f>+VLOOKUP(B203,#REF!,149,0)</f>
        <v>#REF!</v>
      </c>
      <c r="G203" s="155" t="e">
        <f t="shared" si="11"/>
        <v>#REF!</v>
      </c>
      <c r="H203" s="156" t="e">
        <f t="shared" si="10"/>
        <v>#REF!</v>
      </c>
      <c r="I203" s="153">
        <v>0</v>
      </c>
      <c r="J203" s="157" t="e">
        <f t="shared" si="9"/>
        <v>#REF!</v>
      </c>
      <c r="K203" s="153"/>
      <c r="L203" s="197"/>
    </row>
    <row r="204" spans="1:12" s="158" customFormat="1" ht="17">
      <c r="A204" s="161">
        <v>195</v>
      </c>
      <c r="B204" s="170" t="s">
        <v>414</v>
      </c>
      <c r="C204" s="151" t="e">
        <f>VLOOKUP(B204,#REF!,2,0)</f>
        <v>#REF!</v>
      </c>
      <c r="D204" s="153" t="e">
        <f>+VLOOKUP(B204,#REF!,6,0)</f>
        <v>#REF!</v>
      </c>
      <c r="E204" s="154">
        <v>9542000</v>
      </c>
      <c r="F204" s="154" t="e">
        <f>+VLOOKUP(B204,#REF!,149,0)</f>
        <v>#REF!</v>
      </c>
      <c r="G204" s="155" t="e">
        <f t="shared" si="11"/>
        <v>#REF!</v>
      </c>
      <c r="H204" s="156" t="e">
        <f t="shared" si="10"/>
        <v>#REF!</v>
      </c>
      <c r="I204" s="153">
        <v>0</v>
      </c>
      <c r="J204" s="157" t="e">
        <f t="shared" si="9"/>
        <v>#REF!</v>
      </c>
      <c r="K204" s="153"/>
      <c r="L204" s="197"/>
    </row>
    <row r="205" spans="1:12" s="158" customFormat="1" ht="17">
      <c r="A205" s="161">
        <v>196</v>
      </c>
      <c r="B205" s="159" t="s">
        <v>419</v>
      </c>
      <c r="C205" s="151" t="e">
        <f>VLOOKUP(B205,#REF!,2,0)</f>
        <v>#REF!</v>
      </c>
      <c r="D205" s="153" t="e">
        <f>+VLOOKUP(B205,#REF!,6,0)</f>
        <v>#REF!</v>
      </c>
      <c r="E205" s="154">
        <v>9161000</v>
      </c>
      <c r="F205" s="154" t="e">
        <f>+VLOOKUP(B205,#REF!,149,0)</f>
        <v>#REF!</v>
      </c>
      <c r="G205" s="155" t="e">
        <f t="shared" si="11"/>
        <v>#REF!</v>
      </c>
      <c r="H205" s="156" t="e">
        <f t="shared" si="10"/>
        <v>#REF!</v>
      </c>
      <c r="I205" s="153">
        <v>0</v>
      </c>
      <c r="J205" s="157" t="e">
        <f t="shared" ref="J205:J268" si="12">+F205-E205+I205</f>
        <v>#REF!</v>
      </c>
      <c r="K205" s="153"/>
      <c r="L205" s="197"/>
    </row>
    <row r="206" spans="1:12" s="158" customFormat="1" ht="17">
      <c r="A206" s="161">
        <v>197</v>
      </c>
      <c r="B206" s="159" t="s">
        <v>433</v>
      </c>
      <c r="C206" s="151" t="e">
        <f>VLOOKUP(B206,#REF!,2,0)</f>
        <v>#REF!</v>
      </c>
      <c r="D206" s="153" t="e">
        <f>+VLOOKUP(B206,#REF!,6,0)</f>
        <v>#REF!</v>
      </c>
      <c r="E206" s="154">
        <v>9140000</v>
      </c>
      <c r="F206" s="154" t="e">
        <f>+VLOOKUP(B206,#REF!,149,0)</f>
        <v>#REF!</v>
      </c>
      <c r="G206" s="155" t="e">
        <f t="shared" si="11"/>
        <v>#REF!</v>
      </c>
      <c r="H206" s="156" t="e">
        <f t="shared" si="10"/>
        <v>#REF!</v>
      </c>
      <c r="I206" s="153">
        <v>0</v>
      </c>
      <c r="J206" s="157" t="e">
        <f t="shared" si="12"/>
        <v>#REF!</v>
      </c>
      <c r="K206" s="153"/>
      <c r="L206" s="197"/>
    </row>
    <row r="207" spans="1:12" s="158" customFormat="1" ht="17">
      <c r="A207" s="161">
        <v>198</v>
      </c>
      <c r="B207" s="159" t="s">
        <v>434</v>
      </c>
      <c r="C207" s="151" t="e">
        <f>VLOOKUP(B207,#REF!,2,0)</f>
        <v>#REF!</v>
      </c>
      <c r="D207" s="153" t="e">
        <f>+VLOOKUP(B207,#REF!,6,0)</f>
        <v>#REF!</v>
      </c>
      <c r="E207" s="154">
        <v>8367000</v>
      </c>
      <c r="F207" s="154" t="e">
        <f>+VLOOKUP(B207,#REF!,149,0)</f>
        <v>#REF!</v>
      </c>
      <c r="G207" s="155" t="e">
        <f t="shared" si="11"/>
        <v>#REF!</v>
      </c>
      <c r="H207" s="156" t="e">
        <f t="shared" si="10"/>
        <v>#REF!</v>
      </c>
      <c r="I207" s="153">
        <v>0</v>
      </c>
      <c r="J207" s="157" t="e">
        <f t="shared" si="12"/>
        <v>#REF!</v>
      </c>
      <c r="K207" s="153"/>
      <c r="L207" s="197"/>
    </row>
    <row r="208" spans="1:12" s="180" customFormat="1" ht="17">
      <c r="A208" s="172">
        <v>199</v>
      </c>
      <c r="B208" s="173" t="s">
        <v>435</v>
      </c>
      <c r="C208" s="174" t="e">
        <f>VLOOKUP(B208,#REF!,2,0)</f>
        <v>#REF!</v>
      </c>
      <c r="D208" s="175" t="e">
        <f>+VLOOKUP(B208,#REF!,6,0)</f>
        <v>#REF!</v>
      </c>
      <c r="E208" s="176">
        <v>2573000</v>
      </c>
      <c r="F208" s="176" t="e">
        <f>+VLOOKUP(B208,#REF!,149,0)</f>
        <v>#REF!</v>
      </c>
      <c r="G208" s="177" t="e">
        <f t="shared" si="11"/>
        <v>#REF!</v>
      </c>
      <c r="H208" s="178" t="e">
        <f t="shared" si="10"/>
        <v>#REF!</v>
      </c>
      <c r="I208" s="175">
        <v>0</v>
      </c>
      <c r="J208" s="179" t="e">
        <f t="shared" si="12"/>
        <v>#REF!</v>
      </c>
      <c r="K208" s="175"/>
    </row>
    <row r="209" spans="1:12" s="158" customFormat="1" ht="17">
      <c r="A209" s="161">
        <v>200</v>
      </c>
      <c r="B209" s="159" t="s">
        <v>454</v>
      </c>
      <c r="C209" s="151" t="e">
        <f>VLOOKUP(B209,#REF!,2,0)</f>
        <v>#REF!</v>
      </c>
      <c r="D209" s="153" t="e">
        <f>+VLOOKUP(B209,#REF!,6,0)</f>
        <v>#REF!</v>
      </c>
      <c r="E209" s="154">
        <v>7985000</v>
      </c>
      <c r="F209" s="154" t="e">
        <f>+VLOOKUP(B209,#REF!,149,0)</f>
        <v>#REF!</v>
      </c>
      <c r="G209" s="155" t="e">
        <f t="shared" si="11"/>
        <v>#REF!</v>
      </c>
      <c r="H209" s="156" t="e">
        <f t="shared" si="10"/>
        <v>#REF!</v>
      </c>
      <c r="I209" s="153">
        <v>0</v>
      </c>
      <c r="J209" s="157" t="e">
        <f t="shared" si="12"/>
        <v>#REF!</v>
      </c>
      <c r="K209" s="153"/>
      <c r="L209" s="197"/>
    </row>
    <row r="210" spans="1:12" s="158" customFormat="1" ht="17">
      <c r="A210" s="161">
        <v>201</v>
      </c>
      <c r="B210" s="152" t="s">
        <v>144</v>
      </c>
      <c r="C210" s="151" t="e">
        <f>VLOOKUP(B210,#REF!,2,0)</f>
        <v>#REF!</v>
      </c>
      <c r="D210" s="153" t="e">
        <f>+VLOOKUP(B210,#REF!,6,0)</f>
        <v>#REF!</v>
      </c>
      <c r="E210" s="154">
        <v>9748000</v>
      </c>
      <c r="F210" s="154" t="e">
        <f>+VLOOKUP(B210,#REF!,149,0)</f>
        <v>#REF!</v>
      </c>
      <c r="G210" s="155" t="e">
        <f t="shared" si="11"/>
        <v>#REF!</v>
      </c>
      <c r="H210" s="156" t="e">
        <f t="shared" si="10"/>
        <v>#REF!</v>
      </c>
      <c r="I210" s="153">
        <v>0</v>
      </c>
      <c r="J210" s="157" t="e">
        <f t="shared" si="12"/>
        <v>#REF!</v>
      </c>
      <c r="K210" s="153"/>
      <c r="L210" s="197"/>
    </row>
    <row r="211" spans="1:12" s="158" customFormat="1" ht="17">
      <c r="A211" s="161">
        <v>202</v>
      </c>
      <c r="B211" s="152" t="s">
        <v>145</v>
      </c>
      <c r="C211" s="151" t="e">
        <f>VLOOKUP(B211,#REF!,2,0)</f>
        <v>#REF!</v>
      </c>
      <c r="D211" s="153" t="e">
        <f>+VLOOKUP(B211,#REF!,6,0)</f>
        <v>#REF!</v>
      </c>
      <c r="E211" s="154">
        <v>10139000</v>
      </c>
      <c r="F211" s="154" t="e">
        <f>+VLOOKUP(B211,#REF!,149,0)</f>
        <v>#REF!</v>
      </c>
      <c r="G211" s="155" t="e">
        <f t="shared" si="11"/>
        <v>#REF!</v>
      </c>
      <c r="H211" s="156" t="e">
        <f t="shared" si="10"/>
        <v>#REF!</v>
      </c>
      <c r="I211" s="153">
        <v>0</v>
      </c>
      <c r="J211" s="157" t="e">
        <f t="shared" si="12"/>
        <v>#REF!</v>
      </c>
      <c r="K211" s="153"/>
      <c r="L211" s="197"/>
    </row>
    <row r="212" spans="1:12" s="158" customFormat="1" ht="17">
      <c r="A212" s="161">
        <v>203</v>
      </c>
      <c r="B212" s="152" t="s">
        <v>219</v>
      </c>
      <c r="C212" s="151" t="e">
        <f>VLOOKUP(B212,#REF!,2,0)</f>
        <v>#REF!</v>
      </c>
      <c r="D212" s="153" t="e">
        <f>+VLOOKUP(B212,#REF!,6,0)</f>
        <v>#REF!</v>
      </c>
      <c r="E212" s="154">
        <v>9353000</v>
      </c>
      <c r="F212" s="154" t="e">
        <f>+VLOOKUP(B212,#REF!,149,0)</f>
        <v>#REF!</v>
      </c>
      <c r="G212" s="155" t="e">
        <f t="shared" si="11"/>
        <v>#REF!</v>
      </c>
      <c r="H212" s="156" t="e">
        <f t="shared" si="10"/>
        <v>#REF!</v>
      </c>
      <c r="I212" s="153">
        <v>0</v>
      </c>
      <c r="J212" s="157" t="e">
        <f t="shared" si="12"/>
        <v>#REF!</v>
      </c>
      <c r="K212" s="153"/>
      <c r="L212" s="197"/>
    </row>
    <row r="213" spans="1:12" s="158" customFormat="1" ht="17">
      <c r="A213" s="161">
        <v>204</v>
      </c>
      <c r="B213" s="152" t="s">
        <v>151</v>
      </c>
      <c r="C213" s="151" t="e">
        <f>VLOOKUP(B213,#REF!,2,0)</f>
        <v>#REF!</v>
      </c>
      <c r="D213" s="153" t="e">
        <f>+VLOOKUP(B213,#REF!,6,0)</f>
        <v>#REF!</v>
      </c>
      <c r="E213" s="154">
        <v>9353000</v>
      </c>
      <c r="F213" s="154" t="e">
        <f>+VLOOKUP(B213,#REF!,149,0)</f>
        <v>#REF!</v>
      </c>
      <c r="G213" s="155" t="e">
        <f t="shared" si="11"/>
        <v>#REF!</v>
      </c>
      <c r="H213" s="156" t="e">
        <f t="shared" si="10"/>
        <v>#REF!</v>
      </c>
      <c r="I213" s="153">
        <v>0</v>
      </c>
      <c r="J213" s="157" t="e">
        <f t="shared" si="12"/>
        <v>#REF!</v>
      </c>
      <c r="K213" s="153"/>
      <c r="L213" s="197"/>
    </row>
    <row r="214" spans="1:12" s="158" customFormat="1" ht="17">
      <c r="A214" s="161">
        <v>205</v>
      </c>
      <c r="B214" s="152" t="s">
        <v>216</v>
      </c>
      <c r="C214" s="151" t="e">
        <f>VLOOKUP(B214,#REF!,2,0)</f>
        <v>#REF!</v>
      </c>
      <c r="D214" s="153" t="e">
        <f>+VLOOKUP(B214,#REF!,6,0)</f>
        <v>#REF!</v>
      </c>
      <c r="E214" s="154">
        <v>9353000</v>
      </c>
      <c r="F214" s="154" t="e">
        <f>+VLOOKUP(B214,#REF!,149,0)</f>
        <v>#REF!</v>
      </c>
      <c r="G214" s="155" t="e">
        <f t="shared" si="11"/>
        <v>#REF!</v>
      </c>
      <c r="H214" s="156" t="e">
        <f t="shared" si="10"/>
        <v>#REF!</v>
      </c>
      <c r="I214" s="153">
        <v>0</v>
      </c>
      <c r="J214" s="157" t="e">
        <f t="shared" si="12"/>
        <v>#REF!</v>
      </c>
      <c r="K214" s="153"/>
      <c r="L214" s="197"/>
    </row>
    <row r="215" spans="1:12" s="158" customFormat="1" ht="17">
      <c r="A215" s="161">
        <v>206</v>
      </c>
      <c r="B215" s="152" t="s">
        <v>218</v>
      </c>
      <c r="C215" s="151" t="e">
        <f>VLOOKUP(B215,#REF!,2,0)</f>
        <v>#REF!</v>
      </c>
      <c r="D215" s="153" t="e">
        <f>+VLOOKUP(B215,#REF!,6,0)</f>
        <v>#REF!</v>
      </c>
      <c r="E215" s="154">
        <v>9353000</v>
      </c>
      <c r="F215" s="154" t="e">
        <f>+VLOOKUP(B215,#REF!,149,0)</f>
        <v>#REF!</v>
      </c>
      <c r="G215" s="155" t="e">
        <f t="shared" si="11"/>
        <v>#REF!</v>
      </c>
      <c r="H215" s="156" t="e">
        <f t="shared" si="10"/>
        <v>#REF!</v>
      </c>
      <c r="I215" s="153">
        <v>0</v>
      </c>
      <c r="J215" s="157" t="e">
        <f t="shared" si="12"/>
        <v>#REF!</v>
      </c>
      <c r="K215" s="153"/>
      <c r="L215" s="197"/>
    </row>
    <row r="216" spans="1:12" s="158" customFormat="1" ht="17">
      <c r="A216" s="161">
        <v>207</v>
      </c>
      <c r="B216" s="152" t="s">
        <v>187</v>
      </c>
      <c r="C216" s="151" t="e">
        <f>VLOOKUP(B216,#REF!,2,0)</f>
        <v>#REF!</v>
      </c>
      <c r="D216" s="153" t="e">
        <f>+VLOOKUP(B216,#REF!,6,0)</f>
        <v>#REF!</v>
      </c>
      <c r="E216" s="154">
        <v>8953000</v>
      </c>
      <c r="F216" s="154" t="e">
        <f>+VLOOKUP(B216,#REF!,149,0)</f>
        <v>#REF!</v>
      </c>
      <c r="G216" s="155" t="e">
        <f t="shared" si="11"/>
        <v>#REF!</v>
      </c>
      <c r="H216" s="156" t="e">
        <f t="shared" si="10"/>
        <v>#REF!</v>
      </c>
      <c r="I216" s="153">
        <v>0</v>
      </c>
      <c r="J216" s="157" t="e">
        <f t="shared" si="12"/>
        <v>#REF!</v>
      </c>
      <c r="K216" s="153"/>
      <c r="L216" s="197"/>
    </row>
    <row r="217" spans="1:12" s="158" customFormat="1" ht="17">
      <c r="A217" s="161">
        <v>208</v>
      </c>
      <c r="B217" s="152" t="s">
        <v>224</v>
      </c>
      <c r="C217" s="151" t="e">
        <f>VLOOKUP(B217,#REF!,2,0)</f>
        <v>#REF!</v>
      </c>
      <c r="D217" s="153" t="e">
        <f>+VLOOKUP(B217,#REF!,6,0)</f>
        <v>#REF!</v>
      </c>
      <c r="E217" s="154">
        <v>9353000</v>
      </c>
      <c r="F217" s="154" t="e">
        <f>+VLOOKUP(B217,#REF!,149,0)</f>
        <v>#REF!</v>
      </c>
      <c r="G217" s="155" t="e">
        <f t="shared" si="11"/>
        <v>#REF!</v>
      </c>
      <c r="H217" s="156" t="e">
        <f t="shared" si="10"/>
        <v>#REF!</v>
      </c>
      <c r="I217" s="153">
        <v>0</v>
      </c>
      <c r="J217" s="157" t="e">
        <f t="shared" si="12"/>
        <v>#REF!</v>
      </c>
      <c r="K217" s="153"/>
      <c r="L217" s="197"/>
    </row>
    <row r="218" spans="1:12" s="158" customFormat="1" ht="17">
      <c r="A218" s="161">
        <v>209</v>
      </c>
      <c r="B218" s="152" t="s">
        <v>285</v>
      </c>
      <c r="C218" s="151" t="e">
        <f>VLOOKUP(B218,#REF!,2,0)</f>
        <v>#REF!</v>
      </c>
      <c r="D218" s="153" t="e">
        <f>+VLOOKUP(B218,#REF!,6,0)</f>
        <v>#REF!</v>
      </c>
      <c r="E218" s="154">
        <v>9146000</v>
      </c>
      <c r="F218" s="154" t="e">
        <f>+VLOOKUP(B218,#REF!,149,0)</f>
        <v>#REF!</v>
      </c>
      <c r="G218" s="155" t="e">
        <f t="shared" si="11"/>
        <v>#REF!</v>
      </c>
      <c r="H218" s="156" t="e">
        <f t="shared" si="10"/>
        <v>#REF!</v>
      </c>
      <c r="I218" s="153">
        <v>0</v>
      </c>
      <c r="J218" s="157" t="e">
        <f t="shared" si="12"/>
        <v>#REF!</v>
      </c>
      <c r="K218" s="153"/>
      <c r="L218" s="197"/>
    </row>
    <row r="219" spans="1:12" s="158" customFormat="1" ht="17">
      <c r="A219" s="161">
        <v>210</v>
      </c>
      <c r="B219" s="152" t="s">
        <v>209</v>
      </c>
      <c r="C219" s="151" t="e">
        <f>VLOOKUP(B219,#REF!,2,0)</f>
        <v>#REF!</v>
      </c>
      <c r="D219" s="153" t="e">
        <f>+VLOOKUP(B219,#REF!,6,0)</f>
        <v>#REF!</v>
      </c>
      <c r="E219" s="154">
        <v>9425000</v>
      </c>
      <c r="F219" s="154" t="e">
        <f>+VLOOKUP(B219,#REF!,149,0)</f>
        <v>#REF!</v>
      </c>
      <c r="G219" s="155" t="e">
        <f t="shared" si="11"/>
        <v>#REF!</v>
      </c>
      <c r="H219" s="156" t="e">
        <f t="shared" si="10"/>
        <v>#REF!</v>
      </c>
      <c r="I219" s="153">
        <v>0</v>
      </c>
      <c r="J219" s="157" t="e">
        <f t="shared" si="12"/>
        <v>#REF!</v>
      </c>
      <c r="K219" s="153"/>
      <c r="L219" s="197"/>
    </row>
    <row r="220" spans="1:12" s="158" customFormat="1" ht="17">
      <c r="A220" s="161">
        <v>211</v>
      </c>
      <c r="B220" s="152" t="s">
        <v>214</v>
      </c>
      <c r="C220" s="151" t="e">
        <f>VLOOKUP(B220,#REF!,2,0)</f>
        <v>#REF!</v>
      </c>
      <c r="D220" s="153" t="e">
        <f>+VLOOKUP(B220,#REF!,6,0)</f>
        <v>#REF!</v>
      </c>
      <c r="E220" s="154">
        <v>9171000</v>
      </c>
      <c r="F220" s="154" t="e">
        <f>+VLOOKUP(B220,#REF!,149,0)</f>
        <v>#REF!</v>
      </c>
      <c r="G220" s="155" t="e">
        <f t="shared" si="11"/>
        <v>#REF!</v>
      </c>
      <c r="H220" s="156" t="e">
        <f t="shared" si="10"/>
        <v>#REF!</v>
      </c>
      <c r="I220" s="153">
        <v>0</v>
      </c>
      <c r="J220" s="157" t="e">
        <f t="shared" si="12"/>
        <v>#REF!</v>
      </c>
      <c r="K220" s="153"/>
      <c r="L220" s="197"/>
    </row>
    <row r="221" spans="1:12" s="158" customFormat="1" ht="17">
      <c r="A221" s="161">
        <v>212</v>
      </c>
      <c r="B221" s="152" t="s">
        <v>155</v>
      </c>
      <c r="C221" s="151" t="e">
        <f>VLOOKUP(B221,#REF!,2,0)</f>
        <v>#REF!</v>
      </c>
      <c r="D221" s="153" t="e">
        <f>+VLOOKUP(B221,#REF!,6,0)</f>
        <v>#REF!</v>
      </c>
      <c r="E221" s="154">
        <v>9934000</v>
      </c>
      <c r="F221" s="154" t="e">
        <f>+VLOOKUP(B221,#REF!,149,0)</f>
        <v>#REF!</v>
      </c>
      <c r="G221" s="155" t="e">
        <f t="shared" si="11"/>
        <v>#REF!</v>
      </c>
      <c r="H221" s="156" t="e">
        <f t="shared" si="10"/>
        <v>#REF!</v>
      </c>
      <c r="I221" s="153">
        <v>0</v>
      </c>
      <c r="J221" s="157" t="e">
        <f t="shared" si="12"/>
        <v>#REF!</v>
      </c>
      <c r="K221" s="153"/>
      <c r="L221" s="197"/>
    </row>
    <row r="222" spans="1:12" s="158" customFormat="1" ht="17">
      <c r="A222" s="161">
        <v>213</v>
      </c>
      <c r="B222" s="152" t="s">
        <v>71</v>
      </c>
      <c r="C222" s="151" t="e">
        <f>VLOOKUP(B222,#REF!,2,0)</f>
        <v>#REF!</v>
      </c>
      <c r="D222" s="153" t="e">
        <f>+VLOOKUP(B222,#REF!,6,0)</f>
        <v>#REF!</v>
      </c>
      <c r="E222" s="154">
        <v>9819000</v>
      </c>
      <c r="F222" s="154" t="e">
        <f>+VLOOKUP(B222,#REF!,149,0)</f>
        <v>#REF!</v>
      </c>
      <c r="G222" s="155" t="e">
        <f t="shared" si="11"/>
        <v>#REF!</v>
      </c>
      <c r="H222" s="156" t="e">
        <f t="shared" si="10"/>
        <v>#REF!</v>
      </c>
      <c r="I222" s="153">
        <v>0</v>
      </c>
      <c r="J222" s="157" t="e">
        <f t="shared" si="12"/>
        <v>#REF!</v>
      </c>
      <c r="K222" s="153"/>
      <c r="L222" s="197"/>
    </row>
    <row r="223" spans="1:12" s="158" customFormat="1" ht="17">
      <c r="A223" s="161">
        <v>214</v>
      </c>
      <c r="B223" s="152" t="s">
        <v>59</v>
      </c>
      <c r="C223" s="151" t="e">
        <f>VLOOKUP(B223,#REF!,2,0)</f>
        <v>#REF!</v>
      </c>
      <c r="D223" s="153" t="e">
        <f>+VLOOKUP(B223,#REF!,6,0)</f>
        <v>#REF!</v>
      </c>
      <c r="E223" s="154">
        <v>9676000</v>
      </c>
      <c r="F223" s="154" t="e">
        <f>+VLOOKUP(B223,#REF!,149,0)</f>
        <v>#REF!</v>
      </c>
      <c r="G223" s="155" t="e">
        <f t="shared" si="11"/>
        <v>#REF!</v>
      </c>
      <c r="H223" s="156" t="e">
        <f t="shared" si="10"/>
        <v>#REF!</v>
      </c>
      <c r="I223" s="153">
        <v>0</v>
      </c>
      <c r="J223" s="157" t="e">
        <f t="shared" si="12"/>
        <v>#REF!</v>
      </c>
      <c r="K223" s="153"/>
      <c r="L223" s="197"/>
    </row>
    <row r="224" spans="1:12" s="158" customFormat="1" ht="17">
      <c r="A224" s="161">
        <v>215</v>
      </c>
      <c r="B224" s="152" t="s">
        <v>62</v>
      </c>
      <c r="C224" s="151" t="e">
        <f>VLOOKUP(B224,#REF!,2,0)</f>
        <v>#REF!</v>
      </c>
      <c r="D224" s="153" t="e">
        <f>+VLOOKUP(B224,#REF!,6,0)</f>
        <v>#REF!</v>
      </c>
      <c r="E224" s="154">
        <v>7740000</v>
      </c>
      <c r="F224" s="154" t="e">
        <f>+VLOOKUP(B224,#REF!,149,0)</f>
        <v>#REF!</v>
      </c>
      <c r="G224" s="155" t="e">
        <f t="shared" si="11"/>
        <v>#REF!</v>
      </c>
      <c r="H224" s="156" t="e">
        <f t="shared" si="10"/>
        <v>#REF!</v>
      </c>
      <c r="I224" s="153">
        <v>0</v>
      </c>
      <c r="J224" s="157" t="e">
        <f t="shared" si="12"/>
        <v>#REF!</v>
      </c>
      <c r="K224" s="153"/>
      <c r="L224" s="197"/>
    </row>
    <row r="225" spans="1:14" s="158" customFormat="1" ht="17">
      <c r="A225" s="161">
        <v>216</v>
      </c>
      <c r="B225" s="152" t="s">
        <v>64</v>
      </c>
      <c r="C225" s="151" t="e">
        <f>VLOOKUP(B225,#REF!,2,0)</f>
        <v>#REF!</v>
      </c>
      <c r="D225" s="153" t="e">
        <f>+VLOOKUP(B225,#REF!,6,0)</f>
        <v>#REF!</v>
      </c>
      <c r="E225" s="154">
        <v>5738000</v>
      </c>
      <c r="F225" s="154" t="e">
        <f>+VLOOKUP(B225,#REF!,149,0)</f>
        <v>#REF!</v>
      </c>
      <c r="G225" s="155" t="e">
        <f t="shared" si="11"/>
        <v>#REF!</v>
      </c>
      <c r="H225" s="156" t="e">
        <f t="shared" si="10"/>
        <v>#REF!</v>
      </c>
      <c r="I225" s="153">
        <v>0</v>
      </c>
      <c r="J225" s="157" t="e">
        <f t="shared" si="12"/>
        <v>#REF!</v>
      </c>
      <c r="K225" s="153"/>
      <c r="L225" s="197"/>
    </row>
    <row r="226" spans="1:14" s="158" customFormat="1" ht="17">
      <c r="A226" s="161">
        <v>217</v>
      </c>
      <c r="B226" s="152" t="s">
        <v>263</v>
      </c>
      <c r="C226" s="151" t="e">
        <f>VLOOKUP(B226,#REF!,2,0)</f>
        <v>#REF!</v>
      </c>
      <c r="D226" s="153" t="e">
        <f>+VLOOKUP(B226,#REF!,6,0)</f>
        <v>#REF!</v>
      </c>
      <c r="E226" s="154">
        <v>8040000</v>
      </c>
      <c r="F226" s="154" t="e">
        <f>+VLOOKUP(B226,#REF!,149,0)</f>
        <v>#REF!</v>
      </c>
      <c r="G226" s="155" t="e">
        <f t="shared" si="11"/>
        <v>#REF!</v>
      </c>
      <c r="H226" s="156" t="e">
        <f t="shared" si="10"/>
        <v>#REF!</v>
      </c>
      <c r="I226" s="153">
        <v>0</v>
      </c>
      <c r="J226" s="157" t="e">
        <f t="shared" si="12"/>
        <v>#REF!</v>
      </c>
      <c r="K226" s="153"/>
      <c r="L226" s="197"/>
    </row>
    <row r="227" spans="1:14" s="158" customFormat="1" ht="17">
      <c r="A227" s="161">
        <v>218</v>
      </c>
      <c r="B227" s="152" t="s">
        <v>227</v>
      </c>
      <c r="C227" s="151" t="e">
        <f>VLOOKUP(B227,#REF!,2,0)</f>
        <v>#REF!</v>
      </c>
      <c r="D227" s="153" t="e">
        <f>+VLOOKUP(B227,#REF!,6,0)</f>
        <v>#REF!</v>
      </c>
      <c r="E227" s="154">
        <v>8841000</v>
      </c>
      <c r="F227" s="154" t="e">
        <f>+VLOOKUP(B227,#REF!,149,0)</f>
        <v>#REF!</v>
      </c>
      <c r="G227" s="155" t="e">
        <f t="shared" si="11"/>
        <v>#REF!</v>
      </c>
      <c r="H227" s="156" t="e">
        <f t="shared" si="10"/>
        <v>#REF!</v>
      </c>
      <c r="I227" s="153">
        <v>0</v>
      </c>
      <c r="J227" s="157" t="e">
        <f t="shared" si="12"/>
        <v>#REF!</v>
      </c>
      <c r="K227" s="153"/>
      <c r="L227" s="197"/>
    </row>
    <row r="228" spans="1:14" s="158" customFormat="1" ht="17">
      <c r="A228" s="161">
        <v>219</v>
      </c>
      <c r="B228" s="152" t="s">
        <v>289</v>
      </c>
      <c r="C228" s="151" t="e">
        <f>VLOOKUP(B228,#REF!,2,0)</f>
        <v>#REF!</v>
      </c>
      <c r="D228" s="153" t="e">
        <f>+VLOOKUP(B228,#REF!,6,0)</f>
        <v>#REF!</v>
      </c>
      <c r="E228" s="154">
        <v>9406000</v>
      </c>
      <c r="F228" s="154" t="e">
        <f>+VLOOKUP(B228,#REF!,149,0)</f>
        <v>#REF!</v>
      </c>
      <c r="G228" s="155" t="e">
        <f t="shared" si="11"/>
        <v>#REF!</v>
      </c>
      <c r="H228" s="156" t="e">
        <f t="shared" si="10"/>
        <v>#REF!</v>
      </c>
      <c r="I228" s="153">
        <v>0</v>
      </c>
      <c r="J228" s="157" t="e">
        <f t="shared" si="12"/>
        <v>#REF!</v>
      </c>
      <c r="K228" s="153"/>
      <c r="L228" s="197"/>
    </row>
    <row r="229" spans="1:14" s="158" customFormat="1" ht="17">
      <c r="A229" s="161">
        <v>220</v>
      </c>
      <c r="B229" s="152" t="s">
        <v>228</v>
      </c>
      <c r="C229" s="151" t="e">
        <f>VLOOKUP(B229,#REF!,2,0)</f>
        <v>#REF!</v>
      </c>
      <c r="D229" s="153" t="e">
        <f>+VLOOKUP(B229,#REF!,6,0)</f>
        <v>#REF!</v>
      </c>
      <c r="E229" s="154">
        <v>6539000</v>
      </c>
      <c r="F229" s="154" t="e">
        <f>+VLOOKUP(B229,#REF!,149,0)</f>
        <v>#REF!</v>
      </c>
      <c r="G229" s="155" t="e">
        <f t="shared" si="11"/>
        <v>#REF!</v>
      </c>
      <c r="H229" s="156" t="e">
        <f t="shared" si="10"/>
        <v>#REF!</v>
      </c>
      <c r="I229" s="153">
        <v>0</v>
      </c>
      <c r="J229" s="157" t="e">
        <f t="shared" si="12"/>
        <v>#REF!</v>
      </c>
      <c r="K229" s="153"/>
      <c r="L229" s="197"/>
    </row>
    <row r="230" spans="1:14" s="180" customFormat="1" ht="17">
      <c r="A230" s="172">
        <v>221</v>
      </c>
      <c r="B230" s="173" t="s">
        <v>321</v>
      </c>
      <c r="C230" s="174">
        <v>8312842415</v>
      </c>
      <c r="D230" s="175" t="e">
        <f>+VLOOKUP(B230,#REF!,6,0)</f>
        <v>#REF!</v>
      </c>
      <c r="E230" s="176">
        <v>9641000</v>
      </c>
      <c r="F230" s="176">
        <v>9864000</v>
      </c>
      <c r="G230" s="177">
        <f t="shared" si="11"/>
        <v>1.023130380665906</v>
      </c>
      <c r="H230" s="178">
        <f t="shared" si="10"/>
        <v>51</v>
      </c>
      <c r="I230" s="175">
        <v>0</v>
      </c>
      <c r="J230" s="179">
        <f t="shared" si="12"/>
        <v>223000</v>
      </c>
      <c r="K230" s="175"/>
      <c r="N230" s="180">
        <f>9864-223</f>
        <v>9641</v>
      </c>
    </row>
    <row r="231" spans="1:14" s="158" customFormat="1" ht="17">
      <c r="A231" s="161">
        <v>222</v>
      </c>
      <c r="B231" s="152" t="s">
        <v>29</v>
      </c>
      <c r="C231" s="151" t="e">
        <f>VLOOKUP(B231,#REF!,2,0)</f>
        <v>#REF!</v>
      </c>
      <c r="D231" s="153" t="e">
        <f>+VLOOKUP(B231,#REF!,6,0)</f>
        <v>#REF!</v>
      </c>
      <c r="E231" s="154">
        <v>8185000</v>
      </c>
      <c r="F231" s="154" t="e">
        <f>+VLOOKUP(B231,#REF!,149,0)</f>
        <v>#REF!</v>
      </c>
      <c r="G231" s="155" t="e">
        <f t="shared" si="11"/>
        <v>#REF!</v>
      </c>
      <c r="H231" s="156" t="e">
        <f t="shared" si="10"/>
        <v>#REF!</v>
      </c>
      <c r="I231" s="153">
        <v>0</v>
      </c>
      <c r="J231" s="157" t="e">
        <f t="shared" si="12"/>
        <v>#REF!</v>
      </c>
      <c r="K231" s="153"/>
      <c r="L231" s="197"/>
    </row>
    <row r="232" spans="1:14" s="158" customFormat="1" ht="17">
      <c r="A232" s="161">
        <v>223</v>
      </c>
      <c r="B232" s="152" t="s">
        <v>66</v>
      </c>
      <c r="C232" s="151" t="e">
        <f>VLOOKUP(B232,#REF!,2,0)</f>
        <v>#REF!</v>
      </c>
      <c r="D232" s="153" t="e">
        <f>+VLOOKUP(B232,#REF!,6,0)</f>
        <v>#REF!</v>
      </c>
      <c r="E232" s="154">
        <v>7639000</v>
      </c>
      <c r="F232" s="154" t="e">
        <f>+VLOOKUP(B232,#REF!,149,0)</f>
        <v>#REF!</v>
      </c>
      <c r="G232" s="155" t="e">
        <f t="shared" si="11"/>
        <v>#REF!</v>
      </c>
      <c r="H232" s="156" t="e">
        <f t="shared" si="10"/>
        <v>#REF!</v>
      </c>
      <c r="I232" s="153">
        <v>0</v>
      </c>
      <c r="J232" s="157" t="e">
        <f t="shared" si="12"/>
        <v>#REF!</v>
      </c>
      <c r="K232" s="153"/>
      <c r="L232" s="197"/>
    </row>
    <row r="233" spans="1:14" s="158" customFormat="1" ht="17">
      <c r="A233" s="161">
        <v>224</v>
      </c>
      <c r="B233" s="152" t="s">
        <v>193</v>
      </c>
      <c r="C233" s="151" t="e">
        <f>VLOOKUP(B233,#REF!,2,0)</f>
        <v>#REF!</v>
      </c>
      <c r="D233" s="153" t="e">
        <f>+VLOOKUP(B233,#REF!,6,0)</f>
        <v>#REF!</v>
      </c>
      <c r="E233" s="154">
        <v>8440000</v>
      </c>
      <c r="F233" s="154" t="e">
        <f>+VLOOKUP(B233,#REF!,149,0)</f>
        <v>#REF!</v>
      </c>
      <c r="G233" s="155" t="e">
        <f t="shared" si="11"/>
        <v>#REF!</v>
      </c>
      <c r="H233" s="156" t="e">
        <f t="shared" si="10"/>
        <v>#REF!</v>
      </c>
      <c r="I233" s="153">
        <v>0</v>
      </c>
      <c r="J233" s="157" t="e">
        <f t="shared" si="12"/>
        <v>#REF!</v>
      </c>
      <c r="K233" s="153"/>
      <c r="L233" s="197"/>
    </row>
    <row r="234" spans="1:14" s="158" customFormat="1" ht="17">
      <c r="A234" s="161">
        <v>225</v>
      </c>
      <c r="B234" s="152" t="s">
        <v>194</v>
      </c>
      <c r="C234" s="151" t="e">
        <f>VLOOKUP(B234,#REF!,2,0)</f>
        <v>#REF!</v>
      </c>
      <c r="D234" s="153" t="e">
        <f>+VLOOKUP(B234,#REF!,6,0)</f>
        <v>#REF!</v>
      </c>
      <c r="E234" s="154">
        <v>7339000</v>
      </c>
      <c r="F234" s="154" t="e">
        <f>+VLOOKUP(B234,#REF!,149,0)</f>
        <v>#REF!</v>
      </c>
      <c r="G234" s="155" t="e">
        <f t="shared" si="11"/>
        <v>#REF!</v>
      </c>
      <c r="H234" s="156" t="e">
        <f t="shared" si="10"/>
        <v>#REF!</v>
      </c>
      <c r="I234" s="153">
        <v>0</v>
      </c>
      <c r="J234" s="157" t="e">
        <f t="shared" si="12"/>
        <v>#REF!</v>
      </c>
      <c r="K234" s="153"/>
      <c r="L234" s="197"/>
    </row>
    <row r="235" spans="1:14" s="158" customFormat="1" ht="17">
      <c r="A235" s="161">
        <v>226</v>
      </c>
      <c r="B235" s="152" t="s">
        <v>195</v>
      </c>
      <c r="C235" s="151" t="e">
        <f>VLOOKUP(B235,#REF!,2,0)</f>
        <v>#REF!</v>
      </c>
      <c r="D235" s="153" t="e">
        <f>+VLOOKUP(B235,#REF!,6,0)</f>
        <v>#REF!</v>
      </c>
      <c r="E235" s="154">
        <v>7403000</v>
      </c>
      <c r="F235" s="154" t="e">
        <f>+VLOOKUP(B235,#REF!,149,0)</f>
        <v>#REF!</v>
      </c>
      <c r="G235" s="155" t="e">
        <f t="shared" si="11"/>
        <v>#REF!</v>
      </c>
      <c r="H235" s="156" t="e">
        <f t="shared" si="10"/>
        <v>#REF!</v>
      </c>
      <c r="I235" s="153">
        <v>0</v>
      </c>
      <c r="J235" s="157" t="e">
        <f t="shared" si="12"/>
        <v>#REF!</v>
      </c>
      <c r="K235" s="153"/>
      <c r="L235" s="197"/>
    </row>
    <row r="236" spans="1:14" s="180" customFormat="1" ht="17">
      <c r="A236" s="172">
        <v>227</v>
      </c>
      <c r="B236" s="173" t="s">
        <v>141</v>
      </c>
      <c r="C236" s="174" t="e">
        <f>VLOOKUP(B236,#REF!,2,0)</f>
        <v>#REF!</v>
      </c>
      <c r="D236" s="175" t="e">
        <f>+VLOOKUP(B236,#REF!,6,0)</f>
        <v>#REF!</v>
      </c>
      <c r="E236" s="176">
        <v>1879000</v>
      </c>
      <c r="F236" s="176" t="e">
        <f>+VLOOKUP(B236,#REF!,149,0)</f>
        <v>#REF!</v>
      </c>
      <c r="G236" s="177" t="e">
        <f t="shared" si="11"/>
        <v>#REF!</v>
      </c>
      <c r="H236" s="178" t="e">
        <f t="shared" si="10"/>
        <v>#REF!</v>
      </c>
      <c r="I236" s="175">
        <v>0</v>
      </c>
      <c r="J236" s="179" t="e">
        <f t="shared" si="12"/>
        <v>#REF!</v>
      </c>
      <c r="K236" s="175"/>
    </row>
    <row r="237" spans="1:14" s="158" customFormat="1" ht="17">
      <c r="A237" s="161">
        <v>228</v>
      </c>
      <c r="B237" s="159" t="s">
        <v>455</v>
      </c>
      <c r="C237" s="151" t="e">
        <f>VLOOKUP(B237,#REF!,2,0)</f>
        <v>#REF!</v>
      </c>
      <c r="D237" s="153" t="e">
        <f>+VLOOKUP(B237,#REF!,6,0)</f>
        <v>#REF!</v>
      </c>
      <c r="E237" s="154">
        <v>9641000</v>
      </c>
      <c r="F237" s="154" t="e">
        <f>+VLOOKUP(B237,#REF!,149,0)</f>
        <v>#REF!</v>
      </c>
      <c r="G237" s="155" t="e">
        <f t="shared" si="11"/>
        <v>#REF!</v>
      </c>
      <c r="H237" s="156" t="e">
        <f t="shared" si="10"/>
        <v>#REF!</v>
      </c>
      <c r="I237" s="153">
        <v>0</v>
      </c>
      <c r="J237" s="157" t="e">
        <f t="shared" si="12"/>
        <v>#REF!</v>
      </c>
      <c r="K237" s="153"/>
      <c r="L237" s="197"/>
    </row>
    <row r="238" spans="1:14" s="158" customFormat="1" ht="17">
      <c r="A238" s="161">
        <v>229</v>
      </c>
      <c r="B238" s="152" t="s">
        <v>70</v>
      </c>
      <c r="C238" s="151" t="e">
        <f>VLOOKUP(B238,#REF!,2,0)</f>
        <v>#REF!</v>
      </c>
      <c r="D238" s="153" t="e">
        <f>+VLOOKUP(B238,#REF!,6,0)</f>
        <v>#REF!</v>
      </c>
      <c r="E238" s="154">
        <v>9641000</v>
      </c>
      <c r="F238" s="154" t="e">
        <f>+VLOOKUP(B238,#REF!,149,0)</f>
        <v>#REF!</v>
      </c>
      <c r="G238" s="155" t="e">
        <f t="shared" si="11"/>
        <v>#REF!</v>
      </c>
      <c r="H238" s="156" t="e">
        <f t="shared" si="10"/>
        <v>#REF!</v>
      </c>
      <c r="I238" s="153">
        <v>0</v>
      </c>
      <c r="J238" s="157" t="e">
        <f t="shared" si="12"/>
        <v>#REF!</v>
      </c>
      <c r="K238" s="153"/>
      <c r="L238" s="197"/>
    </row>
    <row r="239" spans="1:14" s="158" customFormat="1" ht="17">
      <c r="A239" s="161">
        <v>230</v>
      </c>
      <c r="B239" s="152" t="s">
        <v>235</v>
      </c>
      <c r="C239" s="151" t="e">
        <f>VLOOKUP(B239,#REF!,2,0)</f>
        <v>#REF!</v>
      </c>
      <c r="D239" s="153" t="e">
        <f>+VLOOKUP(B239,#REF!,6,0)</f>
        <v>#REF!</v>
      </c>
      <c r="E239" s="154">
        <v>4544000</v>
      </c>
      <c r="F239" s="154" t="e">
        <f>+VLOOKUP(B239,#REF!,149,0)</f>
        <v>#REF!</v>
      </c>
      <c r="G239" s="155" t="e">
        <f t="shared" si="11"/>
        <v>#REF!</v>
      </c>
      <c r="H239" s="156" t="e">
        <f t="shared" si="10"/>
        <v>#REF!</v>
      </c>
      <c r="I239" s="153">
        <v>0</v>
      </c>
      <c r="J239" s="157" t="e">
        <f t="shared" si="12"/>
        <v>#REF!</v>
      </c>
      <c r="K239" s="153"/>
      <c r="L239" s="197"/>
    </row>
    <row r="240" spans="1:14" s="158" customFormat="1" ht="17">
      <c r="A240" s="161">
        <v>231</v>
      </c>
      <c r="B240" s="152" t="s">
        <v>236</v>
      </c>
      <c r="C240" s="151" t="e">
        <f>VLOOKUP(B240,#REF!,2,0)</f>
        <v>#REF!</v>
      </c>
      <c r="D240" s="153" t="e">
        <f>+VLOOKUP(B240,#REF!,6,0)</f>
        <v>#REF!</v>
      </c>
      <c r="E240" s="154">
        <v>9241000</v>
      </c>
      <c r="F240" s="154" t="e">
        <f>+VLOOKUP(B240,#REF!,149,0)</f>
        <v>#REF!</v>
      </c>
      <c r="G240" s="155" t="e">
        <f t="shared" si="11"/>
        <v>#REF!</v>
      </c>
      <c r="H240" s="156" t="e">
        <f t="shared" si="10"/>
        <v>#REF!</v>
      </c>
      <c r="I240" s="153">
        <v>0</v>
      </c>
      <c r="J240" s="157" t="e">
        <f t="shared" si="12"/>
        <v>#REF!</v>
      </c>
      <c r="K240" s="153"/>
      <c r="L240" s="197"/>
    </row>
    <row r="241" spans="1:12" s="158" customFormat="1" ht="17">
      <c r="A241" s="161">
        <v>232</v>
      </c>
      <c r="B241" s="152" t="s">
        <v>238</v>
      </c>
      <c r="C241" s="151" t="e">
        <f>VLOOKUP(B241,#REF!,2,0)</f>
        <v>#REF!</v>
      </c>
      <c r="D241" s="153" t="e">
        <f>+VLOOKUP(B241,#REF!,6,0)</f>
        <v>#REF!</v>
      </c>
      <c r="E241" s="154">
        <v>9241000</v>
      </c>
      <c r="F241" s="154" t="e">
        <f>+VLOOKUP(B241,#REF!,149,0)</f>
        <v>#REF!</v>
      </c>
      <c r="G241" s="155" t="e">
        <f t="shared" si="11"/>
        <v>#REF!</v>
      </c>
      <c r="H241" s="156" t="e">
        <f t="shared" si="10"/>
        <v>#REF!</v>
      </c>
      <c r="I241" s="153">
        <v>0</v>
      </c>
      <c r="J241" s="157" t="e">
        <f t="shared" si="12"/>
        <v>#REF!</v>
      </c>
      <c r="K241" s="153"/>
      <c r="L241" s="197"/>
    </row>
    <row r="242" spans="1:12" s="158" customFormat="1" ht="17">
      <c r="A242" s="161">
        <v>233</v>
      </c>
      <c r="B242" s="152" t="s">
        <v>290</v>
      </c>
      <c r="C242" s="151" t="e">
        <f>VLOOKUP(B242,#REF!,2,0)</f>
        <v>#REF!</v>
      </c>
      <c r="D242" s="153" t="e">
        <f>+VLOOKUP(B242,#REF!,6,0)</f>
        <v>#REF!</v>
      </c>
      <c r="E242" s="154">
        <v>8847000</v>
      </c>
      <c r="F242" s="154" t="e">
        <f>+VLOOKUP(B242,#REF!,149,0)</f>
        <v>#REF!</v>
      </c>
      <c r="G242" s="155" t="e">
        <f t="shared" si="11"/>
        <v>#REF!</v>
      </c>
      <c r="H242" s="156" t="e">
        <f t="shared" si="10"/>
        <v>#REF!</v>
      </c>
      <c r="I242" s="153">
        <v>0</v>
      </c>
      <c r="J242" s="157" t="e">
        <f t="shared" si="12"/>
        <v>#REF!</v>
      </c>
      <c r="K242" s="153"/>
      <c r="L242" s="197"/>
    </row>
    <row r="243" spans="1:12" s="158" customFormat="1" ht="17">
      <c r="A243" s="161">
        <v>234</v>
      </c>
      <c r="B243" s="152" t="s">
        <v>72</v>
      </c>
      <c r="C243" s="151" t="e">
        <f>VLOOKUP(B243,#REF!,2,0)</f>
        <v>#REF!</v>
      </c>
      <c r="D243" s="153" t="e">
        <f>+VLOOKUP(B243,#REF!,6,0)</f>
        <v>#REF!</v>
      </c>
      <c r="E243" s="154">
        <v>9411000</v>
      </c>
      <c r="F243" s="154" t="e">
        <f>+VLOOKUP(B243,#REF!,149,0)</f>
        <v>#REF!</v>
      </c>
      <c r="G243" s="155" t="e">
        <f t="shared" si="11"/>
        <v>#REF!</v>
      </c>
      <c r="H243" s="156" t="e">
        <f t="shared" si="10"/>
        <v>#REF!</v>
      </c>
      <c r="I243" s="153">
        <v>0</v>
      </c>
      <c r="J243" s="157" t="e">
        <f t="shared" si="12"/>
        <v>#REF!</v>
      </c>
      <c r="K243" s="153"/>
      <c r="L243" s="197"/>
    </row>
    <row r="244" spans="1:12" s="158" customFormat="1" ht="17">
      <c r="A244" s="161">
        <v>235</v>
      </c>
      <c r="B244" s="159" t="s">
        <v>438</v>
      </c>
      <c r="C244" s="151" t="e">
        <f>VLOOKUP(B244,#REF!,2,0)</f>
        <v>#REF!</v>
      </c>
      <c r="D244" s="153" t="e">
        <f>+VLOOKUP(B244,#REF!,6,0)</f>
        <v>#REF!</v>
      </c>
      <c r="E244" s="154">
        <v>8040000</v>
      </c>
      <c r="F244" s="154" t="e">
        <f>+VLOOKUP(B244,#REF!,149,0)</f>
        <v>#REF!</v>
      </c>
      <c r="G244" s="155" t="e">
        <f t="shared" si="11"/>
        <v>#REF!</v>
      </c>
      <c r="H244" s="156" t="e">
        <f t="shared" si="10"/>
        <v>#REF!</v>
      </c>
      <c r="I244" s="153">
        <v>0</v>
      </c>
      <c r="J244" s="157" t="e">
        <f t="shared" si="12"/>
        <v>#REF!</v>
      </c>
      <c r="K244" s="153"/>
      <c r="L244" s="197"/>
    </row>
    <row r="245" spans="1:12" s="158" customFormat="1" ht="17">
      <c r="A245" s="161">
        <v>236</v>
      </c>
      <c r="B245" s="152" t="s">
        <v>81</v>
      </c>
      <c r="C245" s="151" t="e">
        <f>VLOOKUP(B245,#REF!,2,0)</f>
        <v>#REF!</v>
      </c>
      <c r="D245" s="153" t="e">
        <f>+VLOOKUP(B245,#REF!,6,0)</f>
        <v>#REF!</v>
      </c>
      <c r="E245" s="154">
        <v>9048000</v>
      </c>
      <c r="F245" s="154" t="e">
        <f>+VLOOKUP(B245,#REF!,149,0)</f>
        <v>#REF!</v>
      </c>
      <c r="G245" s="155" t="e">
        <f t="shared" si="11"/>
        <v>#REF!</v>
      </c>
      <c r="H245" s="156" t="e">
        <f t="shared" si="10"/>
        <v>#REF!</v>
      </c>
      <c r="I245" s="153">
        <v>0</v>
      </c>
      <c r="J245" s="157" t="e">
        <f t="shared" si="12"/>
        <v>#REF!</v>
      </c>
      <c r="K245" s="153"/>
      <c r="L245" s="197"/>
    </row>
    <row r="246" spans="1:12" s="158" customFormat="1" ht="17">
      <c r="A246" s="161">
        <v>237</v>
      </c>
      <c r="B246" s="152" t="s">
        <v>88</v>
      </c>
      <c r="C246" s="151" t="e">
        <f>VLOOKUP(B246,#REF!,2,0)</f>
        <v>#REF!</v>
      </c>
      <c r="D246" s="153" t="e">
        <f>+VLOOKUP(B246,#REF!,6,0)</f>
        <v>#REF!</v>
      </c>
      <c r="E246" s="154">
        <v>9241000</v>
      </c>
      <c r="F246" s="154" t="e">
        <f>+VLOOKUP(B246,#REF!,149,0)</f>
        <v>#REF!</v>
      </c>
      <c r="G246" s="155" t="e">
        <f t="shared" si="11"/>
        <v>#REF!</v>
      </c>
      <c r="H246" s="156" t="e">
        <f t="shared" si="10"/>
        <v>#REF!</v>
      </c>
      <c r="I246" s="153">
        <v>0</v>
      </c>
      <c r="J246" s="157" t="e">
        <f t="shared" si="12"/>
        <v>#REF!</v>
      </c>
      <c r="K246" s="153"/>
      <c r="L246" s="197"/>
    </row>
    <row r="247" spans="1:12" s="158" customFormat="1" ht="17">
      <c r="A247" s="161">
        <v>238</v>
      </c>
      <c r="B247" s="152" t="s">
        <v>244</v>
      </c>
      <c r="C247" s="151" t="e">
        <f>VLOOKUP(B247,#REF!,2,0)</f>
        <v>#REF!</v>
      </c>
      <c r="D247" s="153" t="e">
        <f>+VLOOKUP(B247,#REF!,6,0)</f>
        <v>#REF!</v>
      </c>
      <c r="E247" s="154">
        <v>8594000</v>
      </c>
      <c r="F247" s="154" t="e">
        <f>+VLOOKUP(B247,#REF!,149,0)</f>
        <v>#REF!</v>
      </c>
      <c r="G247" s="155" t="e">
        <f t="shared" si="11"/>
        <v>#REF!</v>
      </c>
      <c r="H247" s="156" t="e">
        <f t="shared" si="10"/>
        <v>#REF!</v>
      </c>
      <c r="I247" s="153">
        <v>0</v>
      </c>
      <c r="J247" s="157" t="e">
        <f t="shared" si="12"/>
        <v>#REF!</v>
      </c>
      <c r="K247" s="153"/>
      <c r="L247" s="197"/>
    </row>
    <row r="248" spans="1:12" s="158" customFormat="1" ht="17">
      <c r="A248" s="161">
        <v>239</v>
      </c>
      <c r="B248" s="152" t="s">
        <v>245</v>
      </c>
      <c r="C248" s="151" t="e">
        <f>VLOOKUP(B248,#REF!,2,0)</f>
        <v>#REF!</v>
      </c>
      <c r="D248" s="153" t="e">
        <f>+VLOOKUP(B248,#REF!,6,0)</f>
        <v>#REF!</v>
      </c>
      <c r="E248" s="154">
        <v>8633000</v>
      </c>
      <c r="F248" s="154" t="e">
        <f>+VLOOKUP(B248,#REF!,149,0)</f>
        <v>#REF!</v>
      </c>
      <c r="G248" s="155" t="e">
        <f t="shared" si="11"/>
        <v>#REF!</v>
      </c>
      <c r="H248" s="156" t="e">
        <f t="shared" si="10"/>
        <v>#REF!</v>
      </c>
      <c r="I248" s="153">
        <v>0</v>
      </c>
      <c r="J248" s="157" t="e">
        <f t="shared" si="12"/>
        <v>#REF!</v>
      </c>
      <c r="K248" s="153"/>
      <c r="L248" s="197"/>
    </row>
    <row r="249" spans="1:12" s="158" customFormat="1" ht="17">
      <c r="A249" s="161">
        <v>240</v>
      </c>
      <c r="B249" s="152" t="s">
        <v>247</v>
      </c>
      <c r="C249" s="151" t="e">
        <f>VLOOKUP(B249,#REF!,2,0)</f>
        <v>#REF!</v>
      </c>
      <c r="D249" s="153" t="e">
        <f>+VLOOKUP(B249,#REF!,6,0)</f>
        <v>#REF!</v>
      </c>
      <c r="E249" s="154">
        <v>7022000</v>
      </c>
      <c r="F249" s="154" t="e">
        <f>+VLOOKUP(B249,#REF!,149,0)</f>
        <v>#REF!</v>
      </c>
      <c r="G249" s="155" t="e">
        <f t="shared" si="11"/>
        <v>#REF!</v>
      </c>
      <c r="H249" s="156" t="e">
        <f t="shared" si="10"/>
        <v>#REF!</v>
      </c>
      <c r="I249" s="153">
        <v>0</v>
      </c>
      <c r="J249" s="157" t="e">
        <f t="shared" si="12"/>
        <v>#REF!</v>
      </c>
      <c r="K249" s="153"/>
      <c r="L249" s="197"/>
    </row>
    <row r="250" spans="1:12" s="158" customFormat="1" ht="17">
      <c r="A250" s="161">
        <v>241</v>
      </c>
      <c r="B250" s="159" t="s">
        <v>293</v>
      </c>
      <c r="C250" s="151" t="e">
        <f>VLOOKUP(B250,#REF!,2,0)</f>
        <v>#REF!</v>
      </c>
      <c r="D250" s="153" t="e">
        <f>+VLOOKUP(B250,#REF!,6,0)</f>
        <v>#REF!</v>
      </c>
      <c r="E250" s="154">
        <v>9241000</v>
      </c>
      <c r="F250" s="154" t="e">
        <f>+VLOOKUP(B250,#REF!,149,0)</f>
        <v>#REF!</v>
      </c>
      <c r="G250" s="155" t="e">
        <f t="shared" si="11"/>
        <v>#REF!</v>
      </c>
      <c r="H250" s="156" t="e">
        <f t="shared" si="10"/>
        <v>#REF!</v>
      </c>
      <c r="I250" s="153">
        <v>0</v>
      </c>
      <c r="J250" s="157" t="e">
        <f t="shared" si="12"/>
        <v>#REF!</v>
      </c>
      <c r="K250" s="153"/>
      <c r="L250" s="197"/>
    </row>
    <row r="251" spans="1:12" s="158" customFormat="1" ht="17">
      <c r="A251" s="161">
        <v>242</v>
      </c>
      <c r="B251" s="152" t="s">
        <v>294</v>
      </c>
      <c r="C251" s="151" t="e">
        <f>VLOOKUP(B251,#REF!,2,0)</f>
        <v>#REF!</v>
      </c>
      <c r="D251" s="153" t="e">
        <f>+VLOOKUP(B251,#REF!,6,0)</f>
        <v>#REF!</v>
      </c>
      <c r="E251" s="154">
        <v>9228000</v>
      </c>
      <c r="F251" s="154" t="e">
        <f>+VLOOKUP(B251,#REF!,149,0)</f>
        <v>#REF!</v>
      </c>
      <c r="G251" s="155" t="e">
        <f t="shared" si="11"/>
        <v>#REF!</v>
      </c>
      <c r="H251" s="156" t="e">
        <f t="shared" si="10"/>
        <v>#REF!</v>
      </c>
      <c r="I251" s="153">
        <v>0</v>
      </c>
      <c r="J251" s="157" t="e">
        <f t="shared" si="12"/>
        <v>#REF!</v>
      </c>
      <c r="K251" s="153"/>
      <c r="L251" s="197"/>
    </row>
    <row r="252" spans="1:12" s="158" customFormat="1" ht="17">
      <c r="A252" s="161">
        <v>243</v>
      </c>
      <c r="B252" s="170" t="s">
        <v>394</v>
      </c>
      <c r="C252" s="151" t="e">
        <f>VLOOKUP(B252,#REF!,2,0)</f>
        <v>#REF!</v>
      </c>
      <c r="D252" s="153" t="e">
        <f>+VLOOKUP(B252,#REF!,6,0)</f>
        <v>#REF!</v>
      </c>
      <c r="E252" s="154">
        <v>9241000</v>
      </c>
      <c r="F252" s="154" t="e">
        <f>+VLOOKUP(B252,#REF!,149,0)</f>
        <v>#REF!</v>
      </c>
      <c r="G252" s="155" t="e">
        <f t="shared" si="11"/>
        <v>#REF!</v>
      </c>
      <c r="H252" s="156" t="e">
        <f t="shared" si="10"/>
        <v>#REF!</v>
      </c>
      <c r="I252" s="153">
        <v>0</v>
      </c>
      <c r="J252" s="157" t="e">
        <f t="shared" si="12"/>
        <v>#REF!</v>
      </c>
      <c r="K252" s="153"/>
      <c r="L252" s="197"/>
    </row>
    <row r="253" spans="1:12" s="158" customFormat="1" ht="17">
      <c r="A253" s="161">
        <v>244</v>
      </c>
      <c r="B253" s="159" t="s">
        <v>420</v>
      </c>
      <c r="C253" s="151" t="e">
        <f>VLOOKUP(B253,#REF!,2,0)</f>
        <v>#REF!</v>
      </c>
      <c r="D253" s="153" t="e">
        <f>+VLOOKUP(B253,#REF!,6,0)</f>
        <v>#REF!</v>
      </c>
      <c r="E253" s="154">
        <v>9034000</v>
      </c>
      <c r="F253" s="154" t="e">
        <f>+VLOOKUP(B253,#REF!,149,0)</f>
        <v>#REF!</v>
      </c>
      <c r="G253" s="155" t="e">
        <f t="shared" si="11"/>
        <v>#REF!</v>
      </c>
      <c r="H253" s="156" t="e">
        <f t="shared" si="10"/>
        <v>#REF!</v>
      </c>
      <c r="I253" s="153">
        <v>0</v>
      </c>
      <c r="J253" s="157" t="e">
        <f t="shared" si="12"/>
        <v>#REF!</v>
      </c>
      <c r="K253" s="153"/>
      <c r="L253" s="197"/>
    </row>
    <row r="254" spans="1:12" s="158" customFormat="1" ht="17">
      <c r="A254" s="161">
        <v>245</v>
      </c>
      <c r="B254" s="159" t="s">
        <v>456</v>
      </c>
      <c r="C254" s="151" t="e">
        <f>VLOOKUP(B254,#REF!,2,0)</f>
        <v>#REF!</v>
      </c>
      <c r="D254" s="153" t="e">
        <f>+VLOOKUP(B254,#REF!,6,0)</f>
        <v>#REF!</v>
      </c>
      <c r="E254" s="154">
        <v>9434000</v>
      </c>
      <c r="F254" s="154" t="e">
        <f>+VLOOKUP(B254,#REF!,149,0)</f>
        <v>#REF!</v>
      </c>
      <c r="G254" s="155" t="e">
        <f t="shared" si="11"/>
        <v>#REF!</v>
      </c>
      <c r="H254" s="156" t="e">
        <f t="shared" si="10"/>
        <v>#REF!</v>
      </c>
      <c r="I254" s="153">
        <v>0</v>
      </c>
      <c r="J254" s="157" t="e">
        <f t="shared" si="12"/>
        <v>#REF!</v>
      </c>
      <c r="K254" s="153"/>
      <c r="L254" s="197"/>
    </row>
    <row r="255" spans="1:12" s="158" customFormat="1" ht="17">
      <c r="A255" s="161">
        <v>246</v>
      </c>
      <c r="B255" s="152" t="s">
        <v>196</v>
      </c>
      <c r="C255" s="151" t="e">
        <f>VLOOKUP(B255,#REF!,2,0)</f>
        <v>#REF!</v>
      </c>
      <c r="D255" s="153" t="e">
        <f>+VLOOKUP(B255,#REF!,6,0)</f>
        <v>#REF!</v>
      </c>
      <c r="E255" s="154">
        <v>9641000</v>
      </c>
      <c r="F255" s="154" t="e">
        <f>+VLOOKUP(B255,#REF!,149,0)</f>
        <v>#REF!</v>
      </c>
      <c r="G255" s="155" t="e">
        <f t="shared" si="11"/>
        <v>#REF!</v>
      </c>
      <c r="H255" s="156" t="e">
        <f t="shared" si="10"/>
        <v>#REF!</v>
      </c>
      <c r="I255" s="153">
        <v>0</v>
      </c>
      <c r="J255" s="157" t="e">
        <f t="shared" si="12"/>
        <v>#REF!</v>
      </c>
      <c r="K255" s="153"/>
      <c r="L255" s="197"/>
    </row>
    <row r="256" spans="1:12" s="158" customFormat="1" ht="17">
      <c r="A256" s="161">
        <v>247</v>
      </c>
      <c r="B256" s="152" t="s">
        <v>292</v>
      </c>
      <c r="C256" s="151" t="e">
        <f>VLOOKUP(B256,#REF!,2,0)</f>
        <v>#REF!</v>
      </c>
      <c r="D256" s="153" t="e">
        <f>+VLOOKUP(B256,#REF!,6,0)</f>
        <v>#REF!</v>
      </c>
      <c r="E256" s="154">
        <v>8841000</v>
      </c>
      <c r="F256" s="154" t="e">
        <f>+VLOOKUP(B256,#REF!,149,0)</f>
        <v>#REF!</v>
      </c>
      <c r="G256" s="155" t="e">
        <f t="shared" si="11"/>
        <v>#REF!</v>
      </c>
      <c r="H256" s="156" t="e">
        <f t="shared" si="10"/>
        <v>#REF!</v>
      </c>
      <c r="I256" s="153">
        <v>0</v>
      </c>
      <c r="J256" s="157" t="e">
        <f t="shared" si="12"/>
        <v>#REF!</v>
      </c>
      <c r="K256" s="153"/>
      <c r="L256" s="197"/>
    </row>
    <row r="257" spans="1:12" s="158" customFormat="1" ht="17">
      <c r="A257" s="161">
        <v>248</v>
      </c>
      <c r="B257" s="152" t="s">
        <v>87</v>
      </c>
      <c r="C257" s="151" t="e">
        <f>VLOOKUP(B257,#REF!,2,0)</f>
        <v>#REF!</v>
      </c>
      <c r="D257" s="153" t="e">
        <f>+VLOOKUP(B257,#REF!,6,0)</f>
        <v>#REF!</v>
      </c>
      <c r="E257" s="154">
        <v>9241000</v>
      </c>
      <c r="F257" s="154" t="e">
        <f>+VLOOKUP(B257,#REF!,149,0)</f>
        <v>#REF!</v>
      </c>
      <c r="G257" s="155" t="e">
        <f t="shared" si="11"/>
        <v>#REF!</v>
      </c>
      <c r="H257" s="156" t="e">
        <f t="shared" si="10"/>
        <v>#REF!</v>
      </c>
      <c r="I257" s="153">
        <v>0</v>
      </c>
      <c r="J257" s="157" t="e">
        <f t="shared" si="12"/>
        <v>#REF!</v>
      </c>
      <c r="K257" s="153"/>
      <c r="L257" s="197"/>
    </row>
    <row r="258" spans="1:12" s="158" customFormat="1" ht="17">
      <c r="A258" s="161">
        <v>249</v>
      </c>
      <c r="B258" s="152" t="s">
        <v>89</v>
      </c>
      <c r="C258" s="151" t="e">
        <f>VLOOKUP(B258,#REF!,2,0)</f>
        <v>#REF!</v>
      </c>
      <c r="D258" s="153" t="e">
        <f>+VLOOKUP(B258,#REF!,6,0)</f>
        <v>#REF!</v>
      </c>
      <c r="E258" s="154">
        <v>9641000</v>
      </c>
      <c r="F258" s="154" t="e">
        <f>+VLOOKUP(B258,#REF!,149,0)</f>
        <v>#REF!</v>
      </c>
      <c r="G258" s="155" t="e">
        <f t="shared" si="11"/>
        <v>#REF!</v>
      </c>
      <c r="H258" s="156" t="e">
        <f t="shared" si="10"/>
        <v>#REF!</v>
      </c>
      <c r="I258" s="153">
        <v>0</v>
      </c>
      <c r="J258" s="157" t="e">
        <f t="shared" si="12"/>
        <v>#REF!</v>
      </c>
      <c r="K258" s="153"/>
      <c r="L258" s="197"/>
    </row>
    <row r="259" spans="1:12" s="158" customFormat="1" ht="17">
      <c r="A259" s="161">
        <v>250</v>
      </c>
      <c r="B259" s="152" t="s">
        <v>267</v>
      </c>
      <c r="C259" s="151" t="e">
        <f>VLOOKUP(B259,#REF!,2,0)</f>
        <v>#REF!</v>
      </c>
      <c r="D259" s="153" t="e">
        <f>+VLOOKUP(B259,#REF!,6,0)</f>
        <v>#REF!</v>
      </c>
      <c r="E259" s="154">
        <v>7322000</v>
      </c>
      <c r="F259" s="154" t="e">
        <f>+VLOOKUP(B259,#REF!,149,0)</f>
        <v>#REF!</v>
      </c>
      <c r="G259" s="155" t="e">
        <f t="shared" si="11"/>
        <v>#REF!</v>
      </c>
      <c r="H259" s="156" t="e">
        <f t="shared" ref="H259:H322" si="13">+ROUND(G259*50,0)</f>
        <v>#REF!</v>
      </c>
      <c r="I259" s="153">
        <v>0</v>
      </c>
      <c r="J259" s="157" t="e">
        <f t="shared" si="12"/>
        <v>#REF!</v>
      </c>
      <c r="K259" s="153"/>
      <c r="L259" s="197"/>
    </row>
    <row r="260" spans="1:12" s="158" customFormat="1" ht="17">
      <c r="A260" s="161">
        <v>251</v>
      </c>
      <c r="B260" s="152" t="s">
        <v>296</v>
      </c>
      <c r="C260" s="151" t="e">
        <f>VLOOKUP(B260,#REF!,2,0)</f>
        <v>#REF!</v>
      </c>
      <c r="D260" s="153" t="e">
        <f>+VLOOKUP(B260,#REF!,6,0)</f>
        <v>#REF!</v>
      </c>
      <c r="E260" s="154">
        <v>9241000</v>
      </c>
      <c r="F260" s="154" t="e">
        <f>+VLOOKUP(B260,#REF!,149,0)</f>
        <v>#REF!</v>
      </c>
      <c r="G260" s="155" t="e">
        <f t="shared" ref="G260:G323" si="14">+F260/E260</f>
        <v>#REF!</v>
      </c>
      <c r="H260" s="156" t="e">
        <f t="shared" si="13"/>
        <v>#REF!</v>
      </c>
      <c r="I260" s="153">
        <v>0</v>
      </c>
      <c r="J260" s="157" t="e">
        <f t="shared" si="12"/>
        <v>#REF!</v>
      </c>
      <c r="K260" s="153"/>
      <c r="L260" s="197"/>
    </row>
    <row r="261" spans="1:12" s="158" customFormat="1" ht="17">
      <c r="A261" s="161">
        <v>252</v>
      </c>
      <c r="B261" s="170" t="s">
        <v>396</v>
      </c>
      <c r="C261" s="151" t="e">
        <f>VLOOKUP(B261,#REF!,2,0)</f>
        <v>#REF!</v>
      </c>
      <c r="D261" s="153" t="e">
        <f>+VLOOKUP(B261,#REF!,6,0)</f>
        <v>#REF!</v>
      </c>
      <c r="E261" s="154">
        <v>8841000</v>
      </c>
      <c r="F261" s="154" t="e">
        <f>+VLOOKUP(B261,#REF!,149,0)</f>
        <v>#REF!</v>
      </c>
      <c r="G261" s="155" t="e">
        <f t="shared" si="14"/>
        <v>#REF!</v>
      </c>
      <c r="H261" s="156" t="e">
        <f t="shared" si="13"/>
        <v>#REF!</v>
      </c>
      <c r="I261" s="153">
        <v>0</v>
      </c>
      <c r="J261" s="157" t="e">
        <f t="shared" si="12"/>
        <v>#REF!</v>
      </c>
      <c r="K261" s="153"/>
      <c r="L261" s="197"/>
    </row>
    <row r="262" spans="1:12" s="158" customFormat="1" ht="17">
      <c r="A262" s="161">
        <v>253</v>
      </c>
      <c r="B262" s="170" t="s">
        <v>397</v>
      </c>
      <c r="C262" s="151" t="e">
        <f>VLOOKUP(B262,#REF!,2,0)</f>
        <v>#REF!</v>
      </c>
      <c r="D262" s="153" t="e">
        <f>+VLOOKUP(B262,#REF!,6,0)</f>
        <v>#REF!</v>
      </c>
      <c r="E262" s="154">
        <v>8780000</v>
      </c>
      <c r="F262" s="154" t="e">
        <f>+VLOOKUP(B262,#REF!,149,0)</f>
        <v>#REF!</v>
      </c>
      <c r="G262" s="155" t="e">
        <f t="shared" si="14"/>
        <v>#REF!</v>
      </c>
      <c r="H262" s="156" t="e">
        <f t="shared" si="13"/>
        <v>#REF!</v>
      </c>
      <c r="I262" s="153">
        <v>0</v>
      </c>
      <c r="J262" s="157" t="e">
        <f t="shared" si="12"/>
        <v>#REF!</v>
      </c>
      <c r="K262" s="153"/>
      <c r="L262" s="197"/>
    </row>
    <row r="263" spans="1:12" s="166" customFormat="1" ht="17">
      <c r="A263" s="162">
        <v>254</v>
      </c>
      <c r="B263" s="224" t="s">
        <v>225</v>
      </c>
      <c r="C263" s="225" t="e">
        <f>VLOOKUP(B263,#REF!,2,0)</f>
        <v>#REF!</v>
      </c>
      <c r="D263" s="164" t="e">
        <f>+VLOOKUP(B263,#REF!,6,0)</f>
        <v>#REF!</v>
      </c>
      <c r="E263" s="226">
        <v>2641000</v>
      </c>
      <c r="F263" s="226" t="e">
        <f>+VLOOKUP(B263,#REF!,149,0)</f>
        <v>#REF!</v>
      </c>
      <c r="G263" s="227" t="e">
        <f t="shared" si="14"/>
        <v>#REF!</v>
      </c>
      <c r="H263" s="165" t="e">
        <f t="shared" si="13"/>
        <v>#REF!</v>
      </c>
      <c r="I263" s="164">
        <v>0</v>
      </c>
      <c r="J263" s="228" t="e">
        <f t="shared" si="12"/>
        <v>#REF!</v>
      </c>
      <c r="K263" s="164"/>
      <c r="L263" s="198"/>
    </row>
    <row r="264" spans="1:12" s="166" customFormat="1" ht="17">
      <c r="A264" s="162">
        <v>255</v>
      </c>
      <c r="B264" s="224" t="s">
        <v>269</v>
      </c>
      <c r="C264" s="225" t="e">
        <f>VLOOKUP(B264,#REF!,2,0)</f>
        <v>#REF!</v>
      </c>
      <c r="D264" s="164" t="e">
        <f>+VLOOKUP(B264,#REF!,6,0)</f>
        <v>#REF!</v>
      </c>
      <c r="E264" s="226">
        <v>2699000</v>
      </c>
      <c r="F264" s="226" t="e">
        <f>+VLOOKUP(B264,#REF!,149,0)</f>
        <v>#REF!</v>
      </c>
      <c r="G264" s="227" t="e">
        <f t="shared" si="14"/>
        <v>#REF!</v>
      </c>
      <c r="H264" s="165" t="e">
        <f t="shared" si="13"/>
        <v>#REF!</v>
      </c>
      <c r="I264" s="164">
        <v>0</v>
      </c>
      <c r="J264" s="228" t="e">
        <f t="shared" si="12"/>
        <v>#REF!</v>
      </c>
      <c r="K264" s="164"/>
      <c r="L264" s="198"/>
    </row>
    <row r="265" spans="1:12" s="158" customFormat="1" ht="17">
      <c r="A265" s="161">
        <v>256</v>
      </c>
      <c r="B265" s="159" t="s">
        <v>272</v>
      </c>
      <c r="C265" s="151" t="e">
        <f>VLOOKUP(B265,#REF!,2,0)</f>
        <v>#REF!</v>
      </c>
      <c r="D265" s="153" t="e">
        <f>+VLOOKUP(B265,#REF!,6,0)</f>
        <v>#REF!</v>
      </c>
      <c r="E265" s="154">
        <v>9370000</v>
      </c>
      <c r="F265" s="154" t="e">
        <f>+VLOOKUP(B265,#REF!,149,0)</f>
        <v>#REF!</v>
      </c>
      <c r="G265" s="155" t="e">
        <f t="shared" si="14"/>
        <v>#REF!</v>
      </c>
      <c r="H265" s="156" t="e">
        <f t="shared" si="13"/>
        <v>#REF!</v>
      </c>
      <c r="I265" s="153">
        <v>0</v>
      </c>
      <c r="J265" s="157" t="e">
        <f t="shared" si="12"/>
        <v>#REF!</v>
      </c>
      <c r="K265" s="153"/>
      <c r="L265" s="197"/>
    </row>
    <row r="266" spans="1:12" s="158" customFormat="1" ht="17">
      <c r="A266" s="161">
        <v>257</v>
      </c>
      <c r="B266" s="159" t="s">
        <v>105</v>
      </c>
      <c r="C266" s="151" t="e">
        <f>VLOOKUP(B266,#REF!,2,0)</f>
        <v>#REF!</v>
      </c>
      <c r="D266" s="153" t="e">
        <f>+VLOOKUP(B266,#REF!,6,0)</f>
        <v>#REF!</v>
      </c>
      <c r="E266" s="154">
        <v>9521000</v>
      </c>
      <c r="F266" s="154" t="e">
        <f>+VLOOKUP(B266,#REF!,149,0)</f>
        <v>#REF!</v>
      </c>
      <c r="G266" s="155" t="e">
        <f t="shared" si="14"/>
        <v>#REF!</v>
      </c>
      <c r="H266" s="156" t="e">
        <f t="shared" si="13"/>
        <v>#REF!</v>
      </c>
      <c r="I266" s="153">
        <v>0</v>
      </c>
      <c r="J266" s="157" t="e">
        <f t="shared" si="12"/>
        <v>#REF!</v>
      </c>
      <c r="K266" s="153"/>
      <c r="L266" s="197"/>
    </row>
    <row r="267" spans="1:12" s="158" customFormat="1" ht="17">
      <c r="A267" s="161">
        <v>258</v>
      </c>
      <c r="B267" s="152" t="s">
        <v>106</v>
      </c>
      <c r="C267" s="151" t="e">
        <f>VLOOKUP(B267,#REF!,2,0)</f>
        <v>#REF!</v>
      </c>
      <c r="D267" s="153" t="e">
        <f>+VLOOKUP(B267,#REF!,6,0)</f>
        <v>#REF!</v>
      </c>
      <c r="E267" s="154">
        <v>7336000</v>
      </c>
      <c r="F267" s="154" t="e">
        <f>+VLOOKUP(B267,#REF!,149,0)</f>
        <v>#REF!</v>
      </c>
      <c r="G267" s="155" t="e">
        <f t="shared" si="14"/>
        <v>#REF!</v>
      </c>
      <c r="H267" s="156" t="e">
        <f t="shared" si="13"/>
        <v>#REF!</v>
      </c>
      <c r="I267" s="153">
        <v>0</v>
      </c>
      <c r="J267" s="157" t="e">
        <f t="shared" si="12"/>
        <v>#REF!</v>
      </c>
      <c r="K267" s="153"/>
      <c r="L267" s="197"/>
    </row>
    <row r="268" spans="1:12" s="158" customFormat="1" ht="17">
      <c r="A268" s="161">
        <v>259</v>
      </c>
      <c r="B268" s="152" t="s">
        <v>302</v>
      </c>
      <c r="C268" s="151" t="e">
        <f>VLOOKUP(B268,#REF!,2,0)</f>
        <v>#REF!</v>
      </c>
      <c r="D268" s="153" t="e">
        <f>+VLOOKUP(B268,#REF!,6,0)</f>
        <v>#REF!</v>
      </c>
      <c r="E268" s="154">
        <v>9203000</v>
      </c>
      <c r="F268" s="154" t="e">
        <f>+VLOOKUP(B268,#REF!,149,0)</f>
        <v>#REF!</v>
      </c>
      <c r="G268" s="155" t="e">
        <f t="shared" si="14"/>
        <v>#REF!</v>
      </c>
      <c r="H268" s="156" t="e">
        <f t="shared" si="13"/>
        <v>#REF!</v>
      </c>
      <c r="I268" s="153">
        <v>0</v>
      </c>
      <c r="J268" s="157" t="e">
        <f t="shared" si="12"/>
        <v>#REF!</v>
      </c>
      <c r="K268" s="153"/>
      <c r="L268" s="197"/>
    </row>
    <row r="269" spans="1:12" s="158" customFormat="1" ht="17">
      <c r="A269" s="161">
        <v>260</v>
      </c>
      <c r="B269" s="152" t="s">
        <v>303</v>
      </c>
      <c r="C269" s="151" t="e">
        <f>VLOOKUP(B269,#REF!,2,0)</f>
        <v>#REF!</v>
      </c>
      <c r="D269" s="153" t="e">
        <f>+VLOOKUP(B269,#REF!,6,0)</f>
        <v>#REF!</v>
      </c>
      <c r="E269" s="154">
        <v>9521000</v>
      </c>
      <c r="F269" s="154" t="e">
        <f>+VLOOKUP(B269,#REF!,149,0)</f>
        <v>#REF!</v>
      </c>
      <c r="G269" s="155" t="e">
        <f t="shared" si="14"/>
        <v>#REF!</v>
      </c>
      <c r="H269" s="156" t="e">
        <f t="shared" si="13"/>
        <v>#REF!</v>
      </c>
      <c r="I269" s="153">
        <v>0</v>
      </c>
      <c r="J269" s="157" t="e">
        <f t="shared" ref="J269:J332" si="15">+F269-E269+I269</f>
        <v>#REF!</v>
      </c>
      <c r="K269" s="153"/>
      <c r="L269" s="197"/>
    </row>
    <row r="270" spans="1:12" s="158" customFormat="1" ht="17">
      <c r="A270" s="161">
        <v>261</v>
      </c>
      <c r="B270" s="152" t="s">
        <v>304</v>
      </c>
      <c r="C270" s="151" t="e">
        <f>VLOOKUP(B270,#REF!,2,0)</f>
        <v>#REF!</v>
      </c>
      <c r="D270" s="153" t="e">
        <f>+VLOOKUP(B270,#REF!,6,0)</f>
        <v>#REF!</v>
      </c>
      <c r="E270" s="154">
        <v>5241000</v>
      </c>
      <c r="F270" s="154" t="e">
        <f>+VLOOKUP(B270,#REF!,149,0)</f>
        <v>#REF!</v>
      </c>
      <c r="G270" s="155" t="e">
        <f t="shared" si="14"/>
        <v>#REF!</v>
      </c>
      <c r="H270" s="156" t="e">
        <f t="shared" si="13"/>
        <v>#REF!</v>
      </c>
      <c r="I270" s="153">
        <v>0</v>
      </c>
      <c r="J270" s="157" t="e">
        <f t="shared" si="15"/>
        <v>#REF!</v>
      </c>
      <c r="K270" s="153"/>
      <c r="L270" s="197"/>
    </row>
    <row r="271" spans="1:12" s="158" customFormat="1" ht="17">
      <c r="A271" s="161">
        <v>262</v>
      </c>
      <c r="B271" s="152" t="s">
        <v>305</v>
      </c>
      <c r="C271" s="151" t="e">
        <f>VLOOKUP(B271,#REF!,2,0)</f>
        <v>#REF!</v>
      </c>
      <c r="D271" s="153" t="e">
        <f>+VLOOKUP(B271,#REF!,6,0)</f>
        <v>#REF!</v>
      </c>
      <c r="E271" s="154">
        <v>7357000</v>
      </c>
      <c r="F271" s="154" t="e">
        <f>+VLOOKUP(B271,#REF!,149,0)</f>
        <v>#REF!</v>
      </c>
      <c r="G271" s="155" t="e">
        <f t="shared" si="14"/>
        <v>#REF!</v>
      </c>
      <c r="H271" s="156" t="e">
        <f t="shared" si="13"/>
        <v>#REF!</v>
      </c>
      <c r="I271" s="153">
        <v>0</v>
      </c>
      <c r="J271" s="157" t="e">
        <f t="shared" si="15"/>
        <v>#REF!</v>
      </c>
      <c r="K271" s="153"/>
      <c r="L271" s="197"/>
    </row>
    <row r="272" spans="1:12" s="158" customFormat="1" ht="17">
      <c r="A272" s="161">
        <v>263</v>
      </c>
      <c r="B272" s="152" t="s">
        <v>332</v>
      </c>
      <c r="C272" s="151" t="e">
        <f>VLOOKUP(B272,#REF!,2,0)</f>
        <v>#REF!</v>
      </c>
      <c r="D272" s="153" t="e">
        <f>+VLOOKUP(B272,#REF!,6,0)</f>
        <v>#REF!</v>
      </c>
      <c r="E272" s="154">
        <v>9986000</v>
      </c>
      <c r="F272" s="154" t="e">
        <f>+VLOOKUP(B272,#REF!,149,0)</f>
        <v>#REF!</v>
      </c>
      <c r="G272" s="155" t="e">
        <f t="shared" si="14"/>
        <v>#REF!</v>
      </c>
      <c r="H272" s="156" t="e">
        <f t="shared" si="13"/>
        <v>#REF!</v>
      </c>
      <c r="I272" s="153">
        <v>0</v>
      </c>
      <c r="J272" s="157" t="e">
        <f t="shared" si="15"/>
        <v>#REF!</v>
      </c>
      <c r="K272" s="153"/>
      <c r="L272" s="197"/>
    </row>
    <row r="273" spans="1:12" s="158" customFormat="1" ht="17">
      <c r="A273" s="161">
        <v>264</v>
      </c>
      <c r="B273" s="159" t="s">
        <v>427</v>
      </c>
      <c r="C273" s="151" t="e">
        <f>VLOOKUP(B273,#REF!,2,0)</f>
        <v>#REF!</v>
      </c>
      <c r="D273" s="153" t="e">
        <f>+VLOOKUP(B273,#REF!,6,0)</f>
        <v>#REF!</v>
      </c>
      <c r="E273" s="154">
        <v>9997000</v>
      </c>
      <c r="F273" s="154" t="e">
        <f>+VLOOKUP(B273,#REF!,149,0)</f>
        <v>#REF!</v>
      </c>
      <c r="G273" s="155" t="e">
        <f t="shared" si="14"/>
        <v>#REF!</v>
      </c>
      <c r="H273" s="156" t="e">
        <f t="shared" si="13"/>
        <v>#REF!</v>
      </c>
      <c r="I273" s="153">
        <v>0</v>
      </c>
      <c r="J273" s="157" t="e">
        <f t="shared" si="15"/>
        <v>#REF!</v>
      </c>
      <c r="K273" s="153"/>
      <c r="L273" s="197"/>
    </row>
    <row r="274" spans="1:12" s="158" customFormat="1" ht="17">
      <c r="A274" s="161">
        <v>265</v>
      </c>
      <c r="B274" s="159" t="s">
        <v>428</v>
      </c>
      <c r="C274" s="151" t="e">
        <f>VLOOKUP(B274,#REF!,2,0)</f>
        <v>#REF!</v>
      </c>
      <c r="D274" s="153" t="e">
        <f>+VLOOKUP(B274,#REF!,6,0)</f>
        <v>#REF!</v>
      </c>
      <c r="E274" s="154">
        <v>8758000</v>
      </c>
      <c r="F274" s="154" t="e">
        <f>+VLOOKUP(B274,#REF!,149,0)</f>
        <v>#REF!</v>
      </c>
      <c r="G274" s="155" t="e">
        <f t="shared" si="14"/>
        <v>#REF!</v>
      </c>
      <c r="H274" s="156" t="e">
        <f t="shared" si="13"/>
        <v>#REF!</v>
      </c>
      <c r="I274" s="153">
        <v>0</v>
      </c>
      <c r="J274" s="157" t="e">
        <f t="shared" si="15"/>
        <v>#REF!</v>
      </c>
      <c r="K274" s="153"/>
      <c r="L274" s="197"/>
    </row>
    <row r="275" spans="1:12" s="158" customFormat="1" ht="17">
      <c r="A275" s="161">
        <v>266</v>
      </c>
      <c r="B275" s="152" t="s">
        <v>113</v>
      </c>
      <c r="C275" s="151" t="e">
        <f>VLOOKUP(B275,#REF!,2,0)</f>
        <v>#REF!</v>
      </c>
      <c r="D275" s="153" t="e">
        <f>+VLOOKUP(B275,#REF!,6,0)</f>
        <v>#REF!</v>
      </c>
      <c r="E275" s="154">
        <v>9605000</v>
      </c>
      <c r="F275" s="154" t="e">
        <f>+VLOOKUP(B275,#REF!,149,0)</f>
        <v>#REF!</v>
      </c>
      <c r="G275" s="155" t="e">
        <f t="shared" si="14"/>
        <v>#REF!</v>
      </c>
      <c r="H275" s="156" t="e">
        <f t="shared" si="13"/>
        <v>#REF!</v>
      </c>
      <c r="I275" s="153">
        <v>0</v>
      </c>
      <c r="J275" s="157" t="e">
        <f t="shared" si="15"/>
        <v>#REF!</v>
      </c>
      <c r="K275" s="153"/>
      <c r="L275" s="197"/>
    </row>
    <row r="276" spans="1:12" s="158" customFormat="1" ht="17">
      <c r="A276" s="161">
        <v>267</v>
      </c>
      <c r="B276" s="152" t="s">
        <v>115</v>
      </c>
      <c r="C276" s="151" t="e">
        <f>VLOOKUP(B276,#REF!,2,0)</f>
        <v>#REF!</v>
      </c>
      <c r="D276" s="153" t="e">
        <f>+VLOOKUP(B276,#REF!,6,0)</f>
        <v>#REF!</v>
      </c>
      <c r="E276" s="154">
        <v>9342000</v>
      </c>
      <c r="F276" s="154" t="e">
        <f>+VLOOKUP(B276,#REF!,149,0)</f>
        <v>#REF!</v>
      </c>
      <c r="G276" s="155" t="e">
        <f t="shared" si="14"/>
        <v>#REF!</v>
      </c>
      <c r="H276" s="156" t="e">
        <f t="shared" si="13"/>
        <v>#REF!</v>
      </c>
      <c r="I276" s="153">
        <v>0</v>
      </c>
      <c r="J276" s="157" t="e">
        <f t="shared" si="15"/>
        <v>#REF!</v>
      </c>
      <c r="K276" s="153"/>
      <c r="L276" s="197"/>
    </row>
    <row r="277" spans="1:12" s="158" customFormat="1" ht="17">
      <c r="A277" s="161">
        <v>268</v>
      </c>
      <c r="B277" s="152" t="s">
        <v>120</v>
      </c>
      <c r="C277" s="151" t="e">
        <f>VLOOKUP(B277,#REF!,2,0)</f>
        <v>#REF!</v>
      </c>
      <c r="D277" s="153" t="e">
        <f>+VLOOKUP(B277,#REF!,6,0)</f>
        <v>#REF!</v>
      </c>
      <c r="E277" s="154">
        <v>8151000</v>
      </c>
      <c r="F277" s="154" t="e">
        <f>+VLOOKUP(B277,#REF!,149,0)</f>
        <v>#REF!</v>
      </c>
      <c r="G277" s="155" t="e">
        <f t="shared" si="14"/>
        <v>#REF!</v>
      </c>
      <c r="H277" s="156" t="e">
        <f t="shared" si="13"/>
        <v>#REF!</v>
      </c>
      <c r="I277" s="153">
        <v>0</v>
      </c>
      <c r="J277" s="157" t="e">
        <f t="shared" si="15"/>
        <v>#REF!</v>
      </c>
      <c r="K277" s="153"/>
      <c r="L277" s="197"/>
    </row>
    <row r="278" spans="1:12" s="158" customFormat="1" ht="17">
      <c r="A278" s="161">
        <v>269</v>
      </c>
      <c r="B278" s="152" t="s">
        <v>123</v>
      </c>
      <c r="C278" s="151" t="e">
        <f>VLOOKUP(B278,#REF!,2,0)</f>
        <v>#REF!</v>
      </c>
      <c r="D278" s="153" t="e">
        <f>+VLOOKUP(B278,#REF!,6,0)</f>
        <v>#REF!</v>
      </c>
      <c r="E278" s="154">
        <v>8843000</v>
      </c>
      <c r="F278" s="154" t="e">
        <f>+VLOOKUP(B278,#REF!,149,0)</f>
        <v>#REF!</v>
      </c>
      <c r="G278" s="155" t="e">
        <f t="shared" si="14"/>
        <v>#REF!</v>
      </c>
      <c r="H278" s="156" t="e">
        <f t="shared" si="13"/>
        <v>#REF!</v>
      </c>
      <c r="I278" s="153">
        <v>0</v>
      </c>
      <c r="J278" s="157" t="e">
        <f t="shared" si="15"/>
        <v>#REF!</v>
      </c>
      <c r="K278" s="153"/>
      <c r="L278" s="197"/>
    </row>
    <row r="279" spans="1:12" s="158" customFormat="1" ht="17">
      <c r="A279" s="161">
        <v>270</v>
      </c>
      <c r="B279" s="152" t="s">
        <v>201</v>
      </c>
      <c r="C279" s="151" t="e">
        <f>VLOOKUP(B279,#REF!,2,0)</f>
        <v>#REF!</v>
      </c>
      <c r="D279" s="153" t="e">
        <f>+VLOOKUP(B279,#REF!,6,0)</f>
        <v>#REF!</v>
      </c>
      <c r="E279" s="154">
        <v>9214000</v>
      </c>
      <c r="F279" s="154" t="e">
        <f>+VLOOKUP(B279,#REF!,149,0)</f>
        <v>#REF!</v>
      </c>
      <c r="G279" s="155" t="e">
        <f t="shared" si="14"/>
        <v>#REF!</v>
      </c>
      <c r="H279" s="156" t="e">
        <f t="shared" si="13"/>
        <v>#REF!</v>
      </c>
      <c r="I279" s="153">
        <v>0</v>
      </c>
      <c r="J279" s="157" t="e">
        <f t="shared" si="15"/>
        <v>#REF!</v>
      </c>
      <c r="K279" s="153"/>
      <c r="L279" s="197"/>
    </row>
    <row r="280" spans="1:12" s="158" customFormat="1" ht="17">
      <c r="A280" s="161">
        <v>271</v>
      </c>
      <c r="B280" s="152" t="s">
        <v>202</v>
      </c>
      <c r="C280" s="151" t="e">
        <f>VLOOKUP(B280,#REF!,2,0)</f>
        <v>#REF!</v>
      </c>
      <c r="D280" s="153" t="e">
        <f>+VLOOKUP(B280,#REF!,6,0)</f>
        <v>#REF!</v>
      </c>
      <c r="E280" s="154">
        <v>8441000</v>
      </c>
      <c r="F280" s="154" t="e">
        <f>+VLOOKUP(B280,#REF!,149,0)</f>
        <v>#REF!</v>
      </c>
      <c r="G280" s="155" t="e">
        <f t="shared" si="14"/>
        <v>#REF!</v>
      </c>
      <c r="H280" s="156" t="e">
        <f t="shared" si="13"/>
        <v>#REF!</v>
      </c>
      <c r="I280" s="153">
        <v>0</v>
      </c>
      <c r="J280" s="157" t="e">
        <f t="shared" si="15"/>
        <v>#REF!</v>
      </c>
      <c r="K280" s="153"/>
      <c r="L280" s="197"/>
    </row>
    <row r="281" spans="1:12" s="158" customFormat="1" ht="17">
      <c r="A281" s="161">
        <v>272</v>
      </c>
      <c r="B281" s="152" t="s">
        <v>298</v>
      </c>
      <c r="C281" s="151" t="e">
        <f>VLOOKUP(B281,#REF!,2,0)</f>
        <v>#REF!</v>
      </c>
      <c r="D281" s="153" t="e">
        <f>+VLOOKUP(B281,#REF!,6,0)</f>
        <v>#REF!</v>
      </c>
      <c r="E281" s="154">
        <v>8035000</v>
      </c>
      <c r="F281" s="154" t="e">
        <f>+VLOOKUP(B281,#REF!,149,0)</f>
        <v>#REF!</v>
      </c>
      <c r="G281" s="155" t="e">
        <f t="shared" si="14"/>
        <v>#REF!</v>
      </c>
      <c r="H281" s="156" t="e">
        <f t="shared" si="13"/>
        <v>#REF!</v>
      </c>
      <c r="I281" s="153">
        <v>0</v>
      </c>
      <c r="J281" s="157" t="e">
        <f t="shared" si="15"/>
        <v>#REF!</v>
      </c>
      <c r="K281" s="153"/>
      <c r="L281" s="197"/>
    </row>
    <row r="282" spans="1:12" s="158" customFormat="1" ht="17">
      <c r="A282" s="161">
        <v>273</v>
      </c>
      <c r="B282" s="152" t="s">
        <v>317</v>
      </c>
      <c r="C282" s="151" t="e">
        <f>VLOOKUP(B282,#REF!,2,0)</f>
        <v>#REF!</v>
      </c>
      <c r="D282" s="153" t="e">
        <f>+VLOOKUP(B282,#REF!,6,0)</f>
        <v>#REF!</v>
      </c>
      <c r="E282" s="154">
        <v>9214000</v>
      </c>
      <c r="F282" s="154" t="e">
        <f>+VLOOKUP(B282,#REF!,149,0)</f>
        <v>#REF!</v>
      </c>
      <c r="G282" s="155" t="e">
        <f t="shared" si="14"/>
        <v>#REF!</v>
      </c>
      <c r="H282" s="156" t="e">
        <f t="shared" si="13"/>
        <v>#REF!</v>
      </c>
      <c r="I282" s="153">
        <v>0</v>
      </c>
      <c r="J282" s="157" t="e">
        <f t="shared" si="15"/>
        <v>#REF!</v>
      </c>
      <c r="K282" s="153"/>
      <c r="L282" s="197"/>
    </row>
    <row r="283" spans="1:12" s="158" customFormat="1" ht="17">
      <c r="A283" s="161">
        <v>274</v>
      </c>
      <c r="B283" s="170" t="s">
        <v>400</v>
      </c>
      <c r="C283" s="151" t="e">
        <f>VLOOKUP(B283,#REF!,2,0)</f>
        <v>#REF!</v>
      </c>
      <c r="D283" s="153" t="e">
        <f>+VLOOKUP(B283,#REF!,6,0)</f>
        <v>#REF!</v>
      </c>
      <c r="E283" s="154">
        <v>6574000</v>
      </c>
      <c r="F283" s="154" t="e">
        <f>+VLOOKUP(B283,#REF!,149,0)</f>
        <v>#REF!</v>
      </c>
      <c r="G283" s="155" t="e">
        <f t="shared" si="14"/>
        <v>#REF!</v>
      </c>
      <c r="H283" s="156" t="e">
        <f t="shared" si="13"/>
        <v>#REF!</v>
      </c>
      <c r="I283" s="153">
        <v>0</v>
      </c>
      <c r="J283" s="157" t="e">
        <f t="shared" si="15"/>
        <v>#REF!</v>
      </c>
      <c r="K283" s="153"/>
      <c r="L283" s="197"/>
    </row>
    <row r="284" spans="1:12" s="158" customFormat="1" ht="17">
      <c r="A284" s="161">
        <v>275</v>
      </c>
      <c r="B284" s="159" t="s">
        <v>429</v>
      </c>
      <c r="C284" s="151" t="e">
        <f>VLOOKUP(B284,#REF!,2,0)</f>
        <v>#REF!</v>
      </c>
      <c r="D284" s="153" t="e">
        <f>+VLOOKUP(B284,#REF!,6,0)</f>
        <v>#REF!</v>
      </c>
      <c r="E284" s="154">
        <v>9224000</v>
      </c>
      <c r="F284" s="154" t="e">
        <f>+VLOOKUP(B284,#REF!,149,0)</f>
        <v>#REF!</v>
      </c>
      <c r="G284" s="155" t="e">
        <f t="shared" si="14"/>
        <v>#REF!</v>
      </c>
      <c r="H284" s="156" t="e">
        <f t="shared" si="13"/>
        <v>#REF!</v>
      </c>
      <c r="I284" s="153">
        <v>0</v>
      </c>
      <c r="J284" s="157" t="e">
        <f t="shared" si="15"/>
        <v>#REF!</v>
      </c>
      <c r="K284" s="153"/>
      <c r="L284" s="197"/>
    </row>
    <row r="285" spans="1:12" s="158" customFormat="1" ht="17">
      <c r="A285" s="161">
        <v>276</v>
      </c>
      <c r="B285" s="159" t="s">
        <v>430</v>
      </c>
      <c r="C285" s="151" t="e">
        <f>VLOOKUP(B285,#REF!,2,0)</f>
        <v>#REF!</v>
      </c>
      <c r="D285" s="153" t="e">
        <f>+VLOOKUP(B285,#REF!,6,0)</f>
        <v>#REF!</v>
      </c>
      <c r="E285" s="154">
        <v>9224000</v>
      </c>
      <c r="F285" s="154" t="e">
        <f>+VLOOKUP(B285,#REF!,149,0)</f>
        <v>#REF!</v>
      </c>
      <c r="G285" s="155" t="e">
        <f t="shared" si="14"/>
        <v>#REF!</v>
      </c>
      <c r="H285" s="156" t="e">
        <f t="shared" si="13"/>
        <v>#REF!</v>
      </c>
      <c r="I285" s="153">
        <v>0</v>
      </c>
      <c r="J285" s="157" t="e">
        <f t="shared" si="15"/>
        <v>#REF!</v>
      </c>
      <c r="K285" s="153"/>
      <c r="L285" s="197"/>
    </row>
    <row r="286" spans="1:12" s="158" customFormat="1" ht="17">
      <c r="A286" s="161">
        <v>277</v>
      </c>
      <c r="B286" s="159" t="s">
        <v>431</v>
      </c>
      <c r="C286" s="151" t="e">
        <f>VLOOKUP(B286,#REF!,2,0)</f>
        <v>#REF!</v>
      </c>
      <c r="D286" s="153" t="e">
        <f>+VLOOKUP(B286,#REF!,6,0)</f>
        <v>#REF!</v>
      </c>
      <c r="E286" s="154">
        <v>7943000</v>
      </c>
      <c r="F286" s="154" t="e">
        <f>+VLOOKUP(B286,#REF!,149,0)</f>
        <v>#REF!</v>
      </c>
      <c r="G286" s="155" t="e">
        <f t="shared" si="14"/>
        <v>#REF!</v>
      </c>
      <c r="H286" s="156" t="e">
        <f t="shared" si="13"/>
        <v>#REF!</v>
      </c>
      <c r="I286" s="153">
        <v>0</v>
      </c>
      <c r="J286" s="157" t="e">
        <f t="shared" si="15"/>
        <v>#REF!</v>
      </c>
      <c r="K286" s="153"/>
      <c r="L286" s="197"/>
    </row>
    <row r="287" spans="1:12" s="158" customFormat="1" ht="17">
      <c r="A287" s="161">
        <v>278</v>
      </c>
      <c r="B287" s="159" t="s">
        <v>445</v>
      </c>
      <c r="C287" s="151" t="e">
        <f>VLOOKUP(B287,#REF!,2,0)</f>
        <v>#REF!</v>
      </c>
      <c r="D287" s="153" t="e">
        <f>+VLOOKUP(B287,#REF!,6,0)</f>
        <v>#REF!</v>
      </c>
      <c r="E287" s="154">
        <v>8451000</v>
      </c>
      <c r="F287" s="154" t="e">
        <f>+VLOOKUP(B287,#REF!,149,0)</f>
        <v>#REF!</v>
      </c>
      <c r="G287" s="155" t="e">
        <f t="shared" si="14"/>
        <v>#REF!</v>
      </c>
      <c r="H287" s="156" t="e">
        <f t="shared" si="13"/>
        <v>#REF!</v>
      </c>
      <c r="I287" s="153">
        <v>0</v>
      </c>
      <c r="J287" s="157" t="e">
        <f t="shared" si="15"/>
        <v>#REF!</v>
      </c>
      <c r="K287" s="153"/>
      <c r="L287" s="197"/>
    </row>
    <row r="288" spans="1:12" s="158" customFormat="1" ht="17">
      <c r="A288" s="161">
        <v>279</v>
      </c>
      <c r="B288" s="159" t="s">
        <v>450</v>
      </c>
      <c r="C288" s="151" t="e">
        <f>VLOOKUP(B288,#REF!,2,0)</f>
        <v>#REF!</v>
      </c>
      <c r="D288" s="153" t="e">
        <f>+VLOOKUP(B288,#REF!,6,0)</f>
        <v>#REF!</v>
      </c>
      <c r="E288" s="154">
        <v>9563000</v>
      </c>
      <c r="F288" s="154" t="e">
        <f>+VLOOKUP(B288,#REF!,149,0)</f>
        <v>#REF!</v>
      </c>
      <c r="G288" s="155" t="e">
        <f t="shared" si="14"/>
        <v>#REF!</v>
      </c>
      <c r="H288" s="156" t="e">
        <f t="shared" si="13"/>
        <v>#REF!</v>
      </c>
      <c r="I288" s="153">
        <v>0</v>
      </c>
      <c r="J288" s="157" t="e">
        <f t="shared" si="15"/>
        <v>#REF!</v>
      </c>
      <c r="K288" s="153"/>
      <c r="L288" s="197"/>
    </row>
    <row r="289" spans="1:12" s="158" customFormat="1" ht="17">
      <c r="A289" s="161">
        <v>280</v>
      </c>
      <c r="B289" s="152" t="s">
        <v>274</v>
      </c>
      <c r="C289" s="151" t="e">
        <f>VLOOKUP(B289,#REF!,2,0)</f>
        <v>#REF!</v>
      </c>
      <c r="D289" s="153" t="e">
        <f>+VLOOKUP(B289,#REF!,6,0)</f>
        <v>#REF!</v>
      </c>
      <c r="E289" s="154">
        <v>6934000</v>
      </c>
      <c r="F289" s="154" t="e">
        <f>+VLOOKUP(B289,#REF!,149,0)</f>
        <v>#REF!</v>
      </c>
      <c r="G289" s="155" t="e">
        <f t="shared" si="14"/>
        <v>#REF!</v>
      </c>
      <c r="H289" s="156" t="e">
        <f t="shared" si="13"/>
        <v>#REF!</v>
      </c>
      <c r="I289" s="153">
        <v>0</v>
      </c>
      <c r="J289" s="157" t="e">
        <f t="shared" si="15"/>
        <v>#REF!</v>
      </c>
      <c r="K289" s="153"/>
      <c r="L289" s="197"/>
    </row>
    <row r="290" spans="1:12" s="158" customFormat="1" ht="17">
      <c r="A290" s="161">
        <v>281</v>
      </c>
      <c r="B290" s="152" t="s">
        <v>275</v>
      </c>
      <c r="C290" s="151" t="e">
        <f>VLOOKUP(B290,#REF!,2,0)</f>
        <v>#REF!</v>
      </c>
      <c r="D290" s="153" t="e">
        <f>+VLOOKUP(B290,#REF!,6,0)</f>
        <v>#REF!</v>
      </c>
      <c r="E290" s="154">
        <v>7068000</v>
      </c>
      <c r="F290" s="154" t="e">
        <f>+VLOOKUP(B290,#REF!,149,0)</f>
        <v>#REF!</v>
      </c>
      <c r="G290" s="155" t="e">
        <f t="shared" si="14"/>
        <v>#REF!</v>
      </c>
      <c r="H290" s="156" t="e">
        <f t="shared" si="13"/>
        <v>#REF!</v>
      </c>
      <c r="I290" s="153">
        <v>0</v>
      </c>
      <c r="J290" s="157" t="e">
        <f t="shared" si="15"/>
        <v>#REF!</v>
      </c>
      <c r="K290" s="153"/>
      <c r="L290" s="197"/>
    </row>
    <row r="291" spans="1:12" s="158" customFormat="1" ht="17">
      <c r="A291" s="161">
        <v>282</v>
      </c>
      <c r="B291" s="171" t="s">
        <v>139</v>
      </c>
      <c r="C291" s="151" t="e">
        <f>VLOOKUP(B291,#REF!,2,0)</f>
        <v>#REF!</v>
      </c>
      <c r="D291" s="153" t="e">
        <f>+VLOOKUP(B291,#REF!,6,0)</f>
        <v>#REF!</v>
      </c>
      <c r="E291" s="154">
        <v>8265000</v>
      </c>
      <c r="F291" s="154" t="e">
        <f>+VLOOKUP(B291,#REF!,149,0)</f>
        <v>#REF!</v>
      </c>
      <c r="G291" s="155" t="e">
        <f t="shared" si="14"/>
        <v>#REF!</v>
      </c>
      <c r="H291" s="156" t="e">
        <f t="shared" si="13"/>
        <v>#REF!</v>
      </c>
      <c r="I291" s="153">
        <v>0</v>
      </c>
      <c r="J291" s="157" t="e">
        <f t="shared" si="15"/>
        <v>#REF!</v>
      </c>
      <c r="K291" s="153"/>
      <c r="L291" s="197"/>
    </row>
    <row r="292" spans="1:12" s="158" customFormat="1" ht="17">
      <c r="A292" s="161">
        <v>283</v>
      </c>
      <c r="B292" s="159" t="s">
        <v>442</v>
      </c>
      <c r="C292" s="151" t="e">
        <f>VLOOKUP(B292,#REF!,2,0)</f>
        <v>#REF!</v>
      </c>
      <c r="D292" s="153" t="e">
        <f>+VLOOKUP(B292,#REF!,6,0)</f>
        <v>#REF!</v>
      </c>
      <c r="E292" s="154">
        <v>4457000</v>
      </c>
      <c r="F292" s="154" t="e">
        <f>+VLOOKUP(B292,#REF!,149,0)</f>
        <v>#REF!</v>
      </c>
      <c r="G292" s="155" t="e">
        <f t="shared" si="14"/>
        <v>#REF!</v>
      </c>
      <c r="H292" s="156" t="e">
        <f t="shared" si="13"/>
        <v>#REF!</v>
      </c>
      <c r="I292" s="153">
        <v>0</v>
      </c>
      <c r="J292" s="157" t="e">
        <f t="shared" si="15"/>
        <v>#REF!</v>
      </c>
      <c r="K292" s="153"/>
      <c r="L292" s="197"/>
    </row>
    <row r="293" spans="1:12" s="158" customFormat="1" ht="17">
      <c r="A293" s="161">
        <v>284</v>
      </c>
      <c r="B293" s="152" t="s">
        <v>313</v>
      </c>
      <c r="C293" s="151" t="e">
        <f>VLOOKUP(B293,#REF!,2,0)</f>
        <v>#REF!</v>
      </c>
      <c r="D293" s="153" t="e">
        <f>+VLOOKUP(B293,#REF!,6,0)</f>
        <v>#REF!</v>
      </c>
      <c r="E293" s="154">
        <v>7604000</v>
      </c>
      <c r="F293" s="154" t="e">
        <f>+VLOOKUP(B293,#REF!,149,0)</f>
        <v>#REF!</v>
      </c>
      <c r="G293" s="155" t="e">
        <f t="shared" si="14"/>
        <v>#REF!</v>
      </c>
      <c r="H293" s="156" t="e">
        <f t="shared" si="13"/>
        <v>#REF!</v>
      </c>
      <c r="I293" s="153">
        <v>0</v>
      </c>
      <c r="J293" s="157" t="e">
        <f t="shared" si="15"/>
        <v>#REF!</v>
      </c>
      <c r="K293" s="153"/>
      <c r="L293" s="197"/>
    </row>
    <row r="294" spans="1:12" s="158" customFormat="1" ht="17">
      <c r="A294" s="161">
        <v>285</v>
      </c>
      <c r="B294" s="152" t="s">
        <v>336</v>
      </c>
      <c r="C294" s="151" t="e">
        <f>VLOOKUP(B294,#REF!,2,0)</f>
        <v>#REF!</v>
      </c>
      <c r="D294" s="153" t="e">
        <f>+VLOOKUP(B294,#REF!,6,0)</f>
        <v>#REF!</v>
      </c>
      <c r="E294" s="154">
        <v>6161000</v>
      </c>
      <c r="F294" s="154" t="e">
        <f>+VLOOKUP(B294,#REF!,149,0)</f>
        <v>#REF!</v>
      </c>
      <c r="G294" s="155" t="e">
        <f t="shared" si="14"/>
        <v>#REF!</v>
      </c>
      <c r="H294" s="156" t="e">
        <f t="shared" si="13"/>
        <v>#REF!</v>
      </c>
      <c r="I294" s="153">
        <v>0</v>
      </c>
      <c r="J294" s="157" t="e">
        <f t="shared" si="15"/>
        <v>#REF!</v>
      </c>
      <c r="K294" s="153"/>
      <c r="L294" s="197"/>
    </row>
    <row r="295" spans="1:12" s="158" customFormat="1" ht="17">
      <c r="A295" s="161">
        <v>286</v>
      </c>
      <c r="B295" s="159" t="s">
        <v>57</v>
      </c>
      <c r="C295" s="151" t="e">
        <f>VLOOKUP(B295,#REF!,2,0)</f>
        <v>#REF!</v>
      </c>
      <c r="D295" s="153" t="e">
        <f>+VLOOKUP(B295,#REF!,6,0)</f>
        <v>#REF!</v>
      </c>
      <c r="E295" s="154">
        <v>8571000</v>
      </c>
      <c r="F295" s="154" t="e">
        <f>+VLOOKUP(B295,#REF!,149,0)</f>
        <v>#REF!</v>
      </c>
      <c r="G295" s="155" t="e">
        <f t="shared" si="14"/>
        <v>#REF!</v>
      </c>
      <c r="H295" s="156" t="e">
        <f t="shared" si="13"/>
        <v>#REF!</v>
      </c>
      <c r="I295" s="153">
        <v>0</v>
      </c>
      <c r="J295" s="157" t="e">
        <f t="shared" si="15"/>
        <v>#REF!</v>
      </c>
      <c r="K295" s="153"/>
      <c r="L295" s="197"/>
    </row>
    <row r="296" spans="1:12" s="158" customFormat="1" ht="17">
      <c r="A296" s="161">
        <v>287</v>
      </c>
      <c r="B296" s="152" t="s">
        <v>126</v>
      </c>
      <c r="C296" s="151" t="e">
        <f>VLOOKUP(B296,#REF!,2,0)</f>
        <v>#REF!</v>
      </c>
      <c r="D296" s="153" t="e">
        <f>+VLOOKUP(B296,#REF!,6,0)</f>
        <v>#REF!</v>
      </c>
      <c r="E296" s="154">
        <v>7283000</v>
      </c>
      <c r="F296" s="154" t="e">
        <f>+VLOOKUP(B296,#REF!,149,0)</f>
        <v>#REF!</v>
      </c>
      <c r="G296" s="155" t="e">
        <f t="shared" si="14"/>
        <v>#REF!</v>
      </c>
      <c r="H296" s="156" t="e">
        <f t="shared" si="13"/>
        <v>#REF!</v>
      </c>
      <c r="I296" s="153">
        <v>0</v>
      </c>
      <c r="J296" s="157" t="e">
        <f t="shared" si="15"/>
        <v>#REF!</v>
      </c>
      <c r="K296" s="153"/>
      <c r="L296" s="197"/>
    </row>
    <row r="297" spans="1:12" s="158" customFormat="1" ht="17">
      <c r="A297" s="161">
        <v>288</v>
      </c>
      <c r="B297" s="152" t="s">
        <v>127</v>
      </c>
      <c r="C297" s="151" t="e">
        <f>VLOOKUP(B297,#REF!,2,0)</f>
        <v>#REF!</v>
      </c>
      <c r="D297" s="153" t="e">
        <f>+VLOOKUP(B297,#REF!,6,0)</f>
        <v>#REF!</v>
      </c>
      <c r="E297" s="154">
        <v>8751000</v>
      </c>
      <c r="F297" s="154" t="e">
        <f>+VLOOKUP(B297,#REF!,149,0)</f>
        <v>#REF!</v>
      </c>
      <c r="G297" s="155" t="e">
        <f t="shared" si="14"/>
        <v>#REF!</v>
      </c>
      <c r="H297" s="156" t="e">
        <f t="shared" si="13"/>
        <v>#REF!</v>
      </c>
      <c r="I297" s="153">
        <v>0</v>
      </c>
      <c r="J297" s="157" t="e">
        <f t="shared" si="15"/>
        <v>#REF!</v>
      </c>
      <c r="K297" s="153"/>
      <c r="L297" s="197"/>
    </row>
    <row r="298" spans="1:12" s="158" customFormat="1" ht="17">
      <c r="A298" s="161">
        <v>289</v>
      </c>
      <c r="B298" s="152" t="s">
        <v>128</v>
      </c>
      <c r="C298" s="151" t="e">
        <f>VLOOKUP(B298,#REF!,2,0)</f>
        <v>#REF!</v>
      </c>
      <c r="D298" s="153" t="e">
        <f>+VLOOKUP(B298,#REF!,6,0)</f>
        <v>#REF!</v>
      </c>
      <c r="E298" s="154">
        <v>9140000</v>
      </c>
      <c r="F298" s="154" t="e">
        <f>+VLOOKUP(B298,#REF!,149,0)</f>
        <v>#REF!</v>
      </c>
      <c r="G298" s="155" t="e">
        <f t="shared" si="14"/>
        <v>#REF!</v>
      </c>
      <c r="H298" s="156" t="e">
        <f t="shared" si="13"/>
        <v>#REF!</v>
      </c>
      <c r="I298" s="153">
        <v>0</v>
      </c>
      <c r="J298" s="157" t="e">
        <f t="shared" si="15"/>
        <v>#REF!</v>
      </c>
      <c r="K298" s="153"/>
      <c r="L298" s="197"/>
    </row>
    <row r="299" spans="1:12" s="158" customFormat="1" ht="17">
      <c r="A299" s="161">
        <v>290</v>
      </c>
      <c r="B299" s="152" t="s">
        <v>280</v>
      </c>
      <c r="C299" s="151" t="e">
        <f>VLOOKUP(B299,#REF!,2,0)</f>
        <v>#REF!</v>
      </c>
      <c r="D299" s="153" t="e">
        <f>+VLOOKUP(B299,#REF!,6,0)</f>
        <v>#REF!</v>
      </c>
      <c r="E299" s="154">
        <v>9542000</v>
      </c>
      <c r="F299" s="154" t="e">
        <f>+VLOOKUP(B299,#REF!,149,0)</f>
        <v>#REF!</v>
      </c>
      <c r="G299" s="155" t="e">
        <f t="shared" si="14"/>
        <v>#REF!</v>
      </c>
      <c r="H299" s="156" t="e">
        <f t="shared" si="13"/>
        <v>#REF!</v>
      </c>
      <c r="I299" s="153">
        <v>0</v>
      </c>
      <c r="J299" s="157" t="e">
        <f t="shared" si="15"/>
        <v>#REF!</v>
      </c>
      <c r="K299" s="153"/>
      <c r="L299" s="197"/>
    </row>
    <row r="300" spans="1:12" s="158" customFormat="1" ht="17">
      <c r="A300" s="161">
        <v>291</v>
      </c>
      <c r="B300" s="152" t="s">
        <v>277</v>
      </c>
      <c r="C300" s="151" t="e">
        <f>VLOOKUP(B300,#REF!,2,0)</f>
        <v>#REF!</v>
      </c>
      <c r="D300" s="153" t="e">
        <f>+VLOOKUP(B300,#REF!,6,0)</f>
        <v>#REF!</v>
      </c>
      <c r="E300" s="154">
        <v>9198000</v>
      </c>
      <c r="F300" s="154" t="e">
        <f>+VLOOKUP(B300,#REF!,149,0)</f>
        <v>#REF!</v>
      </c>
      <c r="G300" s="155" t="e">
        <f t="shared" si="14"/>
        <v>#REF!</v>
      </c>
      <c r="H300" s="156" t="e">
        <f t="shared" si="13"/>
        <v>#REF!</v>
      </c>
      <c r="I300" s="153">
        <v>0</v>
      </c>
      <c r="J300" s="157" t="e">
        <f t="shared" si="15"/>
        <v>#REF!</v>
      </c>
      <c r="K300" s="153"/>
      <c r="L300" s="197"/>
    </row>
    <row r="301" spans="1:12" s="158" customFormat="1" ht="17">
      <c r="A301" s="161">
        <v>292</v>
      </c>
      <c r="B301" s="159" t="s">
        <v>340</v>
      </c>
      <c r="C301" s="151" t="e">
        <f>VLOOKUP(B301,#REF!,2,0)</f>
        <v>#REF!</v>
      </c>
      <c r="D301" s="153" t="e">
        <f>+VLOOKUP(B301,#REF!,6,0)</f>
        <v>#REF!</v>
      </c>
      <c r="E301" s="154">
        <v>9552000</v>
      </c>
      <c r="F301" s="154" t="e">
        <f>+VLOOKUP(B301,#REF!,149,0)</f>
        <v>#REF!</v>
      </c>
      <c r="G301" s="155" t="e">
        <f t="shared" si="14"/>
        <v>#REF!</v>
      </c>
      <c r="H301" s="156" t="e">
        <f t="shared" si="13"/>
        <v>#REF!</v>
      </c>
      <c r="I301" s="153">
        <v>0</v>
      </c>
      <c r="J301" s="157" t="e">
        <f t="shared" si="15"/>
        <v>#REF!</v>
      </c>
      <c r="K301" s="153"/>
      <c r="L301" s="197"/>
    </row>
    <row r="302" spans="1:12" s="158" customFormat="1" ht="17">
      <c r="A302" s="161">
        <v>293</v>
      </c>
      <c r="B302" s="159" t="s">
        <v>451</v>
      </c>
      <c r="C302" s="151" t="e">
        <f>VLOOKUP(B302,#REF!,2,0)</f>
        <v>#REF!</v>
      </c>
      <c r="D302" s="153" t="e">
        <f>+VLOOKUP(B302,#REF!,6,0)</f>
        <v>#REF!</v>
      </c>
      <c r="E302" s="154">
        <v>8098000</v>
      </c>
      <c r="F302" s="154" t="e">
        <f>+VLOOKUP(B302,#REF!,149,0)</f>
        <v>#REF!</v>
      </c>
      <c r="G302" s="155" t="e">
        <f t="shared" si="14"/>
        <v>#REF!</v>
      </c>
      <c r="H302" s="156" t="e">
        <f t="shared" si="13"/>
        <v>#REF!</v>
      </c>
      <c r="I302" s="153">
        <v>0</v>
      </c>
      <c r="J302" s="157" t="e">
        <f t="shared" si="15"/>
        <v>#REF!</v>
      </c>
      <c r="K302" s="153"/>
      <c r="L302" s="197"/>
    </row>
    <row r="303" spans="1:12" s="158" customFormat="1" ht="17">
      <c r="A303" s="161">
        <v>294</v>
      </c>
      <c r="B303" s="159" t="s">
        <v>452</v>
      </c>
      <c r="C303" s="151" t="e">
        <f>VLOOKUP(B303,#REF!,2,0)</f>
        <v>#REF!</v>
      </c>
      <c r="D303" s="153" t="e">
        <f>+VLOOKUP(B303,#REF!,6,0)</f>
        <v>#REF!</v>
      </c>
      <c r="E303" s="154">
        <v>9745000</v>
      </c>
      <c r="F303" s="154" t="e">
        <f>+VLOOKUP(B303,#REF!,149,0)</f>
        <v>#REF!</v>
      </c>
      <c r="G303" s="155" t="e">
        <f t="shared" si="14"/>
        <v>#REF!</v>
      </c>
      <c r="H303" s="156" t="e">
        <f t="shared" si="13"/>
        <v>#REF!</v>
      </c>
      <c r="I303" s="153">
        <v>0</v>
      </c>
      <c r="J303" s="157" t="e">
        <f t="shared" si="15"/>
        <v>#REF!</v>
      </c>
      <c r="K303" s="153"/>
      <c r="L303" s="197"/>
    </row>
    <row r="304" spans="1:12" s="158" customFormat="1" ht="17">
      <c r="A304" s="161">
        <v>295</v>
      </c>
      <c r="B304" s="159" t="s">
        <v>453</v>
      </c>
      <c r="C304" s="151" t="e">
        <f>VLOOKUP(B304,#REF!,2,0)</f>
        <v>#REF!</v>
      </c>
      <c r="D304" s="153" t="e">
        <f>+VLOOKUP(B304,#REF!,6,0)</f>
        <v>#REF!</v>
      </c>
      <c r="E304" s="154">
        <v>9344000</v>
      </c>
      <c r="F304" s="154" t="e">
        <f>+VLOOKUP(B304,#REF!,149,0)</f>
        <v>#REF!</v>
      </c>
      <c r="G304" s="155" t="e">
        <f t="shared" si="14"/>
        <v>#REF!</v>
      </c>
      <c r="H304" s="156" t="e">
        <f t="shared" si="13"/>
        <v>#REF!</v>
      </c>
      <c r="I304" s="153">
        <v>0</v>
      </c>
      <c r="J304" s="157" t="e">
        <f t="shared" si="15"/>
        <v>#REF!</v>
      </c>
      <c r="K304" s="153"/>
      <c r="L304" s="197"/>
    </row>
    <row r="305" spans="1:12" s="158" customFormat="1" ht="17">
      <c r="A305" s="161">
        <v>296</v>
      </c>
      <c r="B305" s="152" t="s">
        <v>80</v>
      </c>
      <c r="C305" s="151" t="e">
        <f>VLOOKUP(B305,#REF!,2,0)</f>
        <v>#REF!</v>
      </c>
      <c r="D305" s="153" t="e">
        <f>+VLOOKUP(B305,#REF!,6,0)</f>
        <v>#REF!</v>
      </c>
      <c r="E305" s="154">
        <v>9344000</v>
      </c>
      <c r="F305" s="154" t="e">
        <f>+VLOOKUP(B305,#REF!,149,0)</f>
        <v>#REF!</v>
      </c>
      <c r="G305" s="155" t="e">
        <f t="shared" si="14"/>
        <v>#REF!</v>
      </c>
      <c r="H305" s="156" t="e">
        <f t="shared" si="13"/>
        <v>#REF!</v>
      </c>
      <c r="I305" s="153">
        <v>0</v>
      </c>
      <c r="J305" s="157" t="e">
        <f t="shared" si="15"/>
        <v>#REF!</v>
      </c>
      <c r="K305" s="153"/>
      <c r="L305" s="197"/>
    </row>
    <row r="306" spans="1:12" s="158" customFormat="1" ht="17">
      <c r="A306" s="161">
        <v>297</v>
      </c>
      <c r="B306" s="159" t="s">
        <v>424</v>
      </c>
      <c r="C306" s="151" t="e">
        <f>VLOOKUP(B306,#REF!,2,0)</f>
        <v>#REF!</v>
      </c>
      <c r="D306" s="153" t="e">
        <f>+VLOOKUP(B306,#REF!,6,0)</f>
        <v>#REF!</v>
      </c>
      <c r="E306" s="154">
        <v>7962000</v>
      </c>
      <c r="F306" s="154" t="e">
        <f>+VLOOKUP(B306,#REF!,149,0)</f>
        <v>#REF!</v>
      </c>
      <c r="G306" s="155" t="e">
        <f t="shared" si="14"/>
        <v>#REF!</v>
      </c>
      <c r="H306" s="156" t="e">
        <f t="shared" si="13"/>
        <v>#REF!</v>
      </c>
      <c r="I306" s="153">
        <v>0</v>
      </c>
      <c r="J306" s="157" t="e">
        <f t="shared" si="15"/>
        <v>#REF!</v>
      </c>
      <c r="K306" s="153"/>
      <c r="L306" s="197"/>
    </row>
    <row r="307" spans="1:12" s="158" customFormat="1" ht="17">
      <c r="A307" s="161">
        <v>298</v>
      </c>
      <c r="B307" s="152" t="s">
        <v>207</v>
      </c>
      <c r="C307" s="151" t="e">
        <f>VLOOKUP(B307,#REF!,2,0)</f>
        <v>#REF!</v>
      </c>
      <c r="D307" s="153" t="e">
        <f>+VLOOKUP(B307,#REF!,6,0)</f>
        <v>#REF!</v>
      </c>
      <c r="E307" s="154">
        <v>9282000</v>
      </c>
      <c r="F307" s="154" t="e">
        <f>+VLOOKUP(B307,#REF!,149,0)</f>
        <v>#REF!</v>
      </c>
      <c r="G307" s="155" t="e">
        <f t="shared" si="14"/>
        <v>#REF!</v>
      </c>
      <c r="H307" s="156" t="e">
        <f t="shared" si="13"/>
        <v>#REF!</v>
      </c>
      <c r="I307" s="153">
        <v>0</v>
      </c>
      <c r="J307" s="157" t="e">
        <f t="shared" si="15"/>
        <v>#REF!</v>
      </c>
      <c r="K307" s="153"/>
      <c r="L307" s="197"/>
    </row>
    <row r="308" spans="1:12" s="180" customFormat="1" ht="17">
      <c r="A308" s="172">
        <v>299</v>
      </c>
      <c r="B308" s="173" t="s">
        <v>282</v>
      </c>
      <c r="C308" s="174" t="e">
        <f>VLOOKUP(B308,#REF!,2,0)</f>
        <v>#REF!</v>
      </c>
      <c r="D308" s="175" t="e">
        <f>+VLOOKUP(B308,#REF!,6,0)</f>
        <v>#REF!</v>
      </c>
      <c r="E308" s="176">
        <v>-461000</v>
      </c>
      <c r="F308" s="176" t="e">
        <f>+VLOOKUP(B308,#REF!,149,0)</f>
        <v>#REF!</v>
      </c>
      <c r="G308" s="177" t="e">
        <f t="shared" si="14"/>
        <v>#REF!</v>
      </c>
      <c r="H308" s="178" t="e">
        <f t="shared" si="13"/>
        <v>#REF!</v>
      </c>
      <c r="I308" s="175">
        <v>0</v>
      </c>
      <c r="J308" s="179" t="e">
        <f t="shared" si="15"/>
        <v>#REF!</v>
      </c>
      <c r="K308" s="175"/>
    </row>
    <row r="309" spans="1:12" s="158" customFormat="1" ht="17">
      <c r="A309" s="161">
        <v>300</v>
      </c>
      <c r="B309" s="152" t="s">
        <v>330</v>
      </c>
      <c r="C309" s="151" t="e">
        <f>VLOOKUP(B309,#REF!,2,0)</f>
        <v>#REF!</v>
      </c>
      <c r="D309" s="153" t="e">
        <f>+VLOOKUP(B309,#REF!,6,0)</f>
        <v>#REF!</v>
      </c>
      <c r="E309" s="154">
        <v>8938000</v>
      </c>
      <c r="F309" s="154" t="e">
        <f>+VLOOKUP(B309,#REF!,149,0)</f>
        <v>#REF!</v>
      </c>
      <c r="G309" s="155" t="e">
        <f t="shared" si="14"/>
        <v>#REF!</v>
      </c>
      <c r="H309" s="156" t="e">
        <f t="shared" si="13"/>
        <v>#REF!</v>
      </c>
      <c r="I309" s="153">
        <v>0</v>
      </c>
      <c r="J309" s="157" t="e">
        <f t="shared" si="15"/>
        <v>#REF!</v>
      </c>
      <c r="K309" s="153"/>
      <c r="L309" s="197"/>
    </row>
    <row r="310" spans="1:12" s="158" customFormat="1" ht="17">
      <c r="A310" s="161">
        <v>301</v>
      </c>
      <c r="B310" s="159" t="s">
        <v>425</v>
      </c>
      <c r="C310" s="151" t="e">
        <f>VLOOKUP(B310,#REF!,2,0)</f>
        <v>#REF!</v>
      </c>
      <c r="D310" s="153" t="e">
        <f>+VLOOKUP(B310,#REF!,6,0)</f>
        <v>#REF!</v>
      </c>
      <c r="E310" s="154">
        <v>7993000</v>
      </c>
      <c r="F310" s="154" t="e">
        <f>+VLOOKUP(B310,#REF!,149,0)</f>
        <v>#REF!</v>
      </c>
      <c r="G310" s="155" t="e">
        <f t="shared" si="14"/>
        <v>#REF!</v>
      </c>
      <c r="H310" s="156" t="e">
        <f t="shared" si="13"/>
        <v>#REF!</v>
      </c>
      <c r="I310" s="153">
        <v>0</v>
      </c>
      <c r="J310" s="157" t="e">
        <f t="shared" si="15"/>
        <v>#REF!</v>
      </c>
      <c r="K310" s="153"/>
      <c r="L310" s="197"/>
    </row>
    <row r="311" spans="1:12" s="180" customFormat="1" ht="17">
      <c r="A311" s="172">
        <v>302</v>
      </c>
      <c r="B311" s="173" t="s">
        <v>457</v>
      </c>
      <c r="C311" s="174" t="e">
        <f>VLOOKUP(B311,#REF!,2,0)</f>
        <v>#REF!</v>
      </c>
      <c r="D311" s="175" t="e">
        <f>+VLOOKUP(B311,#REF!,6,0)</f>
        <v>#REF!</v>
      </c>
      <c r="E311" s="176">
        <v>8571000</v>
      </c>
      <c r="F311" s="176" t="e">
        <f>+VLOOKUP(B311,#REF!,149,0)</f>
        <v>#REF!</v>
      </c>
      <c r="G311" s="177" t="e">
        <f t="shared" si="14"/>
        <v>#REF!</v>
      </c>
      <c r="H311" s="178" t="e">
        <f t="shared" si="13"/>
        <v>#REF!</v>
      </c>
      <c r="I311" s="175">
        <v>0</v>
      </c>
      <c r="J311" s="179" t="e">
        <f t="shared" si="15"/>
        <v>#REF!</v>
      </c>
      <c r="K311" s="175"/>
    </row>
    <row r="312" spans="1:12" s="158" customFormat="1" ht="17">
      <c r="A312" s="161">
        <v>303</v>
      </c>
      <c r="B312" s="152" t="s">
        <v>136</v>
      </c>
      <c r="C312" s="151" t="e">
        <f>VLOOKUP(B312,#REF!,2,0)</f>
        <v>#REF!</v>
      </c>
      <c r="D312" s="153" t="e">
        <f>+VLOOKUP(B312,#REF!,6,0)</f>
        <v>#REF!</v>
      </c>
      <c r="E312" s="154">
        <v>10075000</v>
      </c>
      <c r="F312" s="154" t="e">
        <f>+VLOOKUP(B312,#REF!,149,0)</f>
        <v>#REF!</v>
      </c>
      <c r="G312" s="155" t="e">
        <f t="shared" si="14"/>
        <v>#REF!</v>
      </c>
      <c r="H312" s="156" t="e">
        <f t="shared" si="13"/>
        <v>#REF!</v>
      </c>
      <c r="I312" s="153">
        <v>0</v>
      </c>
      <c r="J312" s="157" t="e">
        <f t="shared" si="15"/>
        <v>#REF!</v>
      </c>
      <c r="K312" s="153"/>
      <c r="L312" s="197"/>
    </row>
    <row r="313" spans="1:12" s="223" customFormat="1" ht="17">
      <c r="A313" s="184">
        <v>304</v>
      </c>
      <c r="B313" s="185" t="s">
        <v>137</v>
      </c>
      <c r="C313" s="217" t="e">
        <f>VLOOKUP(B313,#REF!,2,0)</f>
        <v>#REF!</v>
      </c>
      <c r="D313" s="218" t="e">
        <f>+VLOOKUP(B313,#REF!,6,0)</f>
        <v>#REF!</v>
      </c>
      <c r="E313" s="219">
        <v>1879000</v>
      </c>
      <c r="F313" s="219" t="e">
        <f>+VLOOKUP(B313,#REF!,149,0)</f>
        <v>#REF!</v>
      </c>
      <c r="G313" s="220" t="e">
        <f t="shared" si="14"/>
        <v>#REF!</v>
      </c>
      <c r="H313" s="221" t="e">
        <f t="shared" si="13"/>
        <v>#REF!</v>
      </c>
      <c r="I313" s="218">
        <v>0</v>
      </c>
      <c r="J313" s="222" t="e">
        <f t="shared" si="15"/>
        <v>#REF!</v>
      </c>
      <c r="K313" s="218"/>
    </row>
    <row r="314" spans="1:12" s="158" customFormat="1" ht="17">
      <c r="A314" s="161">
        <v>305</v>
      </c>
      <c r="B314" s="152" t="s">
        <v>138</v>
      </c>
      <c r="C314" s="151" t="e">
        <f>VLOOKUP(B314,#REF!,2,0)</f>
        <v>#REF!</v>
      </c>
      <c r="D314" s="153" t="e">
        <f>+VLOOKUP(B314,#REF!,6,0)</f>
        <v>#REF!</v>
      </c>
      <c r="E314" s="154">
        <v>9161000</v>
      </c>
      <c r="F314" s="154" t="e">
        <f>+VLOOKUP(B314,#REF!,149,0)</f>
        <v>#REF!</v>
      </c>
      <c r="G314" s="155" t="e">
        <f t="shared" si="14"/>
        <v>#REF!</v>
      </c>
      <c r="H314" s="156" t="e">
        <f t="shared" si="13"/>
        <v>#REF!</v>
      </c>
      <c r="I314" s="153">
        <v>0</v>
      </c>
      <c r="J314" s="157" t="e">
        <f t="shared" si="15"/>
        <v>#REF!</v>
      </c>
      <c r="K314" s="153"/>
      <c r="L314" s="197"/>
    </row>
    <row r="315" spans="1:12" s="158" customFormat="1" ht="17">
      <c r="A315" s="161">
        <v>306</v>
      </c>
      <c r="B315" s="152" t="s">
        <v>142</v>
      </c>
      <c r="C315" s="151" t="e">
        <f>VLOOKUP(B315,#REF!,2,0)</f>
        <v>#REF!</v>
      </c>
      <c r="D315" s="153" t="e">
        <f>+VLOOKUP(B315,#REF!,6,0)</f>
        <v>#REF!</v>
      </c>
      <c r="E315" s="154">
        <v>8780000</v>
      </c>
      <c r="F315" s="154" t="e">
        <f>+VLOOKUP(B315,#REF!,149,0)</f>
        <v>#REF!</v>
      </c>
      <c r="G315" s="155" t="e">
        <f t="shared" si="14"/>
        <v>#REF!</v>
      </c>
      <c r="H315" s="156" t="e">
        <f t="shared" si="13"/>
        <v>#REF!</v>
      </c>
      <c r="I315" s="153">
        <v>0</v>
      </c>
      <c r="J315" s="157" t="e">
        <f t="shared" si="15"/>
        <v>#REF!</v>
      </c>
      <c r="K315" s="153"/>
      <c r="L315" s="197"/>
    </row>
    <row r="316" spans="1:12" s="158" customFormat="1" ht="17">
      <c r="A316" s="161">
        <v>307</v>
      </c>
      <c r="B316" s="152" t="s">
        <v>283</v>
      </c>
      <c r="C316" s="151" t="e">
        <f>VLOOKUP(B316,#REF!,2,0)</f>
        <v>#REF!</v>
      </c>
      <c r="D316" s="153" t="e">
        <f>+VLOOKUP(B316,#REF!,6,0)</f>
        <v>#REF!</v>
      </c>
      <c r="E316" s="154">
        <v>9153000</v>
      </c>
      <c r="F316" s="154" t="e">
        <f>+VLOOKUP(B316,#REF!,149,0)</f>
        <v>#REF!</v>
      </c>
      <c r="G316" s="155" t="e">
        <f t="shared" si="14"/>
        <v>#REF!</v>
      </c>
      <c r="H316" s="156" t="e">
        <f t="shared" si="13"/>
        <v>#REF!</v>
      </c>
      <c r="I316" s="153">
        <v>0</v>
      </c>
      <c r="J316" s="157" t="e">
        <f t="shared" si="15"/>
        <v>#REF!</v>
      </c>
      <c r="K316" s="153"/>
      <c r="L316" s="197"/>
    </row>
    <row r="317" spans="1:12" s="158" customFormat="1" ht="17">
      <c r="A317" s="161">
        <v>308</v>
      </c>
      <c r="B317" s="152" t="s">
        <v>308</v>
      </c>
      <c r="C317" s="151" t="e">
        <f>VLOOKUP(B317,#REF!,2,0)</f>
        <v>#REF!</v>
      </c>
      <c r="D317" s="153" t="e">
        <f>+VLOOKUP(B317,#REF!,6,0)</f>
        <v>#REF!</v>
      </c>
      <c r="E317" s="154">
        <v>9210000</v>
      </c>
      <c r="F317" s="154" t="e">
        <f>+VLOOKUP(B317,#REF!,149,0)</f>
        <v>#REF!</v>
      </c>
      <c r="G317" s="155" t="e">
        <f t="shared" si="14"/>
        <v>#REF!</v>
      </c>
      <c r="H317" s="156" t="e">
        <f t="shared" si="13"/>
        <v>#REF!</v>
      </c>
      <c r="I317" s="153">
        <v>0</v>
      </c>
      <c r="J317" s="157" t="e">
        <f t="shared" si="15"/>
        <v>#REF!</v>
      </c>
      <c r="K317" s="153"/>
      <c r="L317" s="197"/>
    </row>
    <row r="318" spans="1:12" s="158" customFormat="1" ht="17">
      <c r="A318" s="161">
        <v>309</v>
      </c>
      <c r="B318" s="170" t="s">
        <v>412</v>
      </c>
      <c r="C318" s="151" t="e">
        <f>VLOOKUP(B318,#REF!,2,0)</f>
        <v>#REF!</v>
      </c>
      <c r="D318" s="153" t="e">
        <f>+VLOOKUP(B318,#REF!,6,0)</f>
        <v>#REF!</v>
      </c>
      <c r="E318" s="154">
        <v>4775000</v>
      </c>
      <c r="F318" s="154" t="e">
        <f>+VLOOKUP(B318,#REF!,149,0)</f>
        <v>#REF!</v>
      </c>
      <c r="G318" s="155" t="e">
        <f t="shared" si="14"/>
        <v>#REF!</v>
      </c>
      <c r="H318" s="156" t="e">
        <f t="shared" si="13"/>
        <v>#REF!</v>
      </c>
      <c r="I318" s="153">
        <v>0</v>
      </c>
      <c r="J318" s="157" t="e">
        <f t="shared" si="15"/>
        <v>#REF!</v>
      </c>
      <c r="K318" s="153"/>
      <c r="L318" s="197"/>
    </row>
    <row r="319" spans="1:12" s="158" customFormat="1" ht="17">
      <c r="A319" s="161">
        <v>310</v>
      </c>
      <c r="B319" s="170" t="s">
        <v>413</v>
      </c>
      <c r="C319" s="151" t="e">
        <f>VLOOKUP(B319,#REF!,2,0)</f>
        <v>#REF!</v>
      </c>
      <c r="D319" s="153" t="e">
        <f>+VLOOKUP(B319,#REF!,6,0)</f>
        <v>#REF!</v>
      </c>
      <c r="E319" s="154">
        <v>7888000</v>
      </c>
      <c r="F319" s="154" t="e">
        <f>+VLOOKUP(B319,#REF!,149,0)</f>
        <v>#REF!</v>
      </c>
      <c r="G319" s="155" t="e">
        <f t="shared" si="14"/>
        <v>#REF!</v>
      </c>
      <c r="H319" s="156" t="e">
        <f t="shared" si="13"/>
        <v>#REF!</v>
      </c>
      <c r="I319" s="153">
        <v>0</v>
      </c>
      <c r="J319" s="157" t="e">
        <f t="shared" si="15"/>
        <v>#REF!</v>
      </c>
      <c r="K319" s="153"/>
      <c r="L319" s="197"/>
    </row>
    <row r="320" spans="1:12" s="158" customFormat="1" ht="17">
      <c r="A320" s="161">
        <v>311</v>
      </c>
      <c r="B320" s="159" t="s">
        <v>432</v>
      </c>
      <c r="C320" s="151" t="e">
        <f>VLOOKUP(B320,#REF!,2,0)</f>
        <v>#REF!</v>
      </c>
      <c r="D320" s="153" t="e">
        <f>+VLOOKUP(B320,#REF!,6,0)</f>
        <v>#REF!</v>
      </c>
      <c r="E320" s="154">
        <v>7625000</v>
      </c>
      <c r="F320" s="154" t="e">
        <f>+VLOOKUP(B320,#REF!,149,0)</f>
        <v>#REF!</v>
      </c>
      <c r="G320" s="155" t="e">
        <f t="shared" si="14"/>
        <v>#REF!</v>
      </c>
      <c r="H320" s="156" t="e">
        <f t="shared" si="13"/>
        <v>#REF!</v>
      </c>
      <c r="I320" s="153">
        <v>0</v>
      </c>
      <c r="J320" s="157" t="e">
        <f t="shared" si="15"/>
        <v>#REF!</v>
      </c>
      <c r="K320" s="153"/>
      <c r="L320" s="197"/>
    </row>
    <row r="321" spans="1:12" s="158" customFormat="1" ht="17">
      <c r="A321" s="161">
        <v>312</v>
      </c>
      <c r="B321" s="152" t="s">
        <v>146</v>
      </c>
      <c r="C321" s="151" t="e">
        <f>VLOOKUP(B321,#REF!,2,0)</f>
        <v>#REF!</v>
      </c>
      <c r="D321" s="153" t="e">
        <f>+VLOOKUP(B321,#REF!,6,0)</f>
        <v>#REF!</v>
      </c>
      <c r="E321" s="154">
        <v>9955000</v>
      </c>
      <c r="F321" s="154" t="e">
        <f>+VLOOKUP(B321,#REF!,149,0)</f>
        <v>#REF!</v>
      </c>
      <c r="G321" s="155" t="e">
        <f t="shared" si="14"/>
        <v>#REF!</v>
      </c>
      <c r="H321" s="156" t="e">
        <f t="shared" si="13"/>
        <v>#REF!</v>
      </c>
      <c r="I321" s="153">
        <v>0</v>
      </c>
      <c r="J321" s="157" t="e">
        <f t="shared" si="15"/>
        <v>#REF!</v>
      </c>
      <c r="K321" s="153"/>
      <c r="L321" s="197"/>
    </row>
    <row r="322" spans="1:12" s="158" customFormat="1" ht="17">
      <c r="A322" s="161">
        <v>313</v>
      </c>
      <c r="B322" s="152" t="s">
        <v>261</v>
      </c>
      <c r="C322" s="151" t="e">
        <f>VLOOKUP(B322,#REF!,2,0)</f>
        <v>#REF!</v>
      </c>
      <c r="D322" s="153" t="e">
        <f>+VLOOKUP(B322,#REF!,6,0)</f>
        <v>#REF!</v>
      </c>
      <c r="E322" s="154">
        <v>7202000</v>
      </c>
      <c r="F322" s="154" t="e">
        <f>+VLOOKUP(B322,#REF!,149,0)</f>
        <v>#REF!</v>
      </c>
      <c r="G322" s="155" t="e">
        <f t="shared" si="14"/>
        <v>#REF!</v>
      </c>
      <c r="H322" s="156" t="e">
        <f t="shared" si="13"/>
        <v>#REF!</v>
      </c>
      <c r="I322" s="153">
        <v>0</v>
      </c>
      <c r="J322" s="157" t="e">
        <f t="shared" si="15"/>
        <v>#REF!</v>
      </c>
      <c r="K322" s="153"/>
      <c r="L322" s="197"/>
    </row>
    <row r="323" spans="1:12" s="158" customFormat="1" ht="17">
      <c r="A323" s="161">
        <v>314</v>
      </c>
      <c r="B323" s="152" t="s">
        <v>148</v>
      </c>
      <c r="C323" s="151" t="e">
        <f>VLOOKUP(B323,#REF!,2,0)</f>
        <v>#REF!</v>
      </c>
      <c r="D323" s="153" t="e">
        <f>+VLOOKUP(B323,#REF!,6,0)</f>
        <v>#REF!</v>
      </c>
      <c r="E323" s="154">
        <v>9370000</v>
      </c>
      <c r="F323" s="154" t="e">
        <f>+VLOOKUP(B323,#REF!,149,0)</f>
        <v>#REF!</v>
      </c>
      <c r="G323" s="155" t="e">
        <f t="shared" si="14"/>
        <v>#REF!</v>
      </c>
      <c r="H323" s="156" t="e">
        <f t="shared" ref="H323:H346" si="16">+ROUND(G323*50,0)</f>
        <v>#REF!</v>
      </c>
      <c r="I323" s="153">
        <v>0</v>
      </c>
      <c r="J323" s="157" t="e">
        <f t="shared" si="15"/>
        <v>#REF!</v>
      </c>
      <c r="K323" s="153"/>
      <c r="L323" s="197"/>
    </row>
    <row r="324" spans="1:12" s="158" customFormat="1" ht="17">
      <c r="A324" s="161">
        <v>315</v>
      </c>
      <c r="B324" s="152" t="s">
        <v>147</v>
      </c>
      <c r="C324" s="151" t="e">
        <f>VLOOKUP(B324,#REF!,2,0)</f>
        <v>#REF!</v>
      </c>
      <c r="D324" s="153" t="e">
        <f>+VLOOKUP(B324,#REF!,6,0)</f>
        <v>#REF!</v>
      </c>
      <c r="E324" s="154">
        <v>8970000</v>
      </c>
      <c r="F324" s="154" t="e">
        <f>+VLOOKUP(B324,#REF!,149,0)</f>
        <v>#REF!</v>
      </c>
      <c r="G324" s="155" t="e">
        <f t="shared" ref="G324:G346" si="17">+F324/E324</f>
        <v>#REF!</v>
      </c>
      <c r="H324" s="156" t="e">
        <f t="shared" si="16"/>
        <v>#REF!</v>
      </c>
      <c r="I324" s="153">
        <v>0</v>
      </c>
      <c r="J324" s="157" t="e">
        <f t="shared" si="15"/>
        <v>#REF!</v>
      </c>
      <c r="K324" s="153"/>
      <c r="L324" s="197"/>
    </row>
    <row r="325" spans="1:12" s="158" customFormat="1" ht="17">
      <c r="A325" s="161">
        <v>316</v>
      </c>
      <c r="B325" s="152" t="s">
        <v>173</v>
      </c>
      <c r="C325" s="151" t="e">
        <f>VLOOKUP(B325,#REF!,2,0)</f>
        <v>#REF!</v>
      </c>
      <c r="D325" s="153" t="e">
        <f>+VLOOKUP(B325,#REF!,6,0)</f>
        <v>#REF!</v>
      </c>
      <c r="E325" s="154">
        <v>8979000</v>
      </c>
      <c r="F325" s="154" t="e">
        <f>+VLOOKUP(B325,#REF!,149,0)</f>
        <v>#REF!</v>
      </c>
      <c r="G325" s="155" t="e">
        <f t="shared" si="17"/>
        <v>#REF!</v>
      </c>
      <c r="H325" s="156" t="e">
        <f t="shared" si="16"/>
        <v>#REF!</v>
      </c>
      <c r="I325" s="153">
        <v>0</v>
      </c>
      <c r="J325" s="157" t="e">
        <f t="shared" si="15"/>
        <v>#REF!</v>
      </c>
      <c r="K325" s="153"/>
      <c r="L325" s="197"/>
    </row>
    <row r="326" spans="1:12" s="158" customFormat="1" ht="17">
      <c r="A326" s="161">
        <v>317</v>
      </c>
      <c r="B326" s="152" t="s">
        <v>150</v>
      </c>
      <c r="C326" s="151" t="e">
        <f>VLOOKUP(B326,#REF!,2,0)</f>
        <v>#REF!</v>
      </c>
      <c r="D326" s="153" t="e">
        <f>+VLOOKUP(B326,#REF!,6,0)</f>
        <v>#REF!</v>
      </c>
      <c r="E326" s="154">
        <v>9163000</v>
      </c>
      <c r="F326" s="154" t="e">
        <f>+VLOOKUP(B326,#REF!,149,0)</f>
        <v>#REF!</v>
      </c>
      <c r="G326" s="155" t="e">
        <f t="shared" si="17"/>
        <v>#REF!</v>
      </c>
      <c r="H326" s="156" t="e">
        <f t="shared" si="16"/>
        <v>#REF!</v>
      </c>
      <c r="I326" s="153">
        <v>0</v>
      </c>
      <c r="J326" s="157" t="e">
        <f t="shared" si="15"/>
        <v>#REF!</v>
      </c>
      <c r="K326" s="153"/>
      <c r="L326" s="197"/>
    </row>
    <row r="327" spans="1:12" s="158" customFormat="1" ht="17">
      <c r="A327" s="161">
        <v>318</v>
      </c>
      <c r="B327" s="152" t="s">
        <v>153</v>
      </c>
      <c r="C327" s="151" t="e">
        <f>VLOOKUP(B327,#REF!,2,0)</f>
        <v>#REF!</v>
      </c>
      <c r="D327" s="153" t="e">
        <f>+VLOOKUP(B327,#REF!,6,0)</f>
        <v>#REF!</v>
      </c>
      <c r="E327" s="154">
        <v>9163000</v>
      </c>
      <c r="F327" s="154" t="e">
        <f>+VLOOKUP(B327,#REF!,149,0)</f>
        <v>#REF!</v>
      </c>
      <c r="G327" s="155" t="e">
        <f t="shared" si="17"/>
        <v>#REF!</v>
      </c>
      <c r="H327" s="156" t="e">
        <f t="shared" si="16"/>
        <v>#REF!</v>
      </c>
      <c r="I327" s="153">
        <v>0</v>
      </c>
      <c r="J327" s="157" t="e">
        <f t="shared" si="15"/>
        <v>#REF!</v>
      </c>
      <c r="K327" s="153"/>
      <c r="L327" s="197"/>
    </row>
    <row r="328" spans="1:12" s="158" customFormat="1" ht="17">
      <c r="A328" s="161">
        <v>319</v>
      </c>
      <c r="B328" s="152" t="s">
        <v>152</v>
      </c>
      <c r="C328" s="151" t="e">
        <f>VLOOKUP(B328,#REF!,2,0)</f>
        <v>#REF!</v>
      </c>
      <c r="D328" s="153" t="e">
        <f>+VLOOKUP(B328,#REF!,6,0)</f>
        <v>#REF!</v>
      </c>
      <c r="E328" s="154">
        <v>8863000</v>
      </c>
      <c r="F328" s="154" t="e">
        <f>+VLOOKUP(B328,#REF!,149,0)</f>
        <v>#REF!</v>
      </c>
      <c r="G328" s="155" t="e">
        <f t="shared" si="17"/>
        <v>#REF!</v>
      </c>
      <c r="H328" s="156" t="e">
        <f t="shared" si="16"/>
        <v>#REF!</v>
      </c>
      <c r="I328" s="153">
        <v>0</v>
      </c>
      <c r="J328" s="157" t="e">
        <f t="shared" si="15"/>
        <v>#REF!</v>
      </c>
      <c r="K328" s="153"/>
      <c r="L328" s="197"/>
    </row>
    <row r="329" spans="1:12" s="180" customFormat="1" ht="17">
      <c r="A329" s="172">
        <v>320</v>
      </c>
      <c r="B329" s="173" t="s">
        <v>211</v>
      </c>
      <c r="C329" s="174" t="e">
        <f>VLOOKUP(B329,#REF!,2,0)</f>
        <v>#REF!</v>
      </c>
      <c r="D329" s="175" t="e">
        <f>+VLOOKUP(B329,#REF!,6,0)</f>
        <v>#REF!</v>
      </c>
      <c r="E329" s="176">
        <v>449000</v>
      </c>
      <c r="F329" s="176" t="e">
        <f>+VLOOKUP(B329,#REF!,149,0)</f>
        <v>#REF!</v>
      </c>
      <c r="G329" s="177" t="e">
        <f t="shared" si="17"/>
        <v>#REF!</v>
      </c>
      <c r="H329" s="178" t="e">
        <f t="shared" si="16"/>
        <v>#REF!</v>
      </c>
      <c r="I329" s="175">
        <v>0</v>
      </c>
      <c r="J329" s="179" t="e">
        <f t="shared" si="15"/>
        <v>#REF!</v>
      </c>
      <c r="K329" s="175"/>
    </row>
    <row r="330" spans="1:12" s="158" customFormat="1" ht="17">
      <c r="A330" s="161">
        <v>321</v>
      </c>
      <c r="B330" s="152" t="s">
        <v>154</v>
      </c>
      <c r="C330" s="151" t="e">
        <f>VLOOKUP(B330,#REF!,2,0)</f>
        <v>#REF!</v>
      </c>
      <c r="D330" s="153" t="e">
        <f>+VLOOKUP(B330,#REF!,6,0)</f>
        <v>#REF!</v>
      </c>
      <c r="E330" s="154">
        <v>9163000</v>
      </c>
      <c r="F330" s="154" t="e">
        <f>+VLOOKUP(B330,#REF!,149,0)</f>
        <v>#REF!</v>
      </c>
      <c r="G330" s="155" t="e">
        <f t="shared" si="17"/>
        <v>#REF!</v>
      </c>
      <c r="H330" s="156" t="e">
        <f t="shared" si="16"/>
        <v>#REF!</v>
      </c>
      <c r="I330" s="153">
        <v>0</v>
      </c>
      <c r="J330" s="157" t="e">
        <f t="shared" si="15"/>
        <v>#REF!</v>
      </c>
      <c r="K330" s="153"/>
      <c r="L330" s="197"/>
    </row>
    <row r="331" spans="1:12" s="158" customFormat="1" ht="17">
      <c r="A331" s="161">
        <v>322</v>
      </c>
      <c r="B331" s="152" t="s">
        <v>220</v>
      </c>
      <c r="C331" s="151" t="e">
        <f>VLOOKUP(B331,#REF!,2,0)</f>
        <v>#REF!</v>
      </c>
      <c r="D331" s="153" t="e">
        <f>+VLOOKUP(B331,#REF!,6,0)</f>
        <v>#REF!</v>
      </c>
      <c r="E331" s="154">
        <v>8953000</v>
      </c>
      <c r="F331" s="154" t="e">
        <f>+VLOOKUP(B331,#REF!,149,0)</f>
        <v>#REF!</v>
      </c>
      <c r="G331" s="155" t="e">
        <f t="shared" si="17"/>
        <v>#REF!</v>
      </c>
      <c r="H331" s="156" t="e">
        <f t="shared" si="16"/>
        <v>#REF!</v>
      </c>
      <c r="I331" s="153">
        <v>0</v>
      </c>
      <c r="J331" s="157" t="e">
        <f t="shared" si="15"/>
        <v>#REF!</v>
      </c>
      <c r="K331" s="153"/>
      <c r="L331" s="197"/>
    </row>
    <row r="332" spans="1:12" s="158" customFormat="1" ht="17">
      <c r="A332" s="161">
        <v>323</v>
      </c>
      <c r="B332" s="152" t="s">
        <v>221</v>
      </c>
      <c r="C332" s="151" t="e">
        <f>VLOOKUP(B332,#REF!,2,0)</f>
        <v>#REF!</v>
      </c>
      <c r="D332" s="153" t="e">
        <f>+VLOOKUP(B332,#REF!,6,0)</f>
        <v>#REF!</v>
      </c>
      <c r="E332" s="154">
        <v>9353000</v>
      </c>
      <c r="F332" s="154" t="e">
        <f>+VLOOKUP(B332,#REF!,149,0)</f>
        <v>#REF!</v>
      </c>
      <c r="G332" s="155" t="e">
        <f t="shared" si="17"/>
        <v>#REF!</v>
      </c>
      <c r="H332" s="156" t="e">
        <f t="shared" si="16"/>
        <v>#REF!</v>
      </c>
      <c r="I332" s="153">
        <v>0</v>
      </c>
      <c r="J332" s="157" t="e">
        <f t="shared" si="15"/>
        <v>#REF!</v>
      </c>
      <c r="K332" s="153"/>
      <c r="L332" s="197"/>
    </row>
    <row r="333" spans="1:12" s="158" customFormat="1" ht="17">
      <c r="A333" s="161">
        <v>324</v>
      </c>
      <c r="B333" s="152" t="s">
        <v>222</v>
      </c>
      <c r="C333" s="151" t="e">
        <f>VLOOKUP(B333,#REF!,2,0)</f>
        <v>#REF!</v>
      </c>
      <c r="D333" s="153" t="e">
        <f>+VLOOKUP(B333,#REF!,6,0)</f>
        <v>#REF!</v>
      </c>
      <c r="E333" s="154">
        <v>9353000</v>
      </c>
      <c r="F333" s="154" t="e">
        <f>+VLOOKUP(B333,#REF!,149,0)</f>
        <v>#REF!</v>
      </c>
      <c r="G333" s="155" t="e">
        <f t="shared" si="17"/>
        <v>#REF!</v>
      </c>
      <c r="H333" s="156" t="e">
        <f t="shared" si="16"/>
        <v>#REF!</v>
      </c>
      <c r="I333" s="153">
        <v>0</v>
      </c>
      <c r="J333" s="157" t="e">
        <f t="shared" ref="J333:J346" si="18">+F333-E333+I333</f>
        <v>#REF!</v>
      </c>
      <c r="K333" s="153"/>
      <c r="L333" s="197"/>
    </row>
    <row r="334" spans="1:12" s="158" customFormat="1" ht="17">
      <c r="A334" s="161">
        <v>325</v>
      </c>
      <c r="B334" s="152" t="s">
        <v>223</v>
      </c>
      <c r="C334" s="151" t="e">
        <f>VLOOKUP(B334,#REF!,2,0)</f>
        <v>#REF!</v>
      </c>
      <c r="D334" s="153" t="e">
        <f>+VLOOKUP(B334,#REF!,6,0)</f>
        <v>#REF!</v>
      </c>
      <c r="E334" s="154">
        <v>8871000</v>
      </c>
      <c r="F334" s="154" t="e">
        <f>+VLOOKUP(B334,#REF!,149,0)</f>
        <v>#REF!</v>
      </c>
      <c r="G334" s="155" t="e">
        <f t="shared" si="17"/>
        <v>#REF!</v>
      </c>
      <c r="H334" s="156" t="e">
        <f t="shared" si="16"/>
        <v>#REF!</v>
      </c>
      <c r="I334" s="153">
        <v>0</v>
      </c>
      <c r="J334" s="157" t="e">
        <f t="shared" si="18"/>
        <v>#REF!</v>
      </c>
      <c r="K334" s="153"/>
      <c r="L334" s="197"/>
    </row>
    <row r="335" spans="1:12" s="158" customFormat="1" ht="17">
      <c r="A335" s="161">
        <v>326</v>
      </c>
      <c r="B335" s="152" t="s">
        <v>149</v>
      </c>
      <c r="C335" s="151" t="e">
        <f>VLOOKUP(B335,#REF!,2,0)</f>
        <v>#REF!</v>
      </c>
      <c r="D335" s="153" t="e">
        <f>+VLOOKUP(B335,#REF!,6,0)</f>
        <v>#REF!</v>
      </c>
      <c r="E335" s="154">
        <v>8780000</v>
      </c>
      <c r="F335" s="154" t="e">
        <f>+VLOOKUP(B335,#REF!,149,0)</f>
        <v>#REF!</v>
      </c>
      <c r="G335" s="155" t="e">
        <f t="shared" si="17"/>
        <v>#REF!</v>
      </c>
      <c r="H335" s="156" t="e">
        <f t="shared" si="16"/>
        <v>#REF!</v>
      </c>
      <c r="I335" s="153">
        <v>0</v>
      </c>
      <c r="J335" s="157" t="e">
        <f t="shared" si="18"/>
        <v>#REF!</v>
      </c>
      <c r="K335" s="153"/>
      <c r="L335" s="197"/>
    </row>
    <row r="336" spans="1:12" s="158" customFormat="1" ht="17">
      <c r="A336" s="161">
        <v>327</v>
      </c>
      <c r="B336" s="152" t="s">
        <v>217</v>
      </c>
      <c r="C336" s="151" t="e">
        <f>VLOOKUP(B336,#REF!,2,0)</f>
        <v>#REF!</v>
      </c>
      <c r="D336" s="153" t="e">
        <f>+VLOOKUP(B336,#REF!,6,0)</f>
        <v>#REF!</v>
      </c>
      <c r="E336" s="154">
        <v>9140000</v>
      </c>
      <c r="F336" s="154" t="e">
        <f>+VLOOKUP(B336,#REF!,149,0)</f>
        <v>#REF!</v>
      </c>
      <c r="G336" s="155" t="e">
        <f t="shared" si="17"/>
        <v>#REF!</v>
      </c>
      <c r="H336" s="156" t="e">
        <f t="shared" si="16"/>
        <v>#REF!</v>
      </c>
      <c r="I336" s="153">
        <v>0</v>
      </c>
      <c r="J336" s="157" t="e">
        <f t="shared" si="18"/>
        <v>#REF!</v>
      </c>
      <c r="K336" s="153"/>
      <c r="L336" s="197"/>
    </row>
    <row r="337" spans="1:12" s="158" customFormat="1" ht="17">
      <c r="A337" s="161">
        <v>328</v>
      </c>
      <c r="B337" s="152" t="s">
        <v>210</v>
      </c>
      <c r="C337" s="151" t="e">
        <f>VLOOKUP(B337,#REF!,2,0)</f>
        <v>#REF!</v>
      </c>
      <c r="D337" s="153" t="e">
        <f>+VLOOKUP(B337,#REF!,6,0)</f>
        <v>#REF!</v>
      </c>
      <c r="E337" s="154">
        <v>9140000</v>
      </c>
      <c r="F337" s="154" t="e">
        <f>+VLOOKUP(B337,#REF!,149,0)</f>
        <v>#REF!</v>
      </c>
      <c r="G337" s="155" t="e">
        <f t="shared" si="17"/>
        <v>#REF!</v>
      </c>
      <c r="H337" s="156" t="e">
        <f t="shared" si="16"/>
        <v>#REF!</v>
      </c>
      <c r="I337" s="153">
        <v>0</v>
      </c>
      <c r="J337" s="157" t="e">
        <f t="shared" si="18"/>
        <v>#REF!</v>
      </c>
      <c r="K337" s="153"/>
      <c r="L337" s="197"/>
    </row>
    <row r="338" spans="1:12" s="158" customFormat="1" ht="17">
      <c r="A338" s="161">
        <v>329</v>
      </c>
      <c r="B338" s="152" t="s">
        <v>156</v>
      </c>
      <c r="C338" s="151" t="e">
        <f>VLOOKUP(B338,#REF!,2,0)</f>
        <v>#REF!</v>
      </c>
      <c r="D338" s="153" t="e">
        <f>+VLOOKUP(B338,#REF!,6,0)</f>
        <v>#REF!</v>
      </c>
      <c r="E338" s="154">
        <v>8152000</v>
      </c>
      <c r="F338" s="154" t="e">
        <f>+VLOOKUP(B338,#REF!,149,0)</f>
        <v>#REF!</v>
      </c>
      <c r="G338" s="155" t="e">
        <f t="shared" si="17"/>
        <v>#REF!</v>
      </c>
      <c r="H338" s="156" t="e">
        <f t="shared" si="16"/>
        <v>#REF!</v>
      </c>
      <c r="I338" s="153">
        <v>0</v>
      </c>
      <c r="J338" s="157" t="e">
        <f t="shared" si="18"/>
        <v>#REF!</v>
      </c>
      <c r="K338" s="153"/>
      <c r="L338" s="197"/>
    </row>
    <row r="339" spans="1:12" s="158" customFormat="1" ht="17">
      <c r="A339" s="161">
        <v>330</v>
      </c>
      <c r="B339" s="152" t="s">
        <v>287</v>
      </c>
      <c r="C339" s="151" t="e">
        <f>VLOOKUP(B339,#REF!,2,0)</f>
        <v>#REF!</v>
      </c>
      <c r="D339" s="153" t="e">
        <f>+VLOOKUP(B339,#REF!,6,0)</f>
        <v>#REF!</v>
      </c>
      <c r="E339" s="154">
        <v>9762000</v>
      </c>
      <c r="F339" s="154" t="e">
        <f>+VLOOKUP(B339,#REF!,149,0)</f>
        <v>#REF!</v>
      </c>
      <c r="G339" s="155" t="e">
        <f t="shared" si="17"/>
        <v>#REF!</v>
      </c>
      <c r="H339" s="156" t="e">
        <f t="shared" si="16"/>
        <v>#REF!</v>
      </c>
      <c r="I339" s="153">
        <v>0</v>
      </c>
      <c r="J339" s="157" t="e">
        <f t="shared" si="18"/>
        <v>#REF!</v>
      </c>
      <c r="K339" s="153"/>
      <c r="L339" s="197"/>
    </row>
    <row r="340" spans="1:12" s="158" customFormat="1" ht="17">
      <c r="A340" s="161">
        <v>331</v>
      </c>
      <c r="B340" s="159" t="s">
        <v>323</v>
      </c>
      <c r="C340" s="151" t="e">
        <f>VLOOKUP(B340,#REF!,2,0)</f>
        <v>#REF!</v>
      </c>
      <c r="D340" s="153" t="e">
        <f>+VLOOKUP(B340,#REF!,6,0)</f>
        <v>#REF!</v>
      </c>
      <c r="E340" s="154">
        <v>9762000</v>
      </c>
      <c r="F340" s="154" t="e">
        <f>+VLOOKUP(B340,#REF!,149,0)</f>
        <v>#REF!</v>
      </c>
      <c r="G340" s="155" t="e">
        <f t="shared" si="17"/>
        <v>#REF!</v>
      </c>
      <c r="H340" s="156" t="e">
        <f t="shared" si="16"/>
        <v>#REF!</v>
      </c>
      <c r="I340" s="153">
        <v>0</v>
      </c>
      <c r="J340" s="157" t="e">
        <f t="shared" si="18"/>
        <v>#REF!</v>
      </c>
      <c r="K340" s="153"/>
      <c r="L340" s="197"/>
    </row>
    <row r="341" spans="1:12" s="158" customFormat="1" ht="17">
      <c r="A341" s="161">
        <v>332</v>
      </c>
      <c r="B341" s="152" t="s">
        <v>322</v>
      </c>
      <c r="C341" s="151" t="e">
        <f>VLOOKUP(B341,#REF!,2,0)</f>
        <v>#REF!</v>
      </c>
      <c r="D341" s="153" t="e">
        <f>+VLOOKUP(B341,#REF!,6,0)</f>
        <v>#REF!</v>
      </c>
      <c r="E341" s="154">
        <v>9762000</v>
      </c>
      <c r="F341" s="154" t="e">
        <f>+VLOOKUP(B341,#REF!,149,0)</f>
        <v>#REF!</v>
      </c>
      <c r="G341" s="155" t="e">
        <f t="shared" si="17"/>
        <v>#REF!</v>
      </c>
      <c r="H341" s="156" t="e">
        <f t="shared" si="16"/>
        <v>#REF!</v>
      </c>
      <c r="I341" s="153">
        <v>0</v>
      </c>
      <c r="J341" s="157" t="e">
        <f t="shared" si="18"/>
        <v>#REF!</v>
      </c>
      <c r="K341" s="153"/>
      <c r="L341" s="197"/>
    </row>
    <row r="342" spans="1:12" s="158" customFormat="1" ht="17">
      <c r="A342" s="161">
        <v>333</v>
      </c>
      <c r="B342" s="152" t="s">
        <v>160</v>
      </c>
      <c r="C342" s="151" t="e">
        <f>VLOOKUP(B342,#REF!,2,0)</f>
        <v>#REF!</v>
      </c>
      <c r="D342" s="153" t="e">
        <f>+VLOOKUP(B342,#REF!,6,0)</f>
        <v>#REF!</v>
      </c>
      <c r="E342" s="154">
        <v>9531000</v>
      </c>
      <c r="F342" s="154" t="e">
        <f>+VLOOKUP(B342,#REF!,149,0)</f>
        <v>#REF!</v>
      </c>
      <c r="G342" s="155" t="e">
        <f t="shared" si="17"/>
        <v>#REF!</v>
      </c>
      <c r="H342" s="156" t="e">
        <f t="shared" si="16"/>
        <v>#REF!</v>
      </c>
      <c r="I342" s="153">
        <v>0</v>
      </c>
      <c r="J342" s="157" t="e">
        <f t="shared" si="18"/>
        <v>#REF!</v>
      </c>
      <c r="K342" s="153"/>
      <c r="L342" s="197"/>
    </row>
    <row r="343" spans="1:12" s="158" customFormat="1" ht="17">
      <c r="A343" s="161">
        <v>334</v>
      </c>
      <c r="B343" s="152" t="s">
        <v>286</v>
      </c>
      <c r="C343" s="151" t="e">
        <f>VLOOKUP(B343,#REF!,2,0)</f>
        <v>#REF!</v>
      </c>
      <c r="D343" s="153" t="e">
        <f>+VLOOKUP(B343,#REF!,6,0)</f>
        <v>#REF!</v>
      </c>
      <c r="E343" s="154">
        <v>7120000</v>
      </c>
      <c r="F343" s="154" t="e">
        <f>+VLOOKUP(B343,#REF!,149,0)</f>
        <v>#REF!</v>
      </c>
      <c r="G343" s="155" t="e">
        <f t="shared" si="17"/>
        <v>#REF!</v>
      </c>
      <c r="H343" s="156" t="e">
        <f t="shared" si="16"/>
        <v>#REF!</v>
      </c>
      <c r="I343" s="153">
        <v>0</v>
      </c>
      <c r="J343" s="157" t="e">
        <f t="shared" si="18"/>
        <v>#REF!</v>
      </c>
      <c r="K343" s="153"/>
      <c r="L343" s="197"/>
    </row>
    <row r="344" spans="1:12" s="158" customFormat="1" ht="17">
      <c r="A344" s="161">
        <v>335</v>
      </c>
      <c r="B344" s="152" t="s">
        <v>157</v>
      </c>
      <c r="C344" s="151" t="e">
        <f>VLOOKUP(B344,#REF!,2,0)</f>
        <v>#REF!</v>
      </c>
      <c r="D344" s="153" t="e">
        <f>+VLOOKUP(B344,#REF!,6,0)</f>
        <v>#REF!</v>
      </c>
      <c r="E344" s="154">
        <v>9762000</v>
      </c>
      <c r="F344" s="154" t="e">
        <f>+VLOOKUP(B344,#REF!,149,0)</f>
        <v>#REF!</v>
      </c>
      <c r="G344" s="155" t="e">
        <f t="shared" si="17"/>
        <v>#REF!</v>
      </c>
      <c r="H344" s="156" t="e">
        <f t="shared" si="16"/>
        <v>#REF!</v>
      </c>
      <c r="I344" s="153">
        <v>0</v>
      </c>
      <c r="J344" s="157" t="e">
        <f t="shared" si="18"/>
        <v>#REF!</v>
      </c>
      <c r="K344" s="153"/>
      <c r="L344" s="197"/>
    </row>
    <row r="345" spans="1:12" s="158" customFormat="1" ht="17">
      <c r="A345" s="161">
        <v>336</v>
      </c>
      <c r="B345" s="152" t="s">
        <v>189</v>
      </c>
      <c r="C345" s="151" t="e">
        <f>VLOOKUP(B345,#REF!,2,0)</f>
        <v>#REF!</v>
      </c>
      <c r="D345" s="153" t="e">
        <f>+VLOOKUP(B345,#REF!,6,0)</f>
        <v>#REF!</v>
      </c>
      <c r="E345" s="154">
        <v>9762000</v>
      </c>
      <c r="F345" s="154" t="e">
        <f>+VLOOKUP(B345,#REF!,149,0)</f>
        <v>#REF!</v>
      </c>
      <c r="G345" s="155" t="e">
        <f t="shared" si="17"/>
        <v>#REF!</v>
      </c>
      <c r="H345" s="156" t="e">
        <f t="shared" si="16"/>
        <v>#REF!</v>
      </c>
      <c r="I345" s="153">
        <v>0</v>
      </c>
      <c r="J345" s="157" t="e">
        <f t="shared" si="18"/>
        <v>#REF!</v>
      </c>
      <c r="K345" s="153"/>
      <c r="L345" s="197"/>
    </row>
    <row r="346" spans="1:12" s="158" customFormat="1" ht="17">
      <c r="A346" s="161">
        <v>337</v>
      </c>
      <c r="B346" s="152" t="s">
        <v>190</v>
      </c>
      <c r="C346" s="151" t="e">
        <f>VLOOKUP(B346,#REF!,2,0)</f>
        <v>#REF!</v>
      </c>
      <c r="D346" s="153" t="e">
        <f>+VLOOKUP(B346,#REF!,6,0)</f>
        <v>#REF!</v>
      </c>
      <c r="E346" s="154">
        <v>9531000</v>
      </c>
      <c r="F346" s="154" t="e">
        <f>+VLOOKUP(B346,#REF!,149,0)</f>
        <v>#REF!</v>
      </c>
      <c r="G346" s="155" t="e">
        <f t="shared" si="17"/>
        <v>#REF!</v>
      </c>
      <c r="H346" s="156" t="e">
        <f t="shared" si="16"/>
        <v>#REF!</v>
      </c>
      <c r="I346" s="153">
        <v>0</v>
      </c>
      <c r="J346" s="157" t="e">
        <f t="shared" si="18"/>
        <v>#REF!</v>
      </c>
      <c r="K346" s="153"/>
      <c r="L346" s="197"/>
    </row>
  </sheetData>
  <autoFilter ref="A2:N346" xr:uid="{5C7F67F6-A1DB-4523-A6F7-D78D510F41D8}"/>
  <mergeCells count="1">
    <mergeCell ref="A1:K1"/>
  </mergeCells>
  <conditionalFormatting sqref="A12:A22 A24:A346">
    <cfRule type="duplicateValues" dxfId="17" priority="1"/>
  </conditionalFormatting>
  <conditionalFormatting sqref="B3">
    <cfRule type="duplicateValues" dxfId="16" priority="5"/>
    <cfRule type="duplicateValues" dxfId="15" priority="6" stopIfTrue="1"/>
  </conditionalFormatting>
  <conditionalFormatting sqref="B3:B11">
    <cfRule type="duplicateValues" dxfId="14" priority="7"/>
  </conditionalFormatting>
  <conditionalFormatting sqref="B4:B11">
    <cfRule type="duplicateValues" dxfId="13" priority="8"/>
    <cfRule type="duplicateValues" dxfId="12" priority="9" stopIfTrue="1"/>
  </conditionalFormatting>
  <conditionalFormatting sqref="B12:B346">
    <cfRule type="duplicateValues" dxfId="11" priority="2"/>
    <cfRule type="duplicateValues" dxfId="10" priority="3"/>
    <cfRule type="duplicateValues" dxfId="9" priority="4" stopIfTrue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007C-037A-415F-BE7D-DBFE2F5B3978}">
  <dimension ref="A1:N345"/>
  <sheetViews>
    <sheetView workbookViewId="0">
      <pane xSplit="3" ySplit="3" topLeftCell="D119" activePane="bottomRight" state="frozen"/>
      <selection activeCell="F26" sqref="F26"/>
      <selection pane="topRight" activeCell="F26" sqref="F26"/>
      <selection pane="bottomLeft" activeCell="F26" sqref="F26"/>
      <selection pane="bottomRight" activeCell="G148" sqref="G148"/>
    </sheetView>
  </sheetViews>
  <sheetFormatPr baseColWidth="10" defaultColWidth="9.19921875" defaultRowHeight="15"/>
  <cols>
    <col min="1" max="1" width="4.796875" style="181" customWidth="1"/>
    <col min="2" max="2" width="39.19921875" style="139" customWidth="1"/>
    <col min="3" max="3" width="17.3984375" style="181" customWidth="1"/>
    <col min="4" max="4" width="10.3984375" style="139" bestFit="1" customWidth="1"/>
    <col min="5" max="5" width="17.796875" style="182" bestFit="1" customWidth="1"/>
    <col min="6" max="6" width="18.3984375" style="182" customWidth="1"/>
    <col min="7" max="8" width="9.3984375" style="139" bestFit="1" customWidth="1"/>
    <col min="9" max="9" width="11.19921875" style="139" customWidth="1"/>
    <col min="10" max="10" width="16.796875" style="139" bestFit="1" customWidth="1"/>
    <col min="11" max="11" width="9.19921875" style="139"/>
    <col min="12" max="12" width="53.19921875" style="195" customWidth="1"/>
    <col min="13" max="13" width="9.19921875" style="139"/>
    <col min="14" max="14" width="16.3984375" style="139" bestFit="1" customWidth="1"/>
    <col min="15" max="16384" width="9.19921875" style="139"/>
  </cols>
  <sheetData>
    <row r="1" spans="1:14">
      <c r="A1" s="327" t="s">
        <v>743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</row>
    <row r="2" spans="1:14" ht="32">
      <c r="A2" s="140" t="s">
        <v>0</v>
      </c>
      <c r="B2" s="141" t="s">
        <v>1</v>
      </c>
      <c r="C2" s="140" t="s">
        <v>473</v>
      </c>
      <c r="D2" s="141" t="s">
        <v>474</v>
      </c>
      <c r="E2" s="142" t="s">
        <v>475</v>
      </c>
      <c r="F2" s="142" t="s">
        <v>476</v>
      </c>
      <c r="G2" s="141" t="s">
        <v>477</v>
      </c>
      <c r="H2" s="141" t="s">
        <v>478</v>
      </c>
      <c r="I2" s="140" t="s">
        <v>479</v>
      </c>
      <c r="J2" s="141" t="s">
        <v>471</v>
      </c>
      <c r="K2" s="141" t="s">
        <v>480</v>
      </c>
    </row>
    <row r="3" spans="1:14" s="236" customFormat="1" ht="17">
      <c r="A3" s="230" t="s">
        <v>21</v>
      </c>
      <c r="B3" s="144" t="s">
        <v>347</v>
      </c>
      <c r="C3" s="230"/>
      <c r="D3" s="231"/>
      <c r="E3" s="232"/>
      <c r="F3" s="232"/>
      <c r="G3" s="233"/>
      <c r="H3" s="234"/>
      <c r="I3" s="231"/>
      <c r="J3" s="235"/>
      <c r="K3" s="231"/>
    </row>
    <row r="4" spans="1:14" s="242" customFormat="1" ht="17">
      <c r="A4" s="237">
        <v>1</v>
      </c>
      <c r="B4" s="152" t="s">
        <v>49</v>
      </c>
      <c r="C4" s="237">
        <v>8065303670</v>
      </c>
      <c r="D4" s="238" t="e">
        <f>VLOOKUP(C4,#REF!,7,0)</f>
        <v>#REF!</v>
      </c>
      <c r="E4" s="192" t="e">
        <f>VLOOKUP(C4,#REF!,128,0)</f>
        <v>#REF!</v>
      </c>
      <c r="F4" s="192" t="e">
        <f>+VLOOKUP(C4,#REF!,150,0)</f>
        <v>#REF!</v>
      </c>
      <c r="G4" s="239" t="e">
        <f>+F4/E4</f>
        <v>#REF!</v>
      </c>
      <c r="H4" s="240" t="e">
        <f>+ROUND(G4*50,0)</f>
        <v>#REF!</v>
      </c>
      <c r="I4" s="238">
        <v>0</v>
      </c>
      <c r="J4" s="241" t="e">
        <f t="shared" ref="J4:J9" si="0">+F4-E4+I4</f>
        <v>#REF!</v>
      </c>
      <c r="K4" s="238"/>
    </row>
    <row r="5" spans="1:14" s="242" customFormat="1" ht="17">
      <c r="A5" s="237">
        <v>2</v>
      </c>
      <c r="B5" s="152" t="s">
        <v>342</v>
      </c>
      <c r="C5" s="237" t="s">
        <v>343</v>
      </c>
      <c r="D5" s="238" t="e">
        <f>VLOOKUP(C5,#REF!,7,0)</f>
        <v>#REF!</v>
      </c>
      <c r="E5" s="192" t="e">
        <f>VLOOKUP(C5,#REF!,128,0)</f>
        <v>#REF!</v>
      </c>
      <c r="F5" s="192" t="e">
        <f>+VLOOKUP(C5,#REF!,150,0)</f>
        <v>#REF!</v>
      </c>
      <c r="G5" s="239" t="e">
        <f t="shared" ref="G5:G10" si="1">+F5/E5</f>
        <v>#REF!</v>
      </c>
      <c r="H5" s="240" t="e">
        <f t="shared" ref="H5:H53" si="2">+ROUND(G5*50,0)</f>
        <v>#REF!</v>
      </c>
      <c r="I5" s="238">
        <v>0</v>
      </c>
      <c r="J5" s="241" t="e">
        <f>+F5-E5+I5</f>
        <v>#REF!</v>
      </c>
      <c r="K5" s="238"/>
      <c r="N5" s="243" t="e">
        <f>+F5-E5</f>
        <v>#REF!</v>
      </c>
    </row>
    <row r="6" spans="1:14" s="242" customFormat="1" ht="17">
      <c r="A6" s="237">
        <v>3</v>
      </c>
      <c r="B6" s="152" t="s">
        <v>30</v>
      </c>
      <c r="C6" s="237">
        <v>8364573918</v>
      </c>
      <c r="D6" s="238" t="e">
        <f>VLOOKUP(C6,#REF!,7,0)</f>
        <v>#REF!</v>
      </c>
      <c r="E6" s="192" t="e">
        <f>VLOOKUP(C6,#REF!,128,0)</f>
        <v>#REF!</v>
      </c>
      <c r="F6" s="192" t="e">
        <f>+VLOOKUP(C6,#REF!,150,0)</f>
        <v>#REF!</v>
      </c>
      <c r="G6" s="239" t="e">
        <f t="shared" si="1"/>
        <v>#REF!</v>
      </c>
      <c r="H6" s="240" t="e">
        <f t="shared" si="2"/>
        <v>#REF!</v>
      </c>
      <c r="I6" s="238">
        <v>0</v>
      </c>
      <c r="J6" s="241" t="e">
        <f t="shared" si="0"/>
        <v>#REF!</v>
      </c>
      <c r="K6" s="238"/>
    </row>
    <row r="7" spans="1:14" s="242" customFormat="1" ht="17">
      <c r="A7" s="237">
        <v>4</v>
      </c>
      <c r="B7" s="152" t="s">
        <v>465</v>
      </c>
      <c r="C7" s="237">
        <v>8495799845</v>
      </c>
      <c r="D7" s="238" t="e">
        <f>VLOOKUP(C7,#REF!,7,0)</f>
        <v>#REF!</v>
      </c>
      <c r="E7" s="192" t="e">
        <f>VLOOKUP(C7,#REF!,128,0)</f>
        <v>#REF!</v>
      </c>
      <c r="F7" s="192" t="e">
        <f>+VLOOKUP(C7,#REF!,150,0)</f>
        <v>#REF!</v>
      </c>
      <c r="G7" s="239" t="e">
        <f t="shared" si="1"/>
        <v>#REF!</v>
      </c>
      <c r="H7" s="240" t="e">
        <f t="shared" si="2"/>
        <v>#REF!</v>
      </c>
      <c r="I7" s="238">
        <v>0</v>
      </c>
      <c r="J7" s="241" t="e">
        <f t="shared" si="0"/>
        <v>#REF!</v>
      </c>
      <c r="K7" s="238"/>
    </row>
    <row r="8" spans="1:14" s="242" customFormat="1" ht="17">
      <c r="A8" s="237">
        <v>5</v>
      </c>
      <c r="B8" s="152" t="s">
        <v>470</v>
      </c>
      <c r="C8" s="237">
        <v>8614221647</v>
      </c>
      <c r="D8" s="238" t="e">
        <f>VLOOKUP(C8,#REF!,7,0)</f>
        <v>#REF!</v>
      </c>
      <c r="E8" s="192" t="e">
        <f>VLOOKUP(C8,#REF!,128,0)</f>
        <v>#REF!</v>
      </c>
      <c r="F8" s="192" t="e">
        <f>+VLOOKUP(C8,#REF!,150,0)</f>
        <v>#REF!</v>
      </c>
      <c r="G8" s="239" t="e">
        <f t="shared" si="1"/>
        <v>#REF!</v>
      </c>
      <c r="H8" s="240" t="e">
        <f t="shared" si="2"/>
        <v>#REF!</v>
      </c>
      <c r="I8" s="238">
        <v>0</v>
      </c>
      <c r="J8" s="241" t="e">
        <f t="shared" si="0"/>
        <v>#REF!</v>
      </c>
      <c r="K8" s="238"/>
    </row>
    <row r="9" spans="1:14" s="242" customFormat="1" ht="17">
      <c r="A9" s="237">
        <v>6</v>
      </c>
      <c r="B9" s="152" t="s">
        <v>321</v>
      </c>
      <c r="C9" s="237">
        <v>8118873966</v>
      </c>
      <c r="D9" s="238" t="e">
        <f>VLOOKUP(C9,#REF!,7,0)</f>
        <v>#REF!</v>
      </c>
      <c r="E9" s="192" t="e">
        <f>VLOOKUP(C9,#REF!,128,0)</f>
        <v>#REF!</v>
      </c>
      <c r="F9" s="192" t="e">
        <f>+VLOOKUP(C9,#REF!,150,0)</f>
        <v>#REF!</v>
      </c>
      <c r="G9" s="239" t="e">
        <f t="shared" si="1"/>
        <v>#REF!</v>
      </c>
      <c r="H9" s="240" t="e">
        <f t="shared" si="2"/>
        <v>#REF!</v>
      </c>
      <c r="I9" s="238">
        <v>0</v>
      </c>
      <c r="J9" s="241" t="e">
        <f t="shared" si="0"/>
        <v>#REF!</v>
      </c>
      <c r="K9" s="238"/>
    </row>
    <row r="10" spans="1:14" s="242" customFormat="1" ht="17">
      <c r="A10" s="237">
        <v>7</v>
      </c>
      <c r="B10" s="152" t="s">
        <v>179</v>
      </c>
      <c r="C10" s="237">
        <v>8106976251</v>
      </c>
      <c r="D10" s="238" t="e">
        <f>VLOOKUP(C10,#REF!,7,0)</f>
        <v>#REF!</v>
      </c>
      <c r="E10" s="192" t="e">
        <f>VLOOKUP(C10,#REF!,128,0)</f>
        <v>#REF!</v>
      </c>
      <c r="F10" s="192" t="e">
        <f>+VLOOKUP(C10,#REF!,150,0)</f>
        <v>#REF!</v>
      </c>
      <c r="G10" s="239" t="e">
        <f t="shared" si="1"/>
        <v>#REF!</v>
      </c>
      <c r="H10" s="240"/>
      <c r="I10" s="238"/>
      <c r="J10" s="241"/>
      <c r="K10" s="238"/>
    </row>
    <row r="11" spans="1:14" s="242" customFormat="1" ht="17">
      <c r="A11" s="244" t="s">
        <v>22</v>
      </c>
      <c r="B11" s="144" t="s">
        <v>386</v>
      </c>
      <c r="C11" s="237"/>
      <c r="D11" s="238"/>
      <c r="E11" s="192"/>
      <c r="F11" s="192"/>
      <c r="G11" s="239"/>
      <c r="H11" s="240"/>
      <c r="I11" s="238"/>
      <c r="J11" s="241"/>
      <c r="K11" s="238"/>
    </row>
    <row r="12" spans="1:14" s="242" customFormat="1" ht="17">
      <c r="A12" s="245">
        <v>8</v>
      </c>
      <c r="B12" s="152" t="s">
        <v>51</v>
      </c>
      <c r="C12" s="237" t="e">
        <f>VLOOKUP(B12,#REF!,2,0)</f>
        <v>#REF!</v>
      </c>
      <c r="D12" s="238" t="e">
        <f>VLOOKUP(C12,#REF!,7,0)</f>
        <v>#REF!</v>
      </c>
      <c r="E12" s="192" t="e">
        <f>VLOOKUP(C12,#REF!,128,0)</f>
        <v>#REF!</v>
      </c>
      <c r="F12" s="192" t="e">
        <f>+VLOOKUP(C12,#REF!,150,0)</f>
        <v>#REF!</v>
      </c>
      <c r="G12" s="239" t="e">
        <f>+F12/E12</f>
        <v>#REF!</v>
      </c>
      <c r="H12" s="240" t="e">
        <f t="shared" si="2"/>
        <v>#REF!</v>
      </c>
      <c r="I12" s="238">
        <v>0</v>
      </c>
      <c r="J12" s="241" t="e">
        <f t="shared" ref="J12:J72" si="3">+F12-E12+I12</f>
        <v>#REF!</v>
      </c>
      <c r="K12" s="238"/>
    </row>
    <row r="13" spans="1:14" s="249" customFormat="1" ht="17">
      <c r="A13" s="246">
        <v>9</v>
      </c>
      <c r="B13" s="163" t="s">
        <v>52</v>
      </c>
      <c r="C13" s="237" t="e">
        <f>VLOOKUP(B13,#REF!,2,0)</f>
        <v>#REF!</v>
      </c>
      <c r="D13" s="238" t="e">
        <f>VLOOKUP(C13,#REF!,7,0)</f>
        <v>#REF!</v>
      </c>
      <c r="E13" s="192" t="e">
        <f>VLOOKUP(C13,#REF!,128,0)</f>
        <v>#REF!</v>
      </c>
      <c r="F13" s="192" t="e">
        <f>+VLOOKUP(C13,#REF!,150,0)</f>
        <v>#REF!</v>
      </c>
      <c r="G13" s="239" t="e">
        <f>+F13/E13</f>
        <v>#REF!</v>
      </c>
      <c r="H13" s="247" t="e">
        <f>+ROUND(G13*50,0)</f>
        <v>#REF!</v>
      </c>
      <c r="I13" s="248">
        <v>0</v>
      </c>
      <c r="J13" s="241" t="e">
        <f t="shared" si="3"/>
        <v>#REF!</v>
      </c>
      <c r="K13" s="248"/>
      <c r="N13" s="249">
        <f>11351-302</f>
        <v>11049</v>
      </c>
    </row>
    <row r="14" spans="1:14" s="242" customFormat="1" ht="17">
      <c r="A14" s="245">
        <v>10</v>
      </c>
      <c r="B14" s="152" t="s">
        <v>337</v>
      </c>
      <c r="C14" s="237" t="e">
        <f>VLOOKUP(B14,#REF!,2,0)</f>
        <v>#REF!</v>
      </c>
      <c r="D14" s="238" t="e">
        <f>VLOOKUP(C14,#REF!,7,0)</f>
        <v>#REF!</v>
      </c>
      <c r="E14" s="192" t="e">
        <f>VLOOKUP(C14,#REF!,128,0)</f>
        <v>#REF!</v>
      </c>
      <c r="F14" s="192" t="e">
        <f>+VLOOKUP(C14,#REF!,150,0)</f>
        <v>#REF!</v>
      </c>
      <c r="G14" s="239" t="e">
        <f>+F14/E14</f>
        <v>#REF!</v>
      </c>
      <c r="H14" s="240" t="e">
        <f t="shared" si="2"/>
        <v>#REF!</v>
      </c>
      <c r="I14" s="238">
        <v>0</v>
      </c>
      <c r="J14" s="241" t="e">
        <f t="shared" si="3"/>
        <v>#REF!</v>
      </c>
      <c r="K14" s="238"/>
    </row>
    <row r="15" spans="1:14" s="242" customFormat="1" ht="17">
      <c r="A15" s="244" t="s">
        <v>23</v>
      </c>
      <c r="B15" s="144" t="s">
        <v>387</v>
      </c>
      <c r="C15" s="237"/>
      <c r="D15" s="238"/>
      <c r="E15" s="192"/>
      <c r="F15" s="192"/>
      <c r="G15" s="239"/>
      <c r="H15" s="240"/>
      <c r="I15" s="238"/>
      <c r="J15" s="241"/>
      <c r="K15" s="238"/>
    </row>
    <row r="16" spans="1:14" s="242" customFormat="1" ht="17">
      <c r="A16" s="245">
        <v>11</v>
      </c>
      <c r="B16" s="152" t="s">
        <v>57</v>
      </c>
      <c r="C16" s="237">
        <v>8077383504</v>
      </c>
      <c r="D16" s="238" t="e">
        <f>VLOOKUP(C16,#REF!,7,0)</f>
        <v>#REF!</v>
      </c>
      <c r="E16" s="192" t="e">
        <f>VLOOKUP(C16,#REF!,128,0)</f>
        <v>#REF!</v>
      </c>
      <c r="F16" s="192" t="e">
        <f>+VLOOKUP(C16,#REF!,150,0)</f>
        <v>#REF!</v>
      </c>
      <c r="G16" s="239" t="e">
        <f>+F16/E16</f>
        <v>#REF!</v>
      </c>
      <c r="H16" s="240" t="e">
        <f t="shared" si="2"/>
        <v>#REF!</v>
      </c>
      <c r="I16" s="238">
        <v>0</v>
      </c>
      <c r="J16" s="241" t="e">
        <f t="shared" si="3"/>
        <v>#REF!</v>
      </c>
      <c r="K16" s="238"/>
    </row>
    <row r="17" spans="1:14" s="242" customFormat="1" ht="17">
      <c r="A17" s="245">
        <v>12</v>
      </c>
      <c r="B17" s="152" t="s">
        <v>191</v>
      </c>
      <c r="C17" s="237">
        <v>8731982518</v>
      </c>
      <c r="D17" s="238" t="e">
        <f>VLOOKUP(C17,#REF!,7,0)</f>
        <v>#REF!</v>
      </c>
      <c r="E17" s="192" t="e">
        <f>VLOOKUP(C17,#REF!,128,0)</f>
        <v>#REF!</v>
      </c>
      <c r="F17" s="192" t="e">
        <f>+VLOOKUP(C17,#REF!,150,0)</f>
        <v>#REF!</v>
      </c>
      <c r="G17" s="239" t="e">
        <f>+F17/E17</f>
        <v>#REF!</v>
      </c>
      <c r="H17" s="240" t="e">
        <f t="shared" si="2"/>
        <v>#REF!</v>
      </c>
      <c r="I17" s="238">
        <v>0</v>
      </c>
      <c r="J17" s="241" t="e">
        <f t="shared" si="3"/>
        <v>#REF!</v>
      </c>
      <c r="K17" s="238"/>
    </row>
    <row r="18" spans="1:14" s="242" customFormat="1" ht="17">
      <c r="A18" s="245">
        <v>13</v>
      </c>
      <c r="B18" s="152" t="s">
        <v>436</v>
      </c>
      <c r="C18" s="237">
        <v>8132286374</v>
      </c>
      <c r="D18" s="238" t="e">
        <f>VLOOKUP(C18,#REF!,7,0)</f>
        <v>#REF!</v>
      </c>
      <c r="E18" s="192" t="e">
        <f>VLOOKUP(C18,#REF!,128,0)</f>
        <v>#REF!</v>
      </c>
      <c r="F18" s="192" t="e">
        <f>+VLOOKUP(C18,#REF!,150,0)</f>
        <v>#REF!</v>
      </c>
      <c r="G18" s="239" t="e">
        <f>+F18/E18</f>
        <v>#REF!</v>
      </c>
      <c r="H18" s="240" t="e">
        <f t="shared" si="2"/>
        <v>#REF!</v>
      </c>
      <c r="I18" s="238">
        <v>0</v>
      </c>
      <c r="J18" s="241" t="e">
        <f t="shared" si="3"/>
        <v>#REF!</v>
      </c>
      <c r="K18" s="238"/>
      <c r="N18" s="250"/>
    </row>
    <row r="19" spans="1:14" s="242" customFormat="1" ht="17">
      <c r="A19" s="245">
        <v>14</v>
      </c>
      <c r="B19" s="152" t="s">
        <v>415</v>
      </c>
      <c r="C19" s="237">
        <v>8687989631</v>
      </c>
      <c r="D19" s="238" t="e">
        <f>VLOOKUP(C19,#REF!,7,0)</f>
        <v>#REF!</v>
      </c>
      <c r="E19" s="192" t="e">
        <f>VLOOKUP(C19,#REF!,128,0)</f>
        <v>#REF!</v>
      </c>
      <c r="F19" s="192" t="e">
        <f>+VLOOKUP(C19,#REF!,150,0)</f>
        <v>#REF!</v>
      </c>
      <c r="G19" s="239" t="e">
        <f>+F19/E19</f>
        <v>#REF!</v>
      </c>
      <c r="H19" s="240" t="e">
        <f t="shared" si="2"/>
        <v>#REF!</v>
      </c>
      <c r="I19" s="238">
        <v>0</v>
      </c>
      <c r="J19" s="241" t="e">
        <f t="shared" si="3"/>
        <v>#REF!</v>
      </c>
      <c r="K19" s="238"/>
    </row>
    <row r="20" spans="1:14" s="242" customFormat="1" ht="17">
      <c r="A20" s="245">
        <v>15</v>
      </c>
      <c r="B20" s="251" t="s">
        <v>319</v>
      </c>
      <c r="C20" s="237">
        <v>8582779108</v>
      </c>
      <c r="D20" s="238" t="e">
        <f>VLOOKUP(C20,#REF!,7,0)</f>
        <v>#REF!</v>
      </c>
      <c r="E20" s="192" t="e">
        <f>VLOOKUP(C20,#REF!,128,0)</f>
        <v>#REF!</v>
      </c>
      <c r="F20" s="192" t="e">
        <f>+VLOOKUP(C20,#REF!,150,0)</f>
        <v>#REF!</v>
      </c>
      <c r="G20" s="239" t="e">
        <f>+F20/E20</f>
        <v>#REF!</v>
      </c>
      <c r="H20" s="240" t="e">
        <f t="shared" si="2"/>
        <v>#REF!</v>
      </c>
      <c r="I20" s="238">
        <v>0</v>
      </c>
      <c r="J20" s="241" t="e">
        <f t="shared" si="3"/>
        <v>#REF!</v>
      </c>
      <c r="K20" s="238"/>
    </row>
    <row r="21" spans="1:14" s="242" customFormat="1" ht="17">
      <c r="A21" s="244" t="s">
        <v>24</v>
      </c>
      <c r="B21" s="144" t="s">
        <v>388</v>
      </c>
      <c r="C21" s="237" t="e">
        <f>VLOOKUP(B21,#REF!,2,0)</f>
        <v>#REF!</v>
      </c>
      <c r="D21" s="238"/>
      <c r="E21" s="192"/>
      <c r="F21" s="192"/>
      <c r="G21" s="239"/>
      <c r="H21" s="240"/>
      <c r="I21" s="238"/>
      <c r="J21" s="241"/>
      <c r="K21" s="238"/>
    </row>
    <row r="22" spans="1:14" s="242" customFormat="1" ht="17">
      <c r="A22" s="245">
        <v>16</v>
      </c>
      <c r="B22" s="152" t="s">
        <v>91</v>
      </c>
      <c r="C22" s="237">
        <v>8558749624</v>
      </c>
      <c r="D22" s="238" t="e">
        <f>VLOOKUP(C22,#REF!,7,0)</f>
        <v>#REF!</v>
      </c>
      <c r="E22" s="192" t="e">
        <f>VLOOKUP(C22,#REF!,128,0)</f>
        <v>#REF!</v>
      </c>
      <c r="F22" s="192" t="e">
        <f>+VLOOKUP(C22,#REF!,150,0)</f>
        <v>#REF!</v>
      </c>
      <c r="G22" s="239" t="e">
        <f>+F22/E22</f>
        <v>#REF!</v>
      </c>
      <c r="H22" s="240" t="e">
        <f t="shared" si="2"/>
        <v>#REF!</v>
      </c>
      <c r="I22" s="238">
        <v>0</v>
      </c>
      <c r="J22" s="241" t="e">
        <f t="shared" si="3"/>
        <v>#REF!</v>
      </c>
      <c r="K22" s="238"/>
    </row>
    <row r="23" spans="1:14" s="242" customFormat="1" ht="17">
      <c r="A23" s="245">
        <v>17</v>
      </c>
      <c r="B23" s="152" t="s">
        <v>97</v>
      </c>
      <c r="C23" s="237">
        <v>8619088660</v>
      </c>
      <c r="D23" s="238" t="e">
        <f>VLOOKUP(C23,#REF!,7,0)</f>
        <v>#REF!</v>
      </c>
      <c r="E23" s="192" t="e">
        <f>VLOOKUP(C23,#REF!,128,0)</f>
        <v>#REF!</v>
      </c>
      <c r="F23" s="192" t="e">
        <f>+VLOOKUP(C23,#REF!,150,0)</f>
        <v>#REF!</v>
      </c>
      <c r="G23" s="239" t="e">
        <f t="shared" ref="G23:G50" si="4">+F23/E23</f>
        <v>#REF!</v>
      </c>
      <c r="H23" s="240" t="e">
        <f t="shared" si="2"/>
        <v>#REF!</v>
      </c>
      <c r="I23" s="238">
        <v>0</v>
      </c>
      <c r="J23" s="241" t="e">
        <f t="shared" si="3"/>
        <v>#REF!</v>
      </c>
      <c r="K23" s="238"/>
    </row>
    <row r="24" spans="1:14" s="242" customFormat="1" ht="17">
      <c r="A24" s="245">
        <v>18</v>
      </c>
      <c r="B24" s="251" t="s">
        <v>398</v>
      </c>
      <c r="C24" s="237">
        <v>8639656350</v>
      </c>
      <c r="D24" s="238" t="e">
        <f>VLOOKUP(C24,#REF!,7,0)</f>
        <v>#REF!</v>
      </c>
      <c r="E24" s="192" t="e">
        <f>VLOOKUP(C24,#REF!,128,0)</f>
        <v>#REF!</v>
      </c>
      <c r="F24" s="192" t="e">
        <f>+VLOOKUP(C24,#REF!,150,0)</f>
        <v>#REF!</v>
      </c>
      <c r="G24" s="239" t="e">
        <f t="shared" si="4"/>
        <v>#REF!</v>
      </c>
      <c r="H24" s="240" t="e">
        <f t="shared" si="2"/>
        <v>#REF!</v>
      </c>
      <c r="I24" s="238">
        <v>0</v>
      </c>
      <c r="J24" s="241" t="e">
        <f t="shared" si="3"/>
        <v>#REF!</v>
      </c>
      <c r="K24" s="238"/>
    </row>
    <row r="25" spans="1:14" s="242" customFormat="1" ht="17">
      <c r="A25" s="245">
        <v>19</v>
      </c>
      <c r="B25" s="251" t="s">
        <v>416</v>
      </c>
      <c r="C25" s="237">
        <v>8092318796</v>
      </c>
      <c r="D25" s="238" t="e">
        <f>VLOOKUP(C25,#REF!,7,0)</f>
        <v>#REF!</v>
      </c>
      <c r="E25" s="192" t="e">
        <f>VLOOKUP(C25,#REF!,128,0)</f>
        <v>#REF!</v>
      </c>
      <c r="F25" s="192" t="e">
        <f>+VLOOKUP(C25,#REF!,150,0)</f>
        <v>#REF!</v>
      </c>
      <c r="G25" s="239" t="e">
        <f t="shared" si="4"/>
        <v>#REF!</v>
      </c>
      <c r="H25" s="240" t="e">
        <f t="shared" si="2"/>
        <v>#REF!</v>
      </c>
      <c r="I25" s="238">
        <v>0</v>
      </c>
      <c r="J25" s="241" t="e">
        <f t="shared" si="3"/>
        <v>#REF!</v>
      </c>
      <c r="K25" s="238"/>
    </row>
    <row r="26" spans="1:14" s="249" customFormat="1" ht="17">
      <c r="A26" s="245">
        <v>20</v>
      </c>
      <c r="B26" s="163" t="s">
        <v>93</v>
      </c>
      <c r="C26" s="252">
        <v>8558749695</v>
      </c>
      <c r="D26" s="238" t="e">
        <f>VLOOKUP(C26,#REF!,7,0)</f>
        <v>#REF!</v>
      </c>
      <c r="E26" s="192" t="e">
        <f>VLOOKUP(C26,#REF!,128,0)</f>
        <v>#REF!</v>
      </c>
      <c r="F26" s="192" t="e">
        <f>+VLOOKUP(C26,#REF!,150,0)</f>
        <v>#REF!</v>
      </c>
      <c r="G26" s="239" t="e">
        <f t="shared" si="4"/>
        <v>#REF!</v>
      </c>
      <c r="H26" s="247" t="e">
        <f t="shared" si="2"/>
        <v>#REF!</v>
      </c>
      <c r="I26" s="248">
        <v>0</v>
      </c>
      <c r="J26" s="253" t="e">
        <f t="shared" si="3"/>
        <v>#REF!</v>
      </c>
      <c r="K26" s="248"/>
    </row>
    <row r="27" spans="1:14" s="242" customFormat="1" ht="17">
      <c r="A27" s="245">
        <v>21</v>
      </c>
      <c r="B27" s="152" t="s">
        <v>31</v>
      </c>
      <c r="C27" s="237">
        <v>8558750161</v>
      </c>
      <c r="D27" s="238" t="e">
        <f>VLOOKUP(C27,#REF!,7,0)</f>
        <v>#REF!</v>
      </c>
      <c r="E27" s="192" t="e">
        <f>VLOOKUP(C27,#REF!,128,0)</f>
        <v>#REF!</v>
      </c>
      <c r="F27" s="192" t="e">
        <f>+VLOOKUP(C27,#REF!,150,0)</f>
        <v>#REF!</v>
      </c>
      <c r="G27" s="239" t="e">
        <f t="shared" si="4"/>
        <v>#REF!</v>
      </c>
      <c r="H27" s="240" t="e">
        <f t="shared" si="2"/>
        <v>#REF!</v>
      </c>
      <c r="I27" s="238">
        <v>0</v>
      </c>
      <c r="J27" s="241" t="e">
        <f t="shared" si="3"/>
        <v>#REF!</v>
      </c>
      <c r="K27" s="238"/>
    </row>
    <row r="28" spans="1:14" s="242" customFormat="1" ht="17">
      <c r="A28" s="245">
        <v>22</v>
      </c>
      <c r="B28" s="152" t="s">
        <v>94</v>
      </c>
      <c r="C28" s="237">
        <v>8558749832</v>
      </c>
      <c r="D28" s="238" t="e">
        <f>VLOOKUP(C28,#REF!,7,0)</f>
        <v>#REF!</v>
      </c>
      <c r="E28" s="192" t="e">
        <f>VLOOKUP(C28,#REF!,128,0)</f>
        <v>#REF!</v>
      </c>
      <c r="F28" s="192" t="e">
        <f>+VLOOKUP(C28,#REF!,150,0)</f>
        <v>#REF!</v>
      </c>
      <c r="G28" s="239" t="e">
        <f t="shared" si="4"/>
        <v>#REF!</v>
      </c>
      <c r="H28" s="240" t="e">
        <f t="shared" si="2"/>
        <v>#REF!</v>
      </c>
      <c r="I28" s="238">
        <v>0</v>
      </c>
      <c r="J28" s="241" t="e">
        <f t="shared" si="3"/>
        <v>#REF!</v>
      </c>
      <c r="K28" s="238"/>
    </row>
    <row r="29" spans="1:14" s="242" customFormat="1" ht="17">
      <c r="A29" s="245">
        <v>23</v>
      </c>
      <c r="B29" s="152" t="s">
        <v>95</v>
      </c>
      <c r="C29" s="237">
        <v>8579737073</v>
      </c>
      <c r="D29" s="238" t="e">
        <f>VLOOKUP(C29,#REF!,7,0)</f>
        <v>#REF!</v>
      </c>
      <c r="E29" s="192" t="e">
        <f>VLOOKUP(C29,#REF!,128,0)</f>
        <v>#REF!</v>
      </c>
      <c r="F29" s="192" t="e">
        <f>+VLOOKUP(C29,#REF!,150,0)</f>
        <v>#REF!</v>
      </c>
      <c r="G29" s="239" t="e">
        <f t="shared" si="4"/>
        <v>#REF!</v>
      </c>
      <c r="H29" s="240" t="e">
        <f t="shared" si="2"/>
        <v>#REF!</v>
      </c>
      <c r="I29" s="238">
        <v>0</v>
      </c>
      <c r="J29" s="241" t="e">
        <f t="shared" si="3"/>
        <v>#REF!</v>
      </c>
      <c r="K29" s="238"/>
    </row>
    <row r="30" spans="1:14" s="242" customFormat="1" ht="17">
      <c r="A30" s="245">
        <v>24</v>
      </c>
      <c r="B30" s="152" t="s">
        <v>63</v>
      </c>
      <c r="C30" s="237">
        <v>8308955568</v>
      </c>
      <c r="D30" s="238" t="e">
        <f>VLOOKUP(C30,#REF!,7,0)</f>
        <v>#REF!</v>
      </c>
      <c r="E30" s="192" t="e">
        <f>VLOOKUP(C30,#REF!,128,0)</f>
        <v>#REF!</v>
      </c>
      <c r="F30" s="192" t="e">
        <f>+VLOOKUP(C30,#REF!,150,0)</f>
        <v>#REF!</v>
      </c>
      <c r="G30" s="239" t="e">
        <f t="shared" si="4"/>
        <v>#REF!</v>
      </c>
      <c r="H30" s="240" t="e">
        <f t="shared" si="2"/>
        <v>#REF!</v>
      </c>
      <c r="I30" s="238">
        <v>0</v>
      </c>
      <c r="J30" s="241" t="e">
        <f t="shared" si="3"/>
        <v>#REF!</v>
      </c>
      <c r="K30" s="238"/>
      <c r="M30" s="242">
        <f>8857-210</f>
        <v>8647</v>
      </c>
    </row>
    <row r="31" spans="1:14" s="242" customFormat="1" ht="17">
      <c r="A31" s="245">
        <v>25</v>
      </c>
      <c r="B31" s="152" t="s">
        <v>96</v>
      </c>
      <c r="C31" s="237">
        <v>8482348122</v>
      </c>
      <c r="D31" s="238" t="e">
        <f>VLOOKUP(C31,#REF!,7,0)</f>
        <v>#REF!</v>
      </c>
      <c r="E31" s="192" t="e">
        <f>VLOOKUP(C31,#REF!,128,0)</f>
        <v>#REF!</v>
      </c>
      <c r="F31" s="192" t="e">
        <f>+VLOOKUP(C31,#REF!,150,0)</f>
        <v>#REF!</v>
      </c>
      <c r="G31" s="239" t="e">
        <f t="shared" si="4"/>
        <v>#REF!</v>
      </c>
      <c r="H31" s="240" t="e">
        <f t="shared" si="2"/>
        <v>#REF!</v>
      </c>
      <c r="I31" s="238">
        <v>0</v>
      </c>
      <c r="J31" s="241" t="e">
        <f t="shared" si="3"/>
        <v>#REF!</v>
      </c>
      <c r="K31" s="238"/>
    </row>
    <row r="32" spans="1:14" s="242" customFormat="1" ht="17">
      <c r="A32" s="245">
        <v>26</v>
      </c>
      <c r="B32" s="152" t="s">
        <v>98</v>
      </c>
      <c r="C32" s="237">
        <v>8164816867</v>
      </c>
      <c r="D32" s="238" t="e">
        <f>VLOOKUP(C32,#REF!,7,0)</f>
        <v>#REF!</v>
      </c>
      <c r="E32" s="192" t="e">
        <f>VLOOKUP(C32,#REF!,128,0)</f>
        <v>#REF!</v>
      </c>
      <c r="F32" s="192" t="e">
        <f>+VLOOKUP(C32,#REF!,150,0)</f>
        <v>#REF!</v>
      </c>
      <c r="G32" s="239" t="e">
        <f t="shared" si="4"/>
        <v>#REF!</v>
      </c>
      <c r="H32" s="240" t="e">
        <f t="shared" si="2"/>
        <v>#REF!</v>
      </c>
      <c r="I32" s="238">
        <v>0</v>
      </c>
      <c r="J32" s="241" t="e">
        <f t="shared" si="3"/>
        <v>#REF!</v>
      </c>
      <c r="K32" s="238"/>
    </row>
    <row r="33" spans="1:12" s="242" customFormat="1" ht="17">
      <c r="A33" s="245">
        <v>27</v>
      </c>
      <c r="B33" s="152" t="s">
        <v>99</v>
      </c>
      <c r="C33" s="237">
        <v>8023499608</v>
      </c>
      <c r="D33" s="238" t="e">
        <f>VLOOKUP(C33,#REF!,7,0)</f>
        <v>#REF!</v>
      </c>
      <c r="E33" s="192" t="e">
        <f>VLOOKUP(C33,#REF!,128,0)</f>
        <v>#REF!</v>
      </c>
      <c r="F33" s="192" t="e">
        <f>+VLOOKUP(C33,#REF!,150,0)</f>
        <v>#REF!</v>
      </c>
      <c r="G33" s="239" t="e">
        <f t="shared" si="4"/>
        <v>#REF!</v>
      </c>
      <c r="H33" s="240" t="e">
        <f t="shared" si="2"/>
        <v>#REF!</v>
      </c>
      <c r="I33" s="238">
        <v>0</v>
      </c>
      <c r="J33" s="241" t="e">
        <f t="shared" si="3"/>
        <v>#REF!</v>
      </c>
      <c r="K33" s="238"/>
    </row>
    <row r="34" spans="1:12" s="242" customFormat="1" ht="17">
      <c r="A34" s="245">
        <v>28</v>
      </c>
      <c r="B34" s="152" t="s">
        <v>399</v>
      </c>
      <c r="C34" s="237">
        <v>8642024143</v>
      </c>
      <c r="D34" s="238" t="e">
        <f>VLOOKUP(C34,#REF!,7,0)</f>
        <v>#REF!</v>
      </c>
      <c r="E34" s="192" t="e">
        <f>VLOOKUP(C34,#REF!,128,0)</f>
        <v>#REF!</v>
      </c>
      <c r="F34" s="192" t="e">
        <f>+VLOOKUP(C34,#REF!,150,0)</f>
        <v>#REF!</v>
      </c>
      <c r="G34" s="239" t="e">
        <f t="shared" si="4"/>
        <v>#REF!</v>
      </c>
      <c r="H34" s="240" t="e">
        <f t="shared" si="2"/>
        <v>#REF!</v>
      </c>
      <c r="I34" s="238">
        <v>0</v>
      </c>
      <c r="J34" s="241" t="e">
        <f t="shared" si="3"/>
        <v>#REF!</v>
      </c>
      <c r="K34" s="238"/>
    </row>
    <row r="35" spans="1:12" s="242" customFormat="1" ht="17">
      <c r="A35" s="245">
        <v>29</v>
      </c>
      <c r="B35" s="251" t="s">
        <v>439</v>
      </c>
      <c r="C35" s="237">
        <v>4900540397</v>
      </c>
      <c r="D35" s="238" t="e">
        <f>VLOOKUP(C35,#REF!,7,0)</f>
        <v>#REF!</v>
      </c>
      <c r="E35" s="192" t="e">
        <f>VLOOKUP(C35,#REF!,128,0)</f>
        <v>#REF!</v>
      </c>
      <c r="F35" s="192" t="e">
        <f>+VLOOKUP(C35,#REF!,150,0)</f>
        <v>#REF!</v>
      </c>
      <c r="G35" s="239" t="e">
        <f t="shared" si="4"/>
        <v>#REF!</v>
      </c>
      <c r="H35" s="240" t="e">
        <f t="shared" si="2"/>
        <v>#REF!</v>
      </c>
      <c r="I35" s="238">
        <v>0</v>
      </c>
      <c r="J35" s="241" t="e">
        <f t="shared" si="3"/>
        <v>#REF!</v>
      </c>
      <c r="K35" s="238"/>
    </row>
    <row r="36" spans="1:12" s="242" customFormat="1" ht="17">
      <c r="A36" s="245">
        <v>30</v>
      </c>
      <c r="B36" s="152" t="s">
        <v>288</v>
      </c>
      <c r="C36" s="237">
        <v>8183413609</v>
      </c>
      <c r="D36" s="238" t="e">
        <f>VLOOKUP(C36,#REF!,7,0)</f>
        <v>#REF!</v>
      </c>
      <c r="E36" s="192" t="e">
        <f>VLOOKUP(C36,#REF!,128,0)</f>
        <v>#REF!</v>
      </c>
      <c r="F36" s="192" t="e">
        <f>+VLOOKUP(C36,#REF!,150,0)</f>
        <v>#REF!</v>
      </c>
      <c r="G36" s="239" t="e">
        <f t="shared" si="4"/>
        <v>#REF!</v>
      </c>
      <c r="H36" s="240" t="e">
        <f t="shared" si="2"/>
        <v>#REF!</v>
      </c>
      <c r="I36" s="238">
        <v>0</v>
      </c>
      <c r="J36" s="241" t="e">
        <f t="shared" si="3"/>
        <v>#REF!</v>
      </c>
      <c r="K36" s="238"/>
      <c r="L36" s="242" t="s">
        <v>523</v>
      </c>
    </row>
    <row r="37" spans="1:12" s="242" customFormat="1" ht="17">
      <c r="A37" s="245">
        <v>31</v>
      </c>
      <c r="B37" s="152" t="s">
        <v>130</v>
      </c>
      <c r="C37" s="237">
        <v>8629508593</v>
      </c>
      <c r="D37" s="238" t="e">
        <f>VLOOKUP(C37,#REF!,7,0)</f>
        <v>#REF!</v>
      </c>
      <c r="E37" s="192" t="e">
        <f>VLOOKUP(C37,#REF!,128,0)</f>
        <v>#REF!</v>
      </c>
      <c r="F37" s="192" t="e">
        <f>+VLOOKUP(C37,#REF!,150,0)</f>
        <v>#REF!</v>
      </c>
      <c r="G37" s="239" t="e">
        <f t="shared" si="4"/>
        <v>#REF!</v>
      </c>
      <c r="H37" s="240" t="e">
        <f t="shared" si="2"/>
        <v>#REF!</v>
      </c>
      <c r="I37" s="238">
        <v>0</v>
      </c>
      <c r="J37" s="241" t="e">
        <f t="shared" si="3"/>
        <v>#REF!</v>
      </c>
      <c r="K37" s="238"/>
    </row>
    <row r="38" spans="1:12" s="242" customFormat="1" ht="17">
      <c r="A38" s="245">
        <v>32</v>
      </c>
      <c r="B38" s="152" t="s">
        <v>131</v>
      </c>
      <c r="C38" s="237">
        <v>8183411880</v>
      </c>
      <c r="D38" s="238" t="e">
        <f>VLOOKUP(C38,#REF!,7,0)</f>
        <v>#REF!</v>
      </c>
      <c r="E38" s="192" t="e">
        <f>VLOOKUP(C38,#REF!,128,0)</f>
        <v>#REF!</v>
      </c>
      <c r="F38" s="192" t="e">
        <f>+VLOOKUP(C38,#REF!,150,0)</f>
        <v>#REF!</v>
      </c>
      <c r="G38" s="239" t="e">
        <f t="shared" si="4"/>
        <v>#REF!</v>
      </c>
      <c r="H38" s="240" t="e">
        <f t="shared" si="2"/>
        <v>#REF!</v>
      </c>
      <c r="I38" s="238">
        <v>0</v>
      </c>
      <c r="J38" s="241" t="e">
        <f t="shared" si="3"/>
        <v>#REF!</v>
      </c>
      <c r="K38" s="238"/>
    </row>
    <row r="39" spans="1:12" s="242" customFormat="1" ht="17">
      <c r="A39" s="245">
        <v>33</v>
      </c>
      <c r="B39" s="152" t="s">
        <v>132</v>
      </c>
      <c r="C39" s="237">
        <v>8146447215</v>
      </c>
      <c r="D39" s="238" t="e">
        <f>VLOOKUP(C39,#REF!,7,0)</f>
        <v>#REF!</v>
      </c>
      <c r="E39" s="192" t="e">
        <f>VLOOKUP(C39,#REF!,128,0)</f>
        <v>#REF!</v>
      </c>
      <c r="F39" s="192" t="e">
        <f>+VLOOKUP(C39,#REF!,150,0)</f>
        <v>#REF!</v>
      </c>
      <c r="G39" s="239" t="e">
        <f t="shared" si="4"/>
        <v>#REF!</v>
      </c>
      <c r="H39" s="240" t="e">
        <f t="shared" si="2"/>
        <v>#REF!</v>
      </c>
      <c r="I39" s="238">
        <v>0</v>
      </c>
      <c r="J39" s="241" t="e">
        <f t="shared" si="3"/>
        <v>#REF!</v>
      </c>
      <c r="K39" s="238"/>
    </row>
    <row r="40" spans="1:12" s="264" customFormat="1" ht="17">
      <c r="A40" s="256">
        <v>34</v>
      </c>
      <c r="B40" s="257" t="s">
        <v>133</v>
      </c>
      <c r="C40" s="258">
        <v>8146442055</v>
      </c>
      <c r="D40" s="259" t="e">
        <f>VLOOKUP(C40,#REF!,7,0)</f>
        <v>#REF!</v>
      </c>
      <c r="E40" s="260" t="e">
        <f>VLOOKUP(C40,#REF!,128,0)</f>
        <v>#REF!</v>
      </c>
      <c r="F40" s="260" t="e">
        <f>+VLOOKUP(C40,#REF!,150,0)</f>
        <v>#REF!</v>
      </c>
      <c r="G40" s="261" t="e">
        <f t="shared" si="4"/>
        <v>#REF!</v>
      </c>
      <c r="H40" s="262" t="e">
        <f t="shared" si="2"/>
        <v>#REF!</v>
      </c>
      <c r="I40" s="259">
        <v>0</v>
      </c>
      <c r="J40" s="263" t="e">
        <f t="shared" si="3"/>
        <v>#REF!</v>
      </c>
      <c r="K40" s="259"/>
    </row>
    <row r="41" spans="1:12" s="242" customFormat="1" ht="17">
      <c r="A41" s="245">
        <v>35</v>
      </c>
      <c r="B41" s="152" t="s">
        <v>134</v>
      </c>
      <c r="C41" s="237">
        <v>8172811647</v>
      </c>
      <c r="D41" s="238" t="e">
        <f>VLOOKUP(C41,#REF!,7,0)</f>
        <v>#REF!</v>
      </c>
      <c r="E41" s="192" t="e">
        <f>VLOOKUP(C41,#REF!,128,0)</f>
        <v>#REF!</v>
      </c>
      <c r="F41" s="192" t="e">
        <f>+VLOOKUP(C41,#REF!,150,0)</f>
        <v>#REF!</v>
      </c>
      <c r="G41" s="239" t="e">
        <f t="shared" si="4"/>
        <v>#REF!</v>
      </c>
      <c r="H41" s="240" t="e">
        <f t="shared" si="2"/>
        <v>#REF!</v>
      </c>
      <c r="I41" s="238">
        <v>0</v>
      </c>
      <c r="J41" s="241" t="e">
        <f t="shared" si="3"/>
        <v>#REF!</v>
      </c>
      <c r="K41" s="238"/>
    </row>
    <row r="42" spans="1:12" s="242" customFormat="1" ht="17">
      <c r="A42" s="245">
        <v>36</v>
      </c>
      <c r="B42" s="152" t="s">
        <v>426</v>
      </c>
      <c r="C42" s="237">
        <v>8719713452</v>
      </c>
      <c r="D42" s="238" t="e">
        <f>VLOOKUP(C42,#REF!,7,0)</f>
        <v>#REF!</v>
      </c>
      <c r="E42" s="192" t="e">
        <f>VLOOKUP(C42,#REF!,128,0)</f>
        <v>#REF!</v>
      </c>
      <c r="F42" s="192" t="e">
        <f>+VLOOKUP(C42,#REF!,150,0)</f>
        <v>#REF!</v>
      </c>
      <c r="G42" s="239" t="e">
        <f t="shared" si="4"/>
        <v>#REF!</v>
      </c>
      <c r="H42" s="240" t="e">
        <f t="shared" si="2"/>
        <v>#REF!</v>
      </c>
      <c r="I42" s="238">
        <v>0</v>
      </c>
      <c r="J42" s="241" t="e">
        <f t="shared" si="3"/>
        <v>#REF!</v>
      </c>
      <c r="K42" s="238"/>
    </row>
    <row r="43" spans="1:12" s="242" customFormat="1" ht="17">
      <c r="A43" s="245">
        <v>37</v>
      </c>
      <c r="B43" s="152" t="s">
        <v>460</v>
      </c>
      <c r="C43" s="237">
        <v>8478612800</v>
      </c>
      <c r="D43" s="238" t="e">
        <f>VLOOKUP(C43,#REF!,7,0)</f>
        <v>#REF!</v>
      </c>
      <c r="E43" s="192" t="e">
        <f>VLOOKUP(C43,#REF!,128,0)</f>
        <v>#REF!</v>
      </c>
      <c r="F43" s="192" t="e">
        <f>+VLOOKUP(C43,#REF!,150,0)</f>
        <v>#REF!</v>
      </c>
      <c r="G43" s="239" t="e">
        <f t="shared" si="4"/>
        <v>#REF!</v>
      </c>
      <c r="H43" s="240" t="e">
        <f t="shared" si="2"/>
        <v>#REF!</v>
      </c>
      <c r="I43" s="238">
        <v>0</v>
      </c>
      <c r="J43" s="241" t="e">
        <f t="shared" si="3"/>
        <v>#REF!</v>
      </c>
      <c r="K43" s="238"/>
    </row>
    <row r="44" spans="1:12" s="242" customFormat="1" ht="17">
      <c r="A44" s="245">
        <v>38</v>
      </c>
      <c r="B44" s="152" t="s">
        <v>461</v>
      </c>
      <c r="C44" s="237">
        <v>8043424128</v>
      </c>
      <c r="D44" s="238" t="e">
        <f>VLOOKUP(C44,#REF!,7,0)</f>
        <v>#REF!</v>
      </c>
      <c r="E44" s="192" t="e">
        <f>VLOOKUP(C44,#REF!,128,0)</f>
        <v>#REF!</v>
      </c>
      <c r="F44" s="192" t="e">
        <f>+VLOOKUP(C44,#REF!,150,0)</f>
        <v>#REF!</v>
      </c>
      <c r="G44" s="239" t="e">
        <f t="shared" si="4"/>
        <v>#REF!</v>
      </c>
      <c r="H44" s="240" t="e">
        <f t="shared" si="2"/>
        <v>#REF!</v>
      </c>
      <c r="I44" s="238">
        <v>0</v>
      </c>
      <c r="J44" s="241" t="e">
        <f t="shared" si="3"/>
        <v>#REF!</v>
      </c>
      <c r="K44" s="238"/>
    </row>
    <row r="45" spans="1:12" s="242" customFormat="1" ht="17">
      <c r="A45" s="245">
        <v>39</v>
      </c>
      <c r="B45" s="152" t="s">
        <v>188</v>
      </c>
      <c r="C45" s="237">
        <v>8890139769</v>
      </c>
      <c r="D45" s="238" t="e">
        <f>VLOOKUP(C45,#REF!,7,0)</f>
        <v>#REF!</v>
      </c>
      <c r="E45" s="192" t="e">
        <f>VLOOKUP(C45,#REF!,128,0)</f>
        <v>#REF!</v>
      </c>
      <c r="F45" s="192" t="e">
        <f>+VLOOKUP(C45,#REF!,150,0)</f>
        <v>#REF!</v>
      </c>
      <c r="G45" s="239" t="e">
        <f t="shared" si="4"/>
        <v>#REF!</v>
      </c>
      <c r="H45" s="240" t="e">
        <f t="shared" si="2"/>
        <v>#REF!</v>
      </c>
      <c r="I45" s="238">
        <v>0</v>
      </c>
      <c r="J45" s="241" t="e">
        <f t="shared" si="3"/>
        <v>#REF!</v>
      </c>
      <c r="K45" s="238"/>
    </row>
    <row r="46" spans="1:12" s="242" customFormat="1" ht="17">
      <c r="A46" s="245">
        <v>40</v>
      </c>
      <c r="B46" s="152" t="s">
        <v>213</v>
      </c>
      <c r="C46" s="237">
        <v>8394605839</v>
      </c>
      <c r="D46" s="238" t="e">
        <f>VLOOKUP(C46,#REF!,7,0)</f>
        <v>#REF!</v>
      </c>
      <c r="E46" s="192" t="e">
        <f>VLOOKUP(C46,#REF!,128,0)</f>
        <v>#REF!</v>
      </c>
      <c r="F46" s="192" t="e">
        <f>+VLOOKUP(C46,#REF!,150,0)</f>
        <v>#REF!</v>
      </c>
      <c r="G46" s="239" t="e">
        <f t="shared" si="4"/>
        <v>#REF!</v>
      </c>
      <c r="H46" s="240" t="e">
        <f t="shared" si="2"/>
        <v>#REF!</v>
      </c>
      <c r="I46" s="238">
        <v>0</v>
      </c>
      <c r="J46" s="241" t="e">
        <f t="shared" si="3"/>
        <v>#REF!</v>
      </c>
      <c r="K46" s="238"/>
    </row>
    <row r="47" spans="1:12" s="242" customFormat="1" ht="17">
      <c r="A47" s="245">
        <v>41</v>
      </c>
      <c r="B47" s="152" t="s">
        <v>467</v>
      </c>
      <c r="C47" s="237">
        <v>8861650496</v>
      </c>
      <c r="D47" s="238" t="e">
        <f>VLOOKUP(C47,#REF!,7,0)</f>
        <v>#REF!</v>
      </c>
      <c r="E47" s="192" t="e">
        <f>VLOOKUP(C47,#REF!,128,0)</f>
        <v>#REF!</v>
      </c>
      <c r="F47" s="192" t="e">
        <f>+VLOOKUP(C47,#REF!,150,0)</f>
        <v>#REF!</v>
      </c>
      <c r="G47" s="239" t="e">
        <f t="shared" si="4"/>
        <v>#REF!</v>
      </c>
      <c r="H47" s="240" t="e">
        <f t="shared" si="2"/>
        <v>#REF!</v>
      </c>
      <c r="I47" s="238">
        <v>0</v>
      </c>
      <c r="J47" s="241" t="e">
        <f t="shared" si="3"/>
        <v>#REF!</v>
      </c>
      <c r="K47" s="238"/>
    </row>
    <row r="48" spans="1:12" s="249" customFormat="1" ht="17">
      <c r="A48" s="245">
        <v>42</v>
      </c>
      <c r="B48" s="163" t="s">
        <v>468</v>
      </c>
      <c r="C48" s="252">
        <v>8406194093</v>
      </c>
      <c r="D48" s="238" t="e">
        <f>VLOOKUP(C48,#REF!,7,0)</f>
        <v>#REF!</v>
      </c>
      <c r="E48" s="192" t="e">
        <f>VLOOKUP(C48,#REF!,128,0)</f>
        <v>#REF!</v>
      </c>
      <c r="F48" s="192" t="e">
        <f>+VLOOKUP(C48,#REF!,150,0)</f>
        <v>#REF!</v>
      </c>
      <c r="G48" s="239" t="e">
        <f t="shared" si="4"/>
        <v>#REF!</v>
      </c>
      <c r="H48" s="247" t="e">
        <f t="shared" si="2"/>
        <v>#REF!</v>
      </c>
      <c r="I48" s="248">
        <v>0</v>
      </c>
      <c r="J48" s="253" t="e">
        <f t="shared" si="3"/>
        <v>#REF!</v>
      </c>
      <c r="K48" s="248"/>
    </row>
    <row r="49" spans="1:11" s="242" customFormat="1" ht="17">
      <c r="A49" s="245">
        <v>43</v>
      </c>
      <c r="B49" s="152" t="s">
        <v>158</v>
      </c>
      <c r="C49" s="237">
        <v>8647357298</v>
      </c>
      <c r="D49" s="238" t="e">
        <f>VLOOKUP(C49,#REF!,7,0)</f>
        <v>#REF!</v>
      </c>
      <c r="E49" s="192" t="e">
        <f>VLOOKUP(C49,#REF!,128,0)</f>
        <v>#REF!</v>
      </c>
      <c r="F49" s="192" t="e">
        <f>+VLOOKUP(C49,#REF!,150,0)</f>
        <v>#REF!</v>
      </c>
      <c r="G49" s="239" t="e">
        <f t="shared" si="4"/>
        <v>#REF!</v>
      </c>
      <c r="H49" s="240" t="e">
        <f t="shared" si="2"/>
        <v>#REF!</v>
      </c>
      <c r="I49" s="238">
        <v>0</v>
      </c>
      <c r="J49" s="241" t="e">
        <f t="shared" si="3"/>
        <v>#REF!</v>
      </c>
      <c r="K49" s="238"/>
    </row>
    <row r="50" spans="1:11" s="242" customFormat="1" ht="17">
      <c r="A50" s="245">
        <v>44</v>
      </c>
      <c r="B50" s="152" t="s">
        <v>159</v>
      </c>
      <c r="C50" s="237">
        <v>8326028693</v>
      </c>
      <c r="D50" s="238" t="e">
        <f>VLOOKUP(C50,#REF!,7,0)</f>
        <v>#REF!</v>
      </c>
      <c r="E50" s="192" t="e">
        <f>VLOOKUP(C50,#REF!,128,0)</f>
        <v>#REF!</v>
      </c>
      <c r="F50" s="192" t="e">
        <f>+VLOOKUP(C50,#REF!,150,0)</f>
        <v>#REF!</v>
      </c>
      <c r="G50" s="239" t="e">
        <f t="shared" si="4"/>
        <v>#REF!</v>
      </c>
      <c r="H50" s="240" t="e">
        <f t="shared" si="2"/>
        <v>#REF!</v>
      </c>
      <c r="I50" s="238">
        <v>0</v>
      </c>
      <c r="J50" s="241" t="e">
        <f t="shared" si="3"/>
        <v>#REF!</v>
      </c>
      <c r="K50" s="238"/>
    </row>
    <row r="51" spans="1:11" s="242" customFormat="1" ht="17">
      <c r="A51" s="244" t="s">
        <v>352</v>
      </c>
      <c r="B51" s="152"/>
      <c r="C51" s="237"/>
      <c r="D51" s="238"/>
      <c r="E51" s="192"/>
      <c r="F51" s="192"/>
      <c r="G51" s="239"/>
      <c r="H51" s="240"/>
      <c r="I51" s="238"/>
      <c r="J51" s="241"/>
      <c r="K51" s="238"/>
    </row>
    <row r="52" spans="1:11" s="242" customFormat="1" ht="17">
      <c r="A52" s="244" t="s">
        <v>353</v>
      </c>
      <c r="B52" s="144" t="s">
        <v>389</v>
      </c>
      <c r="C52" s="237"/>
      <c r="D52" s="238"/>
      <c r="E52" s="192"/>
      <c r="F52" s="192"/>
      <c r="G52" s="239"/>
      <c r="H52" s="240"/>
      <c r="I52" s="238"/>
      <c r="J52" s="241"/>
      <c r="K52" s="238"/>
    </row>
    <row r="53" spans="1:11" s="242" customFormat="1" ht="17">
      <c r="A53" s="245">
        <v>45</v>
      </c>
      <c r="B53" s="152" t="s">
        <v>53</v>
      </c>
      <c r="C53" s="237">
        <v>8191086602</v>
      </c>
      <c r="D53" s="238" t="e">
        <f>VLOOKUP(C53,#REF!,7,0)</f>
        <v>#REF!</v>
      </c>
      <c r="E53" s="192" t="e">
        <f>VLOOKUP(C53,#REF!,128,0)</f>
        <v>#REF!</v>
      </c>
      <c r="F53" s="192" t="e">
        <f>+VLOOKUP(C53,#REF!,150,0)</f>
        <v>#REF!</v>
      </c>
      <c r="G53" s="239" t="e">
        <f>+F53/E53</f>
        <v>#REF!</v>
      </c>
      <c r="H53" s="240" t="e">
        <f t="shared" si="2"/>
        <v>#REF!</v>
      </c>
      <c r="I53" s="238">
        <v>0</v>
      </c>
      <c r="J53" s="241" t="e">
        <f t="shared" si="3"/>
        <v>#REF!</v>
      </c>
      <c r="K53" s="238"/>
    </row>
    <row r="54" spans="1:11" s="242" customFormat="1" ht="17">
      <c r="A54" s="245">
        <v>46</v>
      </c>
      <c r="B54" s="152" t="s">
        <v>50</v>
      </c>
      <c r="C54" s="237">
        <v>8109674918</v>
      </c>
      <c r="D54" s="238" t="e">
        <f>VLOOKUP(C54,#REF!,7,0)</f>
        <v>#REF!</v>
      </c>
      <c r="E54" s="192" t="e">
        <f>VLOOKUP(C54,#REF!,128,0)</f>
        <v>#REF!</v>
      </c>
      <c r="F54" s="192" t="e">
        <f>+VLOOKUP(C54,#REF!,150,0)</f>
        <v>#REF!</v>
      </c>
      <c r="G54" s="239" t="e">
        <f t="shared" ref="G54:G61" si="5">+F54/E54</f>
        <v>#REF!</v>
      </c>
      <c r="H54" s="240" t="e">
        <f t="shared" ref="H54:H61" si="6">+ROUND(G54*50,0)</f>
        <v>#REF!</v>
      </c>
      <c r="I54" s="238">
        <v>0</v>
      </c>
      <c r="J54" s="241" t="e">
        <f t="shared" ref="J54:J60" si="7">+F54-E54+I54</f>
        <v>#REF!</v>
      </c>
      <c r="K54" s="238"/>
    </row>
    <row r="55" spans="1:11" s="242" customFormat="1" ht="17">
      <c r="A55" s="245">
        <v>47</v>
      </c>
      <c r="B55" s="152" t="s">
        <v>55</v>
      </c>
      <c r="C55" s="237">
        <v>8475764308</v>
      </c>
      <c r="D55" s="238" t="e">
        <f>VLOOKUP(C55,#REF!,7,0)</f>
        <v>#REF!</v>
      </c>
      <c r="E55" s="192" t="e">
        <f>VLOOKUP(C55,#REF!,128,0)</f>
        <v>#REF!</v>
      </c>
      <c r="F55" s="192" t="e">
        <f>+VLOOKUP(C55,#REF!,150,0)</f>
        <v>#REF!</v>
      </c>
      <c r="G55" s="239" t="e">
        <f t="shared" si="5"/>
        <v>#REF!</v>
      </c>
      <c r="H55" s="240" t="e">
        <f t="shared" si="6"/>
        <v>#REF!</v>
      </c>
      <c r="I55" s="238">
        <v>0</v>
      </c>
      <c r="J55" s="241" t="e">
        <f t="shared" si="7"/>
        <v>#REF!</v>
      </c>
      <c r="K55" s="238"/>
    </row>
    <row r="56" spans="1:11" s="242" customFormat="1" ht="17">
      <c r="A56" s="245">
        <v>48</v>
      </c>
      <c r="B56" s="152" t="s">
        <v>54</v>
      </c>
      <c r="C56" s="237" t="s">
        <v>161</v>
      </c>
      <c r="D56" s="238" t="e">
        <f>VLOOKUP(C56,#REF!,7,0)</f>
        <v>#REF!</v>
      </c>
      <c r="E56" s="192" t="e">
        <f>VLOOKUP(C56,#REF!,128,0)</f>
        <v>#REF!</v>
      </c>
      <c r="F56" s="192" t="e">
        <f>+VLOOKUP(C56,#REF!,150,0)</f>
        <v>#REF!</v>
      </c>
      <c r="G56" s="239" t="e">
        <f t="shared" si="5"/>
        <v>#REF!</v>
      </c>
      <c r="H56" s="240" t="e">
        <f t="shared" si="6"/>
        <v>#REF!</v>
      </c>
      <c r="I56" s="238">
        <v>0</v>
      </c>
      <c r="J56" s="241" t="e">
        <f t="shared" si="7"/>
        <v>#REF!</v>
      </c>
      <c r="K56" s="238"/>
    </row>
    <row r="57" spans="1:11" s="242" customFormat="1" ht="17">
      <c r="A57" s="245">
        <v>49</v>
      </c>
      <c r="B57" s="152" t="s">
        <v>58</v>
      </c>
      <c r="C57" s="237">
        <v>8523429052</v>
      </c>
      <c r="D57" s="238" t="e">
        <f>VLOOKUP(C57,#REF!,7,0)</f>
        <v>#REF!</v>
      </c>
      <c r="E57" s="192" t="e">
        <f>VLOOKUP(C57,#REF!,128,0)</f>
        <v>#REF!</v>
      </c>
      <c r="F57" s="192" t="e">
        <f>+VLOOKUP(C57,#REF!,150,0)</f>
        <v>#REF!</v>
      </c>
      <c r="G57" s="239" t="e">
        <f t="shared" si="5"/>
        <v>#REF!</v>
      </c>
      <c r="H57" s="240" t="e">
        <f t="shared" si="6"/>
        <v>#REF!</v>
      </c>
      <c r="I57" s="238">
        <v>0</v>
      </c>
      <c r="J57" s="241" t="e">
        <f t="shared" si="7"/>
        <v>#REF!</v>
      </c>
      <c r="K57" s="238"/>
    </row>
    <row r="58" spans="1:11" s="242" customFormat="1" ht="17">
      <c r="A58" s="245">
        <v>50</v>
      </c>
      <c r="B58" s="152" t="s">
        <v>60</v>
      </c>
      <c r="C58" s="237">
        <v>8130284692</v>
      </c>
      <c r="D58" s="238" t="e">
        <f>VLOOKUP(C58,#REF!,7,0)</f>
        <v>#REF!</v>
      </c>
      <c r="E58" s="192" t="e">
        <f>VLOOKUP(C58,#REF!,128,0)</f>
        <v>#REF!</v>
      </c>
      <c r="F58" s="192" t="e">
        <f>+VLOOKUP(C58,#REF!,150,0)</f>
        <v>#REF!</v>
      </c>
      <c r="G58" s="239" t="e">
        <f t="shared" si="5"/>
        <v>#REF!</v>
      </c>
      <c r="H58" s="240" t="e">
        <f t="shared" si="6"/>
        <v>#REF!</v>
      </c>
      <c r="I58" s="238">
        <v>0</v>
      </c>
      <c r="J58" s="241" t="e">
        <f t="shared" si="7"/>
        <v>#REF!</v>
      </c>
      <c r="K58" s="238"/>
    </row>
    <row r="59" spans="1:11" s="242" customFormat="1" ht="17">
      <c r="A59" s="245">
        <v>51</v>
      </c>
      <c r="B59" s="152" t="s">
        <v>135</v>
      </c>
      <c r="C59" s="237">
        <v>8302066594</v>
      </c>
      <c r="D59" s="238" t="e">
        <f>VLOOKUP(C59,#REF!,7,0)</f>
        <v>#REF!</v>
      </c>
      <c r="E59" s="192" t="e">
        <f>VLOOKUP(C59,#REF!,128,0)</f>
        <v>#REF!</v>
      </c>
      <c r="F59" s="192" t="e">
        <f>+VLOOKUP(C59,#REF!,150,0)</f>
        <v>#REF!</v>
      </c>
      <c r="G59" s="239" t="e">
        <f t="shared" si="5"/>
        <v>#REF!</v>
      </c>
      <c r="H59" s="240" t="e">
        <f t="shared" si="6"/>
        <v>#REF!</v>
      </c>
      <c r="I59" s="238">
        <v>0</v>
      </c>
      <c r="J59" s="241" t="e">
        <f t="shared" si="7"/>
        <v>#REF!</v>
      </c>
      <c r="K59" s="238"/>
    </row>
    <row r="60" spans="1:11" s="242" customFormat="1" ht="17">
      <c r="A60" s="245">
        <v>52</v>
      </c>
      <c r="B60" s="152" t="s">
        <v>90</v>
      </c>
      <c r="C60" s="237">
        <v>8558749790</v>
      </c>
      <c r="D60" s="238" t="e">
        <f>VLOOKUP(C60,#REF!,7,0)</f>
        <v>#REF!</v>
      </c>
      <c r="E60" s="192" t="e">
        <f>VLOOKUP(C60,#REF!,128,0)</f>
        <v>#REF!</v>
      </c>
      <c r="F60" s="192" t="e">
        <f>+VLOOKUP(C60,#REF!,150,0)</f>
        <v>#REF!</v>
      </c>
      <c r="G60" s="239" t="e">
        <f t="shared" si="5"/>
        <v>#REF!</v>
      </c>
      <c r="H60" s="240" t="e">
        <f t="shared" si="6"/>
        <v>#REF!</v>
      </c>
      <c r="I60" s="238">
        <v>0</v>
      </c>
      <c r="J60" s="241" t="e">
        <f t="shared" si="7"/>
        <v>#REF!</v>
      </c>
      <c r="K60" s="238"/>
    </row>
    <row r="61" spans="1:11" s="242" customFormat="1" ht="17">
      <c r="A61" s="245">
        <v>53</v>
      </c>
      <c r="B61" s="152" t="s">
        <v>198</v>
      </c>
      <c r="C61" s="237">
        <v>8125437512</v>
      </c>
      <c r="D61" s="238" t="e">
        <f>VLOOKUP(C61,#REF!,7,0)</f>
        <v>#REF!</v>
      </c>
      <c r="E61" s="192" t="e">
        <f>VLOOKUP(C61,#REF!,128,0)</f>
        <v>#REF!</v>
      </c>
      <c r="F61" s="192" t="e">
        <f>+VLOOKUP(C61,#REF!,150,0)</f>
        <v>#REF!</v>
      </c>
      <c r="G61" s="239" t="e">
        <f t="shared" si="5"/>
        <v>#REF!</v>
      </c>
      <c r="H61" s="240" t="e">
        <f t="shared" si="6"/>
        <v>#REF!</v>
      </c>
      <c r="I61" s="238">
        <v>0</v>
      </c>
      <c r="J61" s="241" t="e">
        <f>+F61-E61+I61</f>
        <v>#REF!</v>
      </c>
      <c r="K61" s="238"/>
    </row>
    <row r="62" spans="1:11" s="242" customFormat="1" ht="17">
      <c r="A62" s="244" t="s">
        <v>354</v>
      </c>
      <c r="B62" s="144" t="s">
        <v>352</v>
      </c>
      <c r="C62" s="237"/>
      <c r="D62" s="238"/>
      <c r="E62" s="192"/>
      <c r="F62" s="192"/>
      <c r="G62" s="239"/>
      <c r="H62" s="240"/>
      <c r="I62" s="238"/>
      <c r="J62" s="241"/>
      <c r="K62" s="238"/>
    </row>
    <row r="63" spans="1:11" s="242" customFormat="1" ht="17">
      <c r="A63" s="245">
        <v>54</v>
      </c>
      <c r="B63" s="152" t="s">
        <v>69</v>
      </c>
      <c r="C63" s="237">
        <v>8136927050</v>
      </c>
      <c r="D63" s="238" t="e">
        <f>VLOOKUP(C63,#REF!,7,0)</f>
        <v>#REF!</v>
      </c>
      <c r="E63" s="192" t="e">
        <f>VLOOKUP(C63,#REF!,128,0)</f>
        <v>#REF!</v>
      </c>
      <c r="F63" s="192" t="e">
        <f>+VLOOKUP(C63,#REF!,150,0)</f>
        <v>#REF!</v>
      </c>
      <c r="G63" s="239" t="e">
        <f>+F63/E63</f>
        <v>#REF!</v>
      </c>
      <c r="H63" s="240" t="e">
        <f t="shared" ref="H63:H126" si="8">+ROUND(G63*50,0)</f>
        <v>#REF!</v>
      </c>
      <c r="I63" s="238">
        <v>0</v>
      </c>
      <c r="J63" s="241" t="e">
        <f t="shared" si="3"/>
        <v>#REF!</v>
      </c>
      <c r="K63" s="238"/>
    </row>
    <row r="64" spans="1:11" s="242" customFormat="1" ht="17">
      <c r="A64" s="245">
        <v>55</v>
      </c>
      <c r="B64" s="152" t="s">
        <v>67</v>
      </c>
      <c r="C64" s="237">
        <v>8558750108</v>
      </c>
      <c r="D64" s="238" t="e">
        <f>VLOOKUP(C64,#REF!,7,0)</f>
        <v>#REF!</v>
      </c>
      <c r="E64" s="192" t="e">
        <f>VLOOKUP(C64,#REF!,128,0)</f>
        <v>#REF!</v>
      </c>
      <c r="F64" s="192" t="e">
        <f>+VLOOKUP(C64,#REF!,150,0)</f>
        <v>#REF!</v>
      </c>
      <c r="G64" s="239" t="e">
        <f t="shared" ref="G64:G127" si="9">+F64/E64</f>
        <v>#REF!</v>
      </c>
      <c r="H64" s="240" t="e">
        <f t="shared" si="8"/>
        <v>#REF!</v>
      </c>
      <c r="I64" s="238">
        <v>0</v>
      </c>
      <c r="J64" s="241" t="e">
        <f t="shared" si="3"/>
        <v>#REF!</v>
      </c>
      <c r="K64" s="238"/>
    </row>
    <row r="65" spans="1:11" s="242" customFormat="1" ht="17">
      <c r="A65" s="245">
        <v>56</v>
      </c>
      <c r="B65" s="152" t="s">
        <v>68</v>
      </c>
      <c r="C65" s="237">
        <v>8111685667</v>
      </c>
      <c r="D65" s="238" t="e">
        <f>VLOOKUP(C65,#REF!,7,0)</f>
        <v>#REF!</v>
      </c>
      <c r="E65" s="192" t="e">
        <f>VLOOKUP(C65,#REF!,128,0)</f>
        <v>#REF!</v>
      </c>
      <c r="F65" s="192" t="e">
        <f>+VLOOKUP(C65,#REF!,150,0)</f>
        <v>#REF!</v>
      </c>
      <c r="G65" s="239" t="e">
        <f t="shared" si="9"/>
        <v>#REF!</v>
      </c>
      <c r="H65" s="240" t="e">
        <f t="shared" si="8"/>
        <v>#REF!</v>
      </c>
      <c r="I65" s="238">
        <v>0</v>
      </c>
      <c r="J65" s="241" t="e">
        <f t="shared" si="3"/>
        <v>#REF!</v>
      </c>
      <c r="K65" s="238"/>
    </row>
    <row r="66" spans="1:11" s="242" customFormat="1" ht="17">
      <c r="A66" s="245">
        <v>57</v>
      </c>
      <c r="B66" s="152" t="s">
        <v>197</v>
      </c>
      <c r="C66" s="237">
        <v>8890155739</v>
      </c>
      <c r="D66" s="238" t="e">
        <f>VLOOKUP(C66,#REF!,7,0)</f>
        <v>#REF!</v>
      </c>
      <c r="E66" s="192" t="e">
        <f>VLOOKUP(C66,#REF!,128,0)</f>
        <v>#REF!</v>
      </c>
      <c r="F66" s="192" t="e">
        <f>+VLOOKUP(C66,#REF!,150,0)</f>
        <v>#REF!</v>
      </c>
      <c r="G66" s="239" t="e">
        <f t="shared" si="9"/>
        <v>#REF!</v>
      </c>
      <c r="H66" s="240" t="e">
        <f t="shared" si="8"/>
        <v>#REF!</v>
      </c>
      <c r="I66" s="238">
        <v>0</v>
      </c>
      <c r="J66" s="241" t="e">
        <f t="shared" si="3"/>
        <v>#REF!</v>
      </c>
      <c r="K66" s="238"/>
    </row>
    <row r="67" spans="1:11" s="242" customFormat="1" ht="17">
      <c r="A67" s="245">
        <v>58</v>
      </c>
      <c r="B67" s="152" t="s">
        <v>204</v>
      </c>
      <c r="C67" s="237">
        <v>8453553991</v>
      </c>
      <c r="D67" s="238" t="e">
        <f>VLOOKUP(C67,#REF!,7,0)</f>
        <v>#REF!</v>
      </c>
      <c r="E67" s="192" t="e">
        <f>VLOOKUP(C67,#REF!,128,0)</f>
        <v>#REF!</v>
      </c>
      <c r="F67" s="192" t="e">
        <f>+VLOOKUP(C67,#REF!,150,0)</f>
        <v>#REF!</v>
      </c>
      <c r="G67" s="239" t="e">
        <f t="shared" si="9"/>
        <v>#REF!</v>
      </c>
      <c r="H67" s="240" t="e">
        <f t="shared" si="8"/>
        <v>#REF!</v>
      </c>
      <c r="I67" s="238">
        <v>0</v>
      </c>
      <c r="J67" s="241" t="e">
        <f t="shared" si="3"/>
        <v>#REF!</v>
      </c>
      <c r="K67" s="238"/>
    </row>
    <row r="68" spans="1:11" s="242" customFormat="1" ht="17">
      <c r="A68" s="245">
        <v>59</v>
      </c>
      <c r="B68" s="152" t="s">
        <v>230</v>
      </c>
      <c r="C68" s="237" t="s">
        <v>231</v>
      </c>
      <c r="D68" s="238" t="e">
        <f>VLOOKUP(C68,#REF!,7,0)</f>
        <v>#REF!</v>
      </c>
      <c r="E68" s="192" t="e">
        <f>VLOOKUP(C68,#REF!,128,0)</f>
        <v>#REF!</v>
      </c>
      <c r="F68" s="192" t="e">
        <f>+VLOOKUP(C68,#REF!,150,0)</f>
        <v>#REF!</v>
      </c>
      <c r="G68" s="239" t="e">
        <f t="shared" si="9"/>
        <v>#REF!</v>
      </c>
      <c r="H68" s="240" t="e">
        <f t="shared" si="8"/>
        <v>#REF!</v>
      </c>
      <c r="I68" s="238">
        <v>0</v>
      </c>
      <c r="J68" s="241" t="e">
        <f t="shared" si="3"/>
        <v>#REF!</v>
      </c>
      <c r="K68" s="238"/>
    </row>
    <row r="69" spans="1:11" s="242" customFormat="1" ht="17">
      <c r="A69" s="245">
        <v>60</v>
      </c>
      <c r="B69" s="152" t="s">
        <v>232</v>
      </c>
      <c r="C69" s="237">
        <v>8490255802</v>
      </c>
      <c r="D69" s="238" t="e">
        <f>VLOOKUP(C69,#REF!,7,0)</f>
        <v>#REF!</v>
      </c>
      <c r="E69" s="192" t="e">
        <f>VLOOKUP(C69,#REF!,128,0)</f>
        <v>#REF!</v>
      </c>
      <c r="F69" s="192" t="e">
        <f>+VLOOKUP(C69,#REF!,150,0)</f>
        <v>#REF!</v>
      </c>
      <c r="G69" s="239" t="e">
        <f t="shared" si="9"/>
        <v>#REF!</v>
      </c>
      <c r="H69" s="240" t="e">
        <f t="shared" si="8"/>
        <v>#REF!</v>
      </c>
      <c r="I69" s="238">
        <v>0</v>
      </c>
      <c r="J69" s="241" t="e">
        <f t="shared" si="3"/>
        <v>#REF!</v>
      </c>
      <c r="K69" s="238"/>
    </row>
    <row r="70" spans="1:11" s="242" customFormat="1" ht="17">
      <c r="A70" s="245">
        <v>61</v>
      </c>
      <c r="B70" s="152" t="s">
        <v>233</v>
      </c>
      <c r="C70" s="237" t="s">
        <v>234</v>
      </c>
      <c r="D70" s="238" t="e">
        <f>VLOOKUP(C70,#REF!,7,0)</f>
        <v>#REF!</v>
      </c>
      <c r="E70" s="192" t="e">
        <f>VLOOKUP(C70,#REF!,128,0)</f>
        <v>#REF!</v>
      </c>
      <c r="F70" s="192" t="e">
        <f>+VLOOKUP(C70,#REF!,150,0)</f>
        <v>#REF!</v>
      </c>
      <c r="G70" s="239" t="e">
        <f t="shared" si="9"/>
        <v>#REF!</v>
      </c>
      <c r="H70" s="240" t="e">
        <f t="shared" si="8"/>
        <v>#REF!</v>
      </c>
      <c r="I70" s="238">
        <v>0</v>
      </c>
      <c r="J70" s="241" t="e">
        <f t="shared" si="3"/>
        <v>#REF!</v>
      </c>
      <c r="K70" s="238"/>
    </row>
    <row r="71" spans="1:11" s="242" customFormat="1" ht="17">
      <c r="A71" s="245">
        <v>62</v>
      </c>
      <c r="B71" s="152" t="s">
        <v>334</v>
      </c>
      <c r="C71" s="237">
        <v>8062042501</v>
      </c>
      <c r="D71" s="238" t="e">
        <f>VLOOKUP(C71,#REF!,7,0)</f>
        <v>#REF!</v>
      </c>
      <c r="E71" s="192" t="e">
        <f>VLOOKUP(C71,#REF!,128,0)</f>
        <v>#REF!</v>
      </c>
      <c r="F71" s="192" t="e">
        <f>+VLOOKUP(C71,#REF!,150,0)</f>
        <v>#REF!</v>
      </c>
      <c r="G71" s="239" t="e">
        <f t="shared" si="9"/>
        <v>#REF!</v>
      </c>
      <c r="H71" s="240" t="e">
        <f t="shared" si="8"/>
        <v>#REF!</v>
      </c>
      <c r="I71" s="238">
        <v>0</v>
      </c>
      <c r="J71" s="241" t="e">
        <f t="shared" si="3"/>
        <v>#REF!</v>
      </c>
      <c r="K71" s="238"/>
    </row>
    <row r="72" spans="1:11" s="242" customFormat="1" ht="17">
      <c r="A72" s="245">
        <v>63</v>
      </c>
      <c r="B72" s="152" t="s">
        <v>323</v>
      </c>
      <c r="C72" s="237">
        <v>8579736915</v>
      </c>
      <c r="D72" s="238" t="e">
        <f>VLOOKUP(C72,#REF!,7,0)</f>
        <v>#REF!</v>
      </c>
      <c r="E72" s="192" t="e">
        <f>VLOOKUP(C72,#REF!,128,0)</f>
        <v>#REF!</v>
      </c>
      <c r="F72" s="192" t="e">
        <f>+VLOOKUP(C72,#REF!,150,0)</f>
        <v>#REF!</v>
      </c>
      <c r="G72" s="239" t="e">
        <f t="shared" si="9"/>
        <v>#REF!</v>
      </c>
      <c r="H72" s="240" t="e">
        <f t="shared" si="8"/>
        <v>#REF!</v>
      </c>
      <c r="I72" s="238">
        <v>0</v>
      </c>
      <c r="J72" s="241" t="e">
        <f t="shared" si="3"/>
        <v>#REF!</v>
      </c>
      <c r="K72" s="238"/>
    </row>
    <row r="73" spans="1:11" s="242" customFormat="1" ht="17">
      <c r="A73" s="245">
        <v>64</v>
      </c>
      <c r="B73" s="152" t="s">
        <v>192</v>
      </c>
      <c r="C73" s="237">
        <v>8308955536</v>
      </c>
      <c r="D73" s="238" t="e">
        <f>VLOOKUP(C73,#REF!,7,0)</f>
        <v>#REF!</v>
      </c>
      <c r="E73" s="192" t="e">
        <f>VLOOKUP(C73,#REF!,128,0)</f>
        <v>#REF!</v>
      </c>
      <c r="F73" s="192" t="e">
        <f>+VLOOKUP(C73,#REF!,150,0)</f>
        <v>#REF!</v>
      </c>
      <c r="G73" s="239" t="e">
        <f t="shared" si="9"/>
        <v>#REF!</v>
      </c>
      <c r="H73" s="240" t="e">
        <f t="shared" si="8"/>
        <v>#REF!</v>
      </c>
      <c r="I73" s="238">
        <v>0</v>
      </c>
      <c r="J73" s="241" t="e">
        <f t="shared" ref="J73:J136" si="10">+F73-E73+I73</f>
        <v>#REF!</v>
      </c>
      <c r="K73" s="238"/>
    </row>
    <row r="74" spans="1:11" s="242" customFormat="1" ht="17">
      <c r="A74" s="245">
        <v>65</v>
      </c>
      <c r="B74" s="152" t="s">
        <v>239</v>
      </c>
      <c r="C74" s="237">
        <v>8129808983</v>
      </c>
      <c r="D74" s="238" t="e">
        <f>VLOOKUP(C74,#REF!,7,0)</f>
        <v>#REF!</v>
      </c>
      <c r="E74" s="192" t="e">
        <f>VLOOKUP(C74,#REF!,128,0)</f>
        <v>#REF!</v>
      </c>
      <c r="F74" s="192" t="e">
        <f>+VLOOKUP(C74,#REF!,150,0)</f>
        <v>#REF!</v>
      </c>
      <c r="G74" s="239" t="e">
        <f t="shared" si="9"/>
        <v>#REF!</v>
      </c>
      <c r="H74" s="240" t="e">
        <f t="shared" si="8"/>
        <v>#REF!</v>
      </c>
      <c r="I74" s="238">
        <v>0</v>
      </c>
      <c r="J74" s="241" t="e">
        <f t="shared" si="10"/>
        <v>#REF!</v>
      </c>
      <c r="K74" s="238"/>
    </row>
    <row r="75" spans="1:11" s="242" customFormat="1" ht="17">
      <c r="A75" s="245">
        <v>66</v>
      </c>
      <c r="B75" s="152" t="s">
        <v>73</v>
      </c>
      <c r="C75" s="237">
        <v>8376836110</v>
      </c>
      <c r="D75" s="238" t="e">
        <f>VLOOKUP(C75,#REF!,7,0)</f>
        <v>#REF!</v>
      </c>
      <c r="E75" s="192" t="e">
        <f>VLOOKUP(C75,#REF!,128,0)</f>
        <v>#REF!</v>
      </c>
      <c r="F75" s="192" t="e">
        <f>+VLOOKUP(C75,#REF!,150,0)</f>
        <v>#REF!</v>
      </c>
      <c r="G75" s="239" t="e">
        <f t="shared" si="9"/>
        <v>#REF!</v>
      </c>
      <c r="H75" s="240" t="e">
        <f t="shared" si="8"/>
        <v>#REF!</v>
      </c>
      <c r="I75" s="238">
        <v>0</v>
      </c>
      <c r="J75" s="241" t="e">
        <f t="shared" si="10"/>
        <v>#REF!</v>
      </c>
      <c r="K75" s="238"/>
    </row>
    <row r="76" spans="1:11" s="242" customFormat="1" ht="17">
      <c r="A76" s="245">
        <v>67</v>
      </c>
      <c r="B76" s="152" t="s">
        <v>74</v>
      </c>
      <c r="C76" s="237">
        <v>8558749864</v>
      </c>
      <c r="D76" s="238" t="e">
        <f>VLOOKUP(C76,#REF!,7,0)</f>
        <v>#REF!</v>
      </c>
      <c r="E76" s="192" t="e">
        <f>VLOOKUP(C76,#REF!,128,0)</f>
        <v>#REF!</v>
      </c>
      <c r="F76" s="192" t="e">
        <f>+VLOOKUP(C76,#REF!,150,0)</f>
        <v>#REF!</v>
      </c>
      <c r="G76" s="239" t="e">
        <f t="shared" si="9"/>
        <v>#REF!</v>
      </c>
      <c r="H76" s="240" t="e">
        <f t="shared" si="8"/>
        <v>#REF!</v>
      </c>
      <c r="I76" s="238">
        <v>0</v>
      </c>
      <c r="J76" s="241" t="e">
        <f t="shared" si="10"/>
        <v>#REF!</v>
      </c>
      <c r="K76" s="238"/>
    </row>
    <row r="77" spans="1:11" s="242" customFormat="1" ht="17">
      <c r="A77" s="245">
        <v>68</v>
      </c>
      <c r="B77" s="152" t="s">
        <v>75</v>
      </c>
      <c r="C77" s="237">
        <v>8558749751</v>
      </c>
      <c r="D77" s="238" t="e">
        <f>VLOOKUP(C77,#REF!,7,0)</f>
        <v>#REF!</v>
      </c>
      <c r="E77" s="192" t="e">
        <f>VLOOKUP(C77,#REF!,128,0)</f>
        <v>#REF!</v>
      </c>
      <c r="F77" s="192" t="e">
        <f>+VLOOKUP(C77,#REF!,150,0)</f>
        <v>#REF!</v>
      </c>
      <c r="G77" s="239" t="e">
        <f t="shared" si="9"/>
        <v>#REF!</v>
      </c>
      <c r="H77" s="240" t="e">
        <f t="shared" si="8"/>
        <v>#REF!</v>
      </c>
      <c r="I77" s="238">
        <v>0</v>
      </c>
      <c r="J77" s="241" t="e">
        <f t="shared" si="10"/>
        <v>#REF!</v>
      </c>
      <c r="K77" s="238"/>
    </row>
    <row r="78" spans="1:11" s="242" customFormat="1" ht="17">
      <c r="A78" s="245">
        <v>69</v>
      </c>
      <c r="B78" s="152" t="s">
        <v>76</v>
      </c>
      <c r="C78" s="237">
        <v>8356412459</v>
      </c>
      <c r="D78" s="238" t="e">
        <f>VLOOKUP(C78,#REF!,7,0)</f>
        <v>#REF!</v>
      </c>
      <c r="E78" s="192" t="e">
        <f>VLOOKUP(C78,#REF!,128,0)</f>
        <v>#REF!</v>
      </c>
      <c r="F78" s="192" t="e">
        <f>+VLOOKUP(C78,#REF!,150,0)</f>
        <v>#REF!</v>
      </c>
      <c r="G78" s="239" t="e">
        <f t="shared" si="9"/>
        <v>#REF!</v>
      </c>
      <c r="H78" s="240" t="e">
        <f t="shared" si="8"/>
        <v>#REF!</v>
      </c>
      <c r="I78" s="238">
        <v>0</v>
      </c>
      <c r="J78" s="241" t="e">
        <f t="shared" si="10"/>
        <v>#REF!</v>
      </c>
      <c r="K78" s="238"/>
    </row>
    <row r="79" spans="1:11" s="242" customFormat="1" ht="17">
      <c r="A79" s="245">
        <v>70</v>
      </c>
      <c r="B79" s="152" t="s">
        <v>78</v>
      </c>
      <c r="C79" s="237">
        <v>8437463194</v>
      </c>
      <c r="D79" s="238" t="e">
        <f>VLOOKUP(C79,#REF!,7,0)</f>
        <v>#REF!</v>
      </c>
      <c r="E79" s="192" t="e">
        <f>VLOOKUP(C79,#REF!,128,0)</f>
        <v>#REF!</v>
      </c>
      <c r="F79" s="192" t="e">
        <f>+VLOOKUP(C79,#REF!,150,0)</f>
        <v>#REF!</v>
      </c>
      <c r="G79" s="239" t="e">
        <f t="shared" si="9"/>
        <v>#REF!</v>
      </c>
      <c r="H79" s="240" t="e">
        <f t="shared" si="8"/>
        <v>#REF!</v>
      </c>
      <c r="I79" s="238">
        <v>0</v>
      </c>
      <c r="J79" s="241" t="e">
        <f t="shared" si="10"/>
        <v>#REF!</v>
      </c>
      <c r="K79" s="238"/>
    </row>
    <row r="80" spans="1:11" s="242" customFormat="1" ht="17">
      <c r="A80" s="245">
        <v>71</v>
      </c>
      <c r="B80" s="152" t="s">
        <v>243</v>
      </c>
      <c r="C80" s="237">
        <v>8419874579</v>
      </c>
      <c r="D80" s="238" t="e">
        <f>VLOOKUP(C80,#REF!,7,0)</f>
        <v>#REF!</v>
      </c>
      <c r="E80" s="192" t="e">
        <f>VLOOKUP(C80,#REF!,128,0)</f>
        <v>#REF!</v>
      </c>
      <c r="F80" s="192" t="e">
        <f>+VLOOKUP(C80,#REF!,150,0)</f>
        <v>#REF!</v>
      </c>
      <c r="G80" s="239" t="e">
        <f t="shared" si="9"/>
        <v>#REF!</v>
      </c>
      <c r="H80" s="240" t="e">
        <f t="shared" si="8"/>
        <v>#REF!</v>
      </c>
      <c r="I80" s="238">
        <v>0</v>
      </c>
      <c r="J80" s="241" t="e">
        <f t="shared" si="10"/>
        <v>#REF!</v>
      </c>
      <c r="K80" s="238"/>
    </row>
    <row r="81" spans="1:11" s="242" customFormat="1" ht="17">
      <c r="A81" s="245">
        <v>72</v>
      </c>
      <c r="B81" s="152" t="s">
        <v>315</v>
      </c>
      <c r="C81" s="237">
        <v>8344328957</v>
      </c>
      <c r="D81" s="238" t="e">
        <f>VLOOKUP(C81,#REF!,7,0)</f>
        <v>#REF!</v>
      </c>
      <c r="E81" s="192" t="e">
        <f>VLOOKUP(C81,#REF!,128,0)</f>
        <v>#REF!</v>
      </c>
      <c r="F81" s="192" t="e">
        <f>+VLOOKUP(C81,#REF!,150,0)</f>
        <v>#REF!</v>
      </c>
      <c r="G81" s="239" t="e">
        <f t="shared" si="9"/>
        <v>#REF!</v>
      </c>
      <c r="H81" s="240" t="e">
        <f t="shared" si="8"/>
        <v>#REF!</v>
      </c>
      <c r="I81" s="238">
        <v>0</v>
      </c>
      <c r="J81" s="241" t="e">
        <f t="shared" si="10"/>
        <v>#REF!</v>
      </c>
      <c r="K81" s="238"/>
    </row>
    <row r="82" spans="1:11" s="242" customFormat="1" ht="17">
      <c r="A82" s="245">
        <v>73</v>
      </c>
      <c r="B82" s="251" t="s">
        <v>395</v>
      </c>
      <c r="C82" s="237">
        <v>8749802780</v>
      </c>
      <c r="D82" s="238" t="e">
        <f>VLOOKUP(C82,#REF!,7,0)</f>
        <v>#REF!</v>
      </c>
      <c r="E82" s="192" t="e">
        <f>VLOOKUP(C82,#REF!,128,0)</f>
        <v>#REF!</v>
      </c>
      <c r="F82" s="192" t="e">
        <f>+VLOOKUP(C82,#REF!,150,0)</f>
        <v>#REF!</v>
      </c>
      <c r="G82" s="239" t="e">
        <f t="shared" si="9"/>
        <v>#REF!</v>
      </c>
      <c r="H82" s="240" t="e">
        <f t="shared" si="8"/>
        <v>#REF!</v>
      </c>
      <c r="I82" s="238">
        <v>0</v>
      </c>
      <c r="J82" s="241" t="e">
        <f t="shared" si="10"/>
        <v>#REF!</v>
      </c>
      <c r="K82" s="238"/>
    </row>
    <row r="83" spans="1:11" s="242" customFormat="1" ht="17">
      <c r="A83" s="245">
        <v>74</v>
      </c>
      <c r="B83" s="152" t="s">
        <v>82</v>
      </c>
      <c r="C83" s="237">
        <v>8363810267</v>
      </c>
      <c r="D83" s="238" t="e">
        <f>VLOOKUP(C83,#REF!,7,0)</f>
        <v>#REF!</v>
      </c>
      <c r="E83" s="192" t="e">
        <f>VLOOKUP(C83,#REF!,128,0)</f>
        <v>#REF!</v>
      </c>
      <c r="F83" s="192" t="e">
        <f>+VLOOKUP(C83,#REF!,150,0)</f>
        <v>#REF!</v>
      </c>
      <c r="G83" s="239" t="e">
        <f t="shared" si="9"/>
        <v>#REF!</v>
      </c>
      <c r="H83" s="240" t="e">
        <f t="shared" si="8"/>
        <v>#REF!</v>
      </c>
      <c r="I83" s="238">
        <v>0</v>
      </c>
      <c r="J83" s="241" t="e">
        <f t="shared" si="10"/>
        <v>#REF!</v>
      </c>
      <c r="K83" s="238"/>
    </row>
    <row r="84" spans="1:11" s="242" customFormat="1" ht="17">
      <c r="A84" s="245">
        <v>75</v>
      </c>
      <c r="B84" s="152" t="s">
        <v>83</v>
      </c>
      <c r="C84" s="237">
        <v>8803406717</v>
      </c>
      <c r="D84" s="238" t="e">
        <f>VLOOKUP(C84,#REF!,7,0)</f>
        <v>#REF!</v>
      </c>
      <c r="E84" s="192" t="e">
        <f>VLOOKUP(C84,#REF!,128,0)</f>
        <v>#REF!</v>
      </c>
      <c r="F84" s="192" t="e">
        <f>+VLOOKUP(C84,#REF!,150,0)</f>
        <v>#REF!</v>
      </c>
      <c r="G84" s="239" t="e">
        <f t="shared" si="9"/>
        <v>#REF!</v>
      </c>
      <c r="H84" s="240" t="e">
        <f t="shared" si="8"/>
        <v>#REF!</v>
      </c>
      <c r="I84" s="238">
        <v>0</v>
      </c>
      <c r="J84" s="241" t="e">
        <f t="shared" si="10"/>
        <v>#REF!</v>
      </c>
      <c r="K84" s="238"/>
    </row>
    <row r="85" spans="1:11" s="242" customFormat="1" ht="17">
      <c r="A85" s="245">
        <v>76</v>
      </c>
      <c r="B85" s="152" t="s">
        <v>248</v>
      </c>
      <c r="C85" s="237" t="s">
        <v>249</v>
      </c>
      <c r="D85" s="238" t="e">
        <f>VLOOKUP(C85,#REF!,7,0)</f>
        <v>#REF!</v>
      </c>
      <c r="E85" s="192" t="e">
        <f>VLOOKUP(C85,#REF!,128,0)</f>
        <v>#REF!</v>
      </c>
      <c r="F85" s="192" t="e">
        <f>+VLOOKUP(C85,#REF!,150,0)</f>
        <v>#REF!</v>
      </c>
      <c r="G85" s="239" t="e">
        <f t="shared" si="9"/>
        <v>#REF!</v>
      </c>
      <c r="H85" s="240" t="e">
        <f t="shared" si="8"/>
        <v>#REF!</v>
      </c>
      <c r="I85" s="238">
        <v>0</v>
      </c>
      <c r="J85" s="241" t="e">
        <f t="shared" si="10"/>
        <v>#REF!</v>
      </c>
      <c r="K85" s="238"/>
    </row>
    <row r="86" spans="1:11" s="242" customFormat="1" ht="17">
      <c r="A86" s="245">
        <v>77</v>
      </c>
      <c r="B86" s="152" t="s">
        <v>250</v>
      </c>
      <c r="C86" s="237">
        <v>8665621890</v>
      </c>
      <c r="D86" s="238" t="e">
        <f>VLOOKUP(C86,#REF!,7,0)</f>
        <v>#REF!</v>
      </c>
      <c r="E86" s="192" t="e">
        <f>VLOOKUP(C86,#REF!,128,0)</f>
        <v>#REF!</v>
      </c>
      <c r="F86" s="192" t="e">
        <f>+VLOOKUP(C86,#REF!,150,0)</f>
        <v>#REF!</v>
      </c>
      <c r="G86" s="239" t="e">
        <f t="shared" si="9"/>
        <v>#REF!</v>
      </c>
      <c r="H86" s="240" t="e">
        <f t="shared" si="8"/>
        <v>#REF!</v>
      </c>
      <c r="I86" s="238">
        <v>0</v>
      </c>
      <c r="J86" s="241" t="e">
        <f t="shared" si="10"/>
        <v>#REF!</v>
      </c>
      <c r="K86" s="238"/>
    </row>
    <row r="87" spans="1:11" s="242" customFormat="1" ht="17">
      <c r="A87" s="245">
        <v>78</v>
      </c>
      <c r="B87" s="152" t="s">
        <v>251</v>
      </c>
      <c r="C87" s="237" t="s">
        <v>252</v>
      </c>
      <c r="D87" s="238" t="e">
        <f>VLOOKUP(C87,#REF!,7,0)</f>
        <v>#REF!</v>
      </c>
      <c r="E87" s="192" t="e">
        <f>VLOOKUP(C87,#REF!,128,0)</f>
        <v>#REF!</v>
      </c>
      <c r="F87" s="192" t="e">
        <f>+VLOOKUP(C87,#REF!,150,0)</f>
        <v>#REF!</v>
      </c>
      <c r="G87" s="239" t="e">
        <f t="shared" si="9"/>
        <v>#REF!</v>
      </c>
      <c r="H87" s="240" t="e">
        <f t="shared" si="8"/>
        <v>#REF!</v>
      </c>
      <c r="I87" s="238">
        <v>0</v>
      </c>
      <c r="J87" s="241" t="e">
        <f t="shared" si="10"/>
        <v>#REF!</v>
      </c>
      <c r="K87" s="238"/>
    </row>
    <row r="88" spans="1:11" s="242" customFormat="1" ht="17">
      <c r="A88" s="245">
        <v>79</v>
      </c>
      <c r="B88" s="152" t="s">
        <v>253</v>
      </c>
      <c r="C88" s="237">
        <v>8483091166</v>
      </c>
      <c r="D88" s="238" t="e">
        <f>VLOOKUP(C88,#REF!,7,0)</f>
        <v>#REF!</v>
      </c>
      <c r="E88" s="192" t="e">
        <f>VLOOKUP(C88,#REF!,128,0)</f>
        <v>#REF!</v>
      </c>
      <c r="F88" s="192" t="e">
        <f>+VLOOKUP(C88,#REF!,150,0)</f>
        <v>#REF!</v>
      </c>
      <c r="G88" s="239" t="e">
        <f t="shared" si="9"/>
        <v>#REF!</v>
      </c>
      <c r="H88" s="240" t="e">
        <f t="shared" si="8"/>
        <v>#REF!</v>
      </c>
      <c r="I88" s="238">
        <v>0</v>
      </c>
      <c r="J88" s="241" t="e">
        <f t="shared" si="10"/>
        <v>#REF!</v>
      </c>
      <c r="K88" s="238"/>
    </row>
    <row r="89" spans="1:11" s="242" customFormat="1" ht="17">
      <c r="A89" s="245">
        <v>80</v>
      </c>
      <c r="B89" s="152" t="s">
        <v>254</v>
      </c>
      <c r="C89" s="237" t="s">
        <v>255</v>
      </c>
      <c r="D89" s="238" t="e">
        <f>VLOOKUP(C89,#REF!,7,0)</f>
        <v>#REF!</v>
      </c>
      <c r="E89" s="192" t="e">
        <f>VLOOKUP(C89,#REF!,128,0)</f>
        <v>#REF!</v>
      </c>
      <c r="F89" s="192" t="e">
        <f>+VLOOKUP(C89,#REF!,150,0)</f>
        <v>#REF!</v>
      </c>
      <c r="G89" s="239" t="e">
        <f t="shared" si="9"/>
        <v>#REF!</v>
      </c>
      <c r="H89" s="240" t="e">
        <f t="shared" si="8"/>
        <v>#REF!</v>
      </c>
      <c r="I89" s="238">
        <v>0</v>
      </c>
      <c r="J89" s="241" t="e">
        <f t="shared" si="10"/>
        <v>#REF!</v>
      </c>
      <c r="K89" s="238"/>
    </row>
    <row r="90" spans="1:11" s="242" customFormat="1" ht="17">
      <c r="A90" s="245">
        <v>81</v>
      </c>
      <c r="B90" s="152" t="s">
        <v>264</v>
      </c>
      <c r="C90" s="237">
        <v>8890155778</v>
      </c>
      <c r="D90" s="238" t="e">
        <f>VLOOKUP(C90,#REF!,7,0)</f>
        <v>#REF!</v>
      </c>
      <c r="E90" s="192" t="e">
        <f>VLOOKUP(C90,#REF!,128,0)</f>
        <v>#REF!</v>
      </c>
      <c r="F90" s="192" t="e">
        <f>+VLOOKUP(C90,#REF!,150,0)</f>
        <v>#REF!</v>
      </c>
      <c r="G90" s="239" t="e">
        <f t="shared" si="9"/>
        <v>#REF!</v>
      </c>
      <c r="H90" s="240" t="e">
        <f t="shared" si="8"/>
        <v>#REF!</v>
      </c>
      <c r="I90" s="238">
        <v>0</v>
      </c>
      <c r="J90" s="241" t="e">
        <f t="shared" si="10"/>
        <v>#REF!</v>
      </c>
      <c r="K90" s="238"/>
    </row>
    <row r="91" spans="1:11" s="242" customFormat="1" ht="17">
      <c r="A91" s="245">
        <v>82</v>
      </c>
      <c r="B91" s="152" t="s">
        <v>295</v>
      </c>
      <c r="C91" s="237">
        <v>8133664981</v>
      </c>
      <c r="D91" s="238" t="e">
        <f>VLOOKUP(C91,#REF!,7,0)</f>
        <v>#REF!</v>
      </c>
      <c r="E91" s="192" t="e">
        <f>VLOOKUP(C91,#REF!,128,0)</f>
        <v>#REF!</v>
      </c>
      <c r="F91" s="192" t="e">
        <f>+VLOOKUP(C91,#REF!,150,0)</f>
        <v>#REF!</v>
      </c>
      <c r="G91" s="239" t="e">
        <f t="shared" si="9"/>
        <v>#REF!</v>
      </c>
      <c r="H91" s="240" t="e">
        <f t="shared" si="8"/>
        <v>#REF!</v>
      </c>
      <c r="I91" s="238">
        <v>0</v>
      </c>
      <c r="J91" s="241" t="e">
        <f t="shared" si="10"/>
        <v>#REF!</v>
      </c>
      <c r="K91" s="238"/>
    </row>
    <row r="92" spans="1:11" s="242" customFormat="1" ht="17">
      <c r="A92" s="245">
        <v>83</v>
      </c>
      <c r="B92" s="152" t="s">
        <v>240</v>
      </c>
      <c r="C92" s="237">
        <v>8782897437</v>
      </c>
      <c r="D92" s="238" t="e">
        <f>VLOOKUP(C92,#REF!,7,0)</f>
        <v>#REF!</v>
      </c>
      <c r="E92" s="192" t="e">
        <f>VLOOKUP(C92,#REF!,128,0)</f>
        <v>#REF!</v>
      </c>
      <c r="F92" s="192" t="e">
        <f>+VLOOKUP(C92,#REF!,150,0)</f>
        <v>#REF!</v>
      </c>
      <c r="G92" s="239" t="e">
        <f t="shared" si="9"/>
        <v>#REF!</v>
      </c>
      <c r="H92" s="240" t="e">
        <f t="shared" si="8"/>
        <v>#REF!</v>
      </c>
      <c r="I92" s="238">
        <v>0</v>
      </c>
      <c r="J92" s="241" t="e">
        <f t="shared" si="10"/>
        <v>#REF!</v>
      </c>
      <c r="K92" s="238"/>
    </row>
    <row r="93" spans="1:11" s="242" customFormat="1" ht="17">
      <c r="A93" s="245">
        <v>84</v>
      </c>
      <c r="B93" s="152" t="s">
        <v>242</v>
      </c>
      <c r="C93" s="237">
        <v>8142069393</v>
      </c>
      <c r="D93" s="238" t="e">
        <f>VLOOKUP(C93,#REF!,7,0)</f>
        <v>#REF!</v>
      </c>
      <c r="E93" s="192" t="e">
        <f>VLOOKUP(C93,#REF!,128,0)</f>
        <v>#REF!</v>
      </c>
      <c r="F93" s="192" t="e">
        <f>+VLOOKUP(C93,#REF!,150,0)</f>
        <v>#REF!</v>
      </c>
      <c r="G93" s="239" t="e">
        <f t="shared" si="9"/>
        <v>#REF!</v>
      </c>
      <c r="H93" s="240" t="e">
        <f t="shared" si="8"/>
        <v>#REF!</v>
      </c>
      <c r="I93" s="238">
        <v>0</v>
      </c>
      <c r="J93" s="241" t="e">
        <f t="shared" si="10"/>
        <v>#REF!</v>
      </c>
      <c r="K93" s="238"/>
    </row>
    <row r="94" spans="1:11" s="242" customFormat="1" ht="17">
      <c r="A94" s="245">
        <v>85</v>
      </c>
      <c r="B94" s="152" t="s">
        <v>208</v>
      </c>
      <c r="C94" s="237">
        <v>8665526904</v>
      </c>
      <c r="D94" s="238" t="e">
        <f>VLOOKUP(C94,#REF!,7,0)</f>
        <v>#REF!</v>
      </c>
      <c r="E94" s="192" t="e">
        <f>VLOOKUP(C94,#REF!,128,0)</f>
        <v>#REF!</v>
      </c>
      <c r="F94" s="192" t="e">
        <f>+VLOOKUP(C94,#REF!,150,0)</f>
        <v>#REF!</v>
      </c>
      <c r="G94" s="239" t="e">
        <f t="shared" si="9"/>
        <v>#REF!</v>
      </c>
      <c r="H94" s="240" t="e">
        <f t="shared" si="8"/>
        <v>#REF!</v>
      </c>
      <c r="I94" s="238">
        <v>0</v>
      </c>
      <c r="J94" s="241" t="e">
        <f t="shared" si="10"/>
        <v>#REF!</v>
      </c>
      <c r="K94" s="238"/>
    </row>
    <row r="95" spans="1:11" s="242" customFormat="1" ht="17">
      <c r="A95" s="245">
        <v>86</v>
      </c>
      <c r="B95" s="152" t="s">
        <v>26</v>
      </c>
      <c r="C95" s="237">
        <v>8558749800</v>
      </c>
      <c r="D95" s="238" t="e">
        <f>VLOOKUP(C95,#REF!,7,0)</f>
        <v>#REF!</v>
      </c>
      <c r="E95" s="192" t="e">
        <f>VLOOKUP(C95,#REF!,128,0)</f>
        <v>#REF!</v>
      </c>
      <c r="F95" s="192" t="e">
        <f>+VLOOKUP(C95,#REF!,150,0)</f>
        <v>#REF!</v>
      </c>
      <c r="G95" s="239" t="e">
        <f t="shared" si="9"/>
        <v>#REF!</v>
      </c>
      <c r="H95" s="240" t="e">
        <f t="shared" si="8"/>
        <v>#REF!</v>
      </c>
      <c r="I95" s="238">
        <v>0</v>
      </c>
      <c r="J95" s="241" t="e">
        <f t="shared" si="10"/>
        <v>#REF!</v>
      </c>
      <c r="K95" s="238"/>
    </row>
    <row r="96" spans="1:11" s="242" customFormat="1" ht="17">
      <c r="A96" s="245">
        <v>87</v>
      </c>
      <c r="B96" s="152" t="s">
        <v>85</v>
      </c>
      <c r="C96" s="237" t="s">
        <v>166</v>
      </c>
      <c r="D96" s="238" t="e">
        <f>VLOOKUP(C96,#REF!,7,0)</f>
        <v>#REF!</v>
      </c>
      <c r="E96" s="192" t="e">
        <f>VLOOKUP(C96,#REF!,128,0)</f>
        <v>#REF!</v>
      </c>
      <c r="F96" s="192" t="e">
        <f>+VLOOKUP(C96,#REF!,150,0)</f>
        <v>#REF!</v>
      </c>
      <c r="G96" s="239" t="e">
        <f t="shared" si="9"/>
        <v>#REF!</v>
      </c>
      <c r="H96" s="240" t="e">
        <f t="shared" si="8"/>
        <v>#REF!</v>
      </c>
      <c r="I96" s="238">
        <v>0</v>
      </c>
      <c r="J96" s="241" t="e">
        <f t="shared" si="10"/>
        <v>#REF!</v>
      </c>
      <c r="K96" s="238"/>
    </row>
    <row r="97" spans="1:11" s="242" customFormat="1" ht="17">
      <c r="A97" s="245">
        <v>88</v>
      </c>
      <c r="B97" s="152" t="s">
        <v>256</v>
      </c>
      <c r="C97" s="237">
        <v>8890155760</v>
      </c>
      <c r="D97" s="238" t="e">
        <f>VLOOKUP(C97,#REF!,7,0)</f>
        <v>#REF!</v>
      </c>
      <c r="E97" s="192" t="e">
        <f>VLOOKUP(C97,#REF!,128,0)</f>
        <v>#REF!</v>
      </c>
      <c r="F97" s="192" t="e">
        <f>+VLOOKUP(C97,#REF!,150,0)</f>
        <v>#REF!</v>
      </c>
      <c r="G97" s="239" t="e">
        <f t="shared" si="9"/>
        <v>#REF!</v>
      </c>
      <c r="H97" s="240" t="e">
        <f t="shared" si="8"/>
        <v>#REF!</v>
      </c>
      <c r="I97" s="238">
        <v>0</v>
      </c>
      <c r="J97" s="241" t="e">
        <f t="shared" si="10"/>
        <v>#REF!</v>
      </c>
      <c r="K97" s="238"/>
    </row>
    <row r="98" spans="1:11" s="242" customFormat="1" ht="17">
      <c r="A98" s="245">
        <v>89</v>
      </c>
      <c r="B98" s="152" t="s">
        <v>257</v>
      </c>
      <c r="C98" s="237" t="s">
        <v>258</v>
      </c>
      <c r="D98" s="238" t="e">
        <f>VLOOKUP(C98,#REF!,7,0)</f>
        <v>#REF!</v>
      </c>
      <c r="E98" s="192" t="e">
        <f>VLOOKUP(C98,#REF!,128,0)</f>
        <v>#REF!</v>
      </c>
      <c r="F98" s="192" t="e">
        <f>+VLOOKUP(C98,#REF!,150,0)</f>
        <v>#REF!</v>
      </c>
      <c r="G98" s="239" t="e">
        <f t="shared" si="9"/>
        <v>#REF!</v>
      </c>
      <c r="H98" s="240" t="e">
        <f t="shared" si="8"/>
        <v>#REF!</v>
      </c>
      <c r="I98" s="238">
        <v>0</v>
      </c>
      <c r="J98" s="241" t="e">
        <f t="shared" si="10"/>
        <v>#REF!</v>
      </c>
      <c r="K98" s="238"/>
    </row>
    <row r="99" spans="1:11" s="242" customFormat="1" ht="17">
      <c r="A99" s="245">
        <v>90</v>
      </c>
      <c r="B99" s="152" t="s">
        <v>260</v>
      </c>
      <c r="C99" s="237">
        <v>8894723534</v>
      </c>
      <c r="D99" s="238" t="e">
        <f>VLOOKUP(C99,#REF!,7,0)</f>
        <v>#REF!</v>
      </c>
      <c r="E99" s="192" t="e">
        <f>VLOOKUP(C99,#REF!,128,0)</f>
        <v>#REF!</v>
      </c>
      <c r="F99" s="192" t="e">
        <f>+VLOOKUP(C99,#REF!,150,0)</f>
        <v>#REF!</v>
      </c>
      <c r="G99" s="239" t="e">
        <f t="shared" si="9"/>
        <v>#REF!</v>
      </c>
      <c r="H99" s="240" t="e">
        <f t="shared" si="8"/>
        <v>#REF!</v>
      </c>
      <c r="I99" s="238">
        <v>0</v>
      </c>
      <c r="J99" s="241" t="e">
        <f t="shared" si="10"/>
        <v>#REF!</v>
      </c>
      <c r="K99" s="238"/>
    </row>
    <row r="100" spans="1:11" s="242" customFormat="1" ht="17">
      <c r="A100" s="245">
        <v>91</v>
      </c>
      <c r="B100" s="152" t="s">
        <v>265</v>
      </c>
      <c r="C100" s="237">
        <v>8496380341</v>
      </c>
      <c r="D100" s="238" t="e">
        <f>VLOOKUP(C100,#REF!,7,0)</f>
        <v>#REF!</v>
      </c>
      <c r="E100" s="192" t="e">
        <f>VLOOKUP(C100,#REF!,128,0)</f>
        <v>#REF!</v>
      </c>
      <c r="F100" s="192" t="e">
        <f>+VLOOKUP(C100,#REF!,150,0)</f>
        <v>#REF!</v>
      </c>
      <c r="G100" s="239" t="e">
        <f t="shared" si="9"/>
        <v>#REF!</v>
      </c>
      <c r="H100" s="240" t="e">
        <f t="shared" si="8"/>
        <v>#REF!</v>
      </c>
      <c r="I100" s="238">
        <v>0</v>
      </c>
      <c r="J100" s="241" t="e">
        <f t="shared" si="10"/>
        <v>#REF!</v>
      </c>
      <c r="K100" s="238"/>
    </row>
    <row r="101" spans="1:11" s="242" customFormat="1" ht="17">
      <c r="A101" s="245">
        <v>92</v>
      </c>
      <c r="B101" s="152" t="s">
        <v>320</v>
      </c>
      <c r="C101" s="237">
        <v>8444116152</v>
      </c>
      <c r="D101" s="238" t="e">
        <f>VLOOKUP(C101,#REF!,7,0)</f>
        <v>#REF!</v>
      </c>
      <c r="E101" s="192" t="e">
        <f>VLOOKUP(C101,#REF!,128,0)</f>
        <v>#REF!</v>
      </c>
      <c r="F101" s="192" t="e">
        <f>+VLOOKUP(C101,#REF!,150,0)</f>
        <v>#REF!</v>
      </c>
      <c r="G101" s="239" t="e">
        <f t="shared" si="9"/>
        <v>#REF!</v>
      </c>
      <c r="H101" s="240" t="e">
        <f t="shared" si="8"/>
        <v>#REF!</v>
      </c>
      <c r="I101" s="238">
        <v>0</v>
      </c>
      <c r="J101" s="241" t="e">
        <f t="shared" si="10"/>
        <v>#REF!</v>
      </c>
      <c r="K101" s="238"/>
    </row>
    <row r="102" spans="1:11" s="242" customFormat="1" ht="17">
      <c r="A102" s="245">
        <v>93</v>
      </c>
      <c r="B102" s="152" t="s">
        <v>79</v>
      </c>
      <c r="C102" s="237">
        <v>8252389614</v>
      </c>
      <c r="D102" s="238" t="e">
        <f>VLOOKUP(C102,#REF!,7,0)</f>
        <v>#REF!</v>
      </c>
      <c r="E102" s="192" t="e">
        <f>VLOOKUP(C102,#REF!,128,0)</f>
        <v>#REF!</v>
      </c>
      <c r="F102" s="192" t="e">
        <f>+VLOOKUP(C102,#REF!,150,0)</f>
        <v>#REF!</v>
      </c>
      <c r="G102" s="239" t="e">
        <f t="shared" si="9"/>
        <v>#REF!</v>
      </c>
      <c r="H102" s="240" t="e">
        <f t="shared" si="8"/>
        <v>#REF!</v>
      </c>
      <c r="I102" s="238">
        <v>0</v>
      </c>
      <c r="J102" s="241" t="e">
        <f t="shared" si="10"/>
        <v>#REF!</v>
      </c>
      <c r="K102" s="238"/>
    </row>
    <row r="103" spans="1:11" s="242" customFormat="1" ht="17">
      <c r="A103" s="245">
        <v>94</v>
      </c>
      <c r="B103" s="152" t="s">
        <v>86</v>
      </c>
      <c r="C103" s="237">
        <v>8639390502</v>
      </c>
      <c r="D103" s="238" t="e">
        <f>VLOOKUP(C103,#REF!,7,0)</f>
        <v>#REF!</v>
      </c>
      <c r="E103" s="192" t="e">
        <f>VLOOKUP(C103,#REF!,128,0)</f>
        <v>#REF!</v>
      </c>
      <c r="F103" s="192" t="e">
        <f>+VLOOKUP(C103,#REF!,150,0)</f>
        <v>#REF!</v>
      </c>
      <c r="G103" s="239" t="e">
        <f t="shared" si="9"/>
        <v>#REF!</v>
      </c>
      <c r="H103" s="240" t="e">
        <f t="shared" si="8"/>
        <v>#REF!</v>
      </c>
      <c r="I103" s="238">
        <v>0</v>
      </c>
      <c r="J103" s="241" t="e">
        <f t="shared" si="10"/>
        <v>#REF!</v>
      </c>
      <c r="K103" s="238"/>
    </row>
    <row r="104" spans="1:11" s="242" customFormat="1" ht="17">
      <c r="A104" s="245">
        <v>95</v>
      </c>
      <c r="B104" s="152" t="s">
        <v>27</v>
      </c>
      <c r="C104" s="237">
        <v>8803406682</v>
      </c>
      <c r="D104" s="238" t="e">
        <f>VLOOKUP(C104,#REF!,7,0)</f>
        <v>#REF!</v>
      </c>
      <c r="E104" s="192" t="e">
        <f>VLOOKUP(C104,#REF!,128,0)</f>
        <v>#REF!</v>
      </c>
      <c r="F104" s="192" t="e">
        <f>+VLOOKUP(C104,#REF!,150,0)</f>
        <v>#REF!</v>
      </c>
      <c r="G104" s="239" t="e">
        <f t="shared" si="9"/>
        <v>#REF!</v>
      </c>
      <c r="H104" s="240" t="e">
        <f t="shared" si="8"/>
        <v>#REF!</v>
      </c>
      <c r="I104" s="238">
        <v>0</v>
      </c>
      <c r="J104" s="241" t="e">
        <f t="shared" si="10"/>
        <v>#REF!</v>
      </c>
      <c r="K104" s="238"/>
    </row>
    <row r="105" spans="1:11" s="242" customFormat="1" ht="17">
      <c r="A105" s="245">
        <v>96</v>
      </c>
      <c r="B105" s="152" t="s">
        <v>325</v>
      </c>
      <c r="C105" s="237">
        <v>8471466702</v>
      </c>
      <c r="D105" s="238" t="e">
        <f>VLOOKUP(C105,#REF!,7,0)</f>
        <v>#REF!</v>
      </c>
      <c r="E105" s="192" t="e">
        <f>VLOOKUP(C105,#REF!,128,0)</f>
        <v>#REF!</v>
      </c>
      <c r="F105" s="192" t="e">
        <f>+VLOOKUP(C105,#REF!,150,0)</f>
        <v>#REF!</v>
      </c>
      <c r="G105" s="239" t="e">
        <f t="shared" si="9"/>
        <v>#REF!</v>
      </c>
      <c r="H105" s="240" t="e">
        <f t="shared" si="8"/>
        <v>#REF!</v>
      </c>
      <c r="I105" s="238">
        <v>0</v>
      </c>
      <c r="J105" s="241" t="e">
        <f t="shared" si="10"/>
        <v>#REF!</v>
      </c>
      <c r="K105" s="238"/>
    </row>
    <row r="106" spans="1:11" s="242" customFormat="1" ht="17">
      <c r="A106" s="245">
        <v>97</v>
      </c>
      <c r="B106" s="152" t="s">
        <v>266</v>
      </c>
      <c r="C106" s="237" t="s">
        <v>311</v>
      </c>
      <c r="D106" s="238" t="e">
        <f>VLOOKUP(C106,#REF!,7,0)</f>
        <v>#REF!</v>
      </c>
      <c r="E106" s="192" t="e">
        <f>VLOOKUP(C106,#REF!,128,0)</f>
        <v>#REF!</v>
      </c>
      <c r="F106" s="192" t="e">
        <f>+VLOOKUP(C106,#REF!,150,0)</f>
        <v>#REF!</v>
      </c>
      <c r="G106" s="239" t="e">
        <f t="shared" si="9"/>
        <v>#REF!</v>
      </c>
      <c r="H106" s="240" t="e">
        <f t="shared" si="8"/>
        <v>#REF!</v>
      </c>
      <c r="I106" s="238">
        <v>0</v>
      </c>
      <c r="J106" s="241" t="e">
        <f t="shared" si="10"/>
        <v>#REF!</v>
      </c>
      <c r="K106" s="238"/>
    </row>
    <row r="107" spans="1:11" s="242" customFormat="1" ht="17">
      <c r="A107" s="245">
        <v>98</v>
      </c>
      <c r="B107" s="152" t="s">
        <v>241</v>
      </c>
      <c r="C107" s="237">
        <v>8128550153</v>
      </c>
      <c r="D107" s="238" t="e">
        <f>VLOOKUP(C107,#REF!,7,0)</f>
        <v>#REF!</v>
      </c>
      <c r="E107" s="192" t="e">
        <f>VLOOKUP(C107,#REF!,128,0)</f>
        <v>#REF!</v>
      </c>
      <c r="F107" s="192" t="e">
        <f>+VLOOKUP(C107,#REF!,150,0)</f>
        <v>#REF!</v>
      </c>
      <c r="G107" s="239" t="e">
        <f t="shared" si="9"/>
        <v>#REF!</v>
      </c>
      <c r="H107" s="240" t="e">
        <f t="shared" si="8"/>
        <v>#REF!</v>
      </c>
      <c r="I107" s="238">
        <v>0</v>
      </c>
      <c r="J107" s="241" t="e">
        <f t="shared" si="10"/>
        <v>#REF!</v>
      </c>
      <c r="K107" s="238"/>
    </row>
    <row r="108" spans="1:11" s="242" customFormat="1" ht="17">
      <c r="A108" s="245">
        <v>99</v>
      </c>
      <c r="B108" s="152" t="s">
        <v>185</v>
      </c>
      <c r="C108" s="237">
        <v>8687881370</v>
      </c>
      <c r="D108" s="238" t="e">
        <f>VLOOKUP(C108,#REF!,7,0)</f>
        <v>#REF!</v>
      </c>
      <c r="E108" s="192" t="e">
        <f>VLOOKUP(C108,#REF!,128,0)</f>
        <v>#REF!</v>
      </c>
      <c r="F108" s="192" t="e">
        <f>+VLOOKUP(C108,#REF!,150,0)</f>
        <v>#REF!</v>
      </c>
      <c r="G108" s="239" t="e">
        <f t="shared" si="9"/>
        <v>#REF!</v>
      </c>
      <c r="H108" s="240" t="e">
        <f t="shared" si="8"/>
        <v>#REF!</v>
      </c>
      <c r="I108" s="238">
        <v>0</v>
      </c>
      <c r="J108" s="241" t="e">
        <f t="shared" si="10"/>
        <v>#REF!</v>
      </c>
      <c r="K108" s="238"/>
    </row>
    <row r="109" spans="1:11" s="242" customFormat="1" ht="17">
      <c r="A109" s="245">
        <v>100</v>
      </c>
      <c r="B109" s="152" t="s">
        <v>469</v>
      </c>
      <c r="C109" s="237">
        <v>8611755760</v>
      </c>
      <c r="D109" s="238" t="e">
        <f>VLOOKUP(C109,#REF!,7,0)</f>
        <v>#REF!</v>
      </c>
      <c r="E109" s="192" t="e">
        <f>VLOOKUP(C109,#REF!,128,0)</f>
        <v>#REF!</v>
      </c>
      <c r="F109" s="192" t="e">
        <f>+VLOOKUP(C109,#REF!,150,0)</f>
        <v>#REF!</v>
      </c>
      <c r="G109" s="239" t="e">
        <f t="shared" si="9"/>
        <v>#REF!</v>
      </c>
      <c r="H109" s="240" t="e">
        <f t="shared" si="8"/>
        <v>#REF!</v>
      </c>
      <c r="I109" s="238">
        <v>0</v>
      </c>
      <c r="J109" s="241" t="e">
        <f t="shared" si="10"/>
        <v>#REF!</v>
      </c>
      <c r="K109" s="238"/>
    </row>
    <row r="110" spans="1:11" s="242" customFormat="1" ht="17">
      <c r="A110" s="245">
        <v>101</v>
      </c>
      <c r="B110" s="152" t="s">
        <v>184</v>
      </c>
      <c r="C110" s="237">
        <v>8647964380</v>
      </c>
      <c r="D110" s="238" t="e">
        <f>VLOOKUP(C110,#REF!,7,0)</f>
        <v>#REF!</v>
      </c>
      <c r="E110" s="192" t="e">
        <f>VLOOKUP(C110,#REF!,128,0)</f>
        <v>#REF!</v>
      </c>
      <c r="F110" s="192" t="e">
        <f>+VLOOKUP(C110,#REF!,150,0)</f>
        <v>#REF!</v>
      </c>
      <c r="G110" s="239" t="e">
        <f t="shared" si="9"/>
        <v>#REF!</v>
      </c>
      <c r="H110" s="240" t="e">
        <f t="shared" si="8"/>
        <v>#REF!</v>
      </c>
      <c r="I110" s="238">
        <v>0</v>
      </c>
      <c r="J110" s="241" t="e">
        <f t="shared" si="10"/>
        <v>#REF!</v>
      </c>
      <c r="K110" s="238"/>
    </row>
    <row r="111" spans="1:11" s="242" customFormat="1" ht="17">
      <c r="A111" s="245">
        <v>102</v>
      </c>
      <c r="B111" s="152" t="s">
        <v>417</v>
      </c>
      <c r="C111" s="237">
        <v>8932723658</v>
      </c>
      <c r="D111" s="238" t="e">
        <f>VLOOKUP(C111,#REF!,7,0)</f>
        <v>#REF!</v>
      </c>
      <c r="E111" s="192" t="e">
        <f>VLOOKUP(C111,#REF!,128,0)</f>
        <v>#REF!</v>
      </c>
      <c r="F111" s="192" t="e">
        <f>+VLOOKUP(C111,#REF!,150,0)</f>
        <v>#REF!</v>
      </c>
      <c r="G111" s="239" t="e">
        <f t="shared" si="9"/>
        <v>#REF!</v>
      </c>
      <c r="H111" s="240" t="e">
        <f t="shared" si="8"/>
        <v>#REF!</v>
      </c>
      <c r="I111" s="238">
        <v>0</v>
      </c>
      <c r="J111" s="241" t="e">
        <f t="shared" si="10"/>
        <v>#REF!</v>
      </c>
      <c r="K111" s="238"/>
    </row>
    <row r="112" spans="1:11" s="242" customFormat="1" ht="17">
      <c r="A112" s="245">
        <v>103</v>
      </c>
      <c r="B112" s="152" t="s">
        <v>421</v>
      </c>
      <c r="C112" s="237">
        <v>8292949220</v>
      </c>
      <c r="D112" s="238" t="e">
        <f>VLOOKUP(C112,#REF!,7,0)</f>
        <v>#REF!</v>
      </c>
      <c r="E112" s="192" t="e">
        <f>VLOOKUP(C112,#REF!,128,0)</f>
        <v>#REF!</v>
      </c>
      <c r="F112" s="192" t="e">
        <f>+VLOOKUP(C112,#REF!,150,0)</f>
        <v>#REF!</v>
      </c>
      <c r="G112" s="239" t="e">
        <f t="shared" si="9"/>
        <v>#REF!</v>
      </c>
      <c r="H112" s="240" t="e">
        <f t="shared" si="8"/>
        <v>#REF!</v>
      </c>
      <c r="I112" s="238">
        <v>0</v>
      </c>
      <c r="J112" s="241" t="e">
        <f t="shared" si="10"/>
        <v>#REF!</v>
      </c>
      <c r="K112" s="238"/>
    </row>
    <row r="113" spans="1:11" s="242" customFormat="1" ht="17">
      <c r="A113" s="245">
        <v>104</v>
      </c>
      <c r="B113" s="152" t="s">
        <v>422</v>
      </c>
      <c r="C113" s="237">
        <v>8937417157</v>
      </c>
      <c r="D113" s="238" t="e">
        <f>VLOOKUP(C113,#REF!,7,0)</f>
        <v>#REF!</v>
      </c>
      <c r="E113" s="192" t="e">
        <f>VLOOKUP(C113,#REF!,128,0)</f>
        <v>#REF!</v>
      </c>
      <c r="F113" s="192" t="e">
        <f>+VLOOKUP(C113,#REF!,150,0)</f>
        <v>#REF!</v>
      </c>
      <c r="G113" s="239" t="e">
        <f t="shared" si="9"/>
        <v>#REF!</v>
      </c>
      <c r="H113" s="240" t="e">
        <f t="shared" si="8"/>
        <v>#REF!</v>
      </c>
      <c r="I113" s="238">
        <v>0</v>
      </c>
      <c r="J113" s="241" t="e">
        <f t="shared" si="10"/>
        <v>#REF!</v>
      </c>
      <c r="K113" s="238"/>
    </row>
    <row r="114" spans="1:11" s="242" customFormat="1" ht="17">
      <c r="A114" s="245">
        <v>105</v>
      </c>
      <c r="B114" s="152" t="s">
        <v>124</v>
      </c>
      <c r="C114" s="237">
        <v>8558749920</v>
      </c>
      <c r="D114" s="238" t="e">
        <f>VLOOKUP(C114,#REF!,7,0)</f>
        <v>#REF!</v>
      </c>
      <c r="E114" s="192" t="e">
        <f>VLOOKUP(C114,#REF!,128,0)</f>
        <v>#REF!</v>
      </c>
      <c r="F114" s="192" t="e">
        <f>+VLOOKUP(C114,#REF!,150,0)</f>
        <v>#REF!</v>
      </c>
      <c r="G114" s="239" t="e">
        <f t="shared" si="9"/>
        <v>#REF!</v>
      </c>
      <c r="H114" s="240" t="e">
        <f t="shared" si="8"/>
        <v>#REF!</v>
      </c>
      <c r="I114" s="238">
        <v>0</v>
      </c>
      <c r="J114" s="241" t="e">
        <f t="shared" si="10"/>
        <v>#REF!</v>
      </c>
      <c r="K114" s="238"/>
    </row>
    <row r="115" spans="1:11" s="242" customFormat="1" ht="17">
      <c r="A115" s="245">
        <v>106</v>
      </c>
      <c r="B115" s="152" t="s">
        <v>278</v>
      </c>
      <c r="C115" s="237">
        <v>8890155672</v>
      </c>
      <c r="D115" s="238" t="e">
        <f>VLOOKUP(C115,#REF!,7,0)</f>
        <v>#REF!</v>
      </c>
      <c r="E115" s="192" t="e">
        <f>VLOOKUP(C115,#REF!,128,0)</f>
        <v>#REF!</v>
      </c>
      <c r="F115" s="192" t="e">
        <f>+VLOOKUP(C115,#REF!,150,0)</f>
        <v>#REF!</v>
      </c>
      <c r="G115" s="239" t="e">
        <f t="shared" si="9"/>
        <v>#REF!</v>
      </c>
      <c r="H115" s="240" t="e">
        <f t="shared" si="8"/>
        <v>#REF!</v>
      </c>
      <c r="I115" s="238">
        <v>0</v>
      </c>
      <c r="J115" s="241" t="e">
        <f t="shared" si="10"/>
        <v>#REF!</v>
      </c>
      <c r="K115" s="238"/>
    </row>
    <row r="116" spans="1:11" s="242" customFormat="1" ht="17">
      <c r="A116" s="245">
        <v>107</v>
      </c>
      <c r="B116" s="152" t="s">
        <v>299</v>
      </c>
      <c r="C116" s="237">
        <v>8816291414</v>
      </c>
      <c r="D116" s="238" t="e">
        <f>VLOOKUP(C116,#REF!,7,0)</f>
        <v>#REF!</v>
      </c>
      <c r="E116" s="192" t="e">
        <f>VLOOKUP(C116,#REF!,128,0)</f>
        <v>#REF!</v>
      </c>
      <c r="F116" s="192" t="e">
        <f>+VLOOKUP(C116,#REF!,150,0)</f>
        <v>#REF!</v>
      </c>
      <c r="G116" s="239" t="e">
        <f t="shared" si="9"/>
        <v>#REF!</v>
      </c>
      <c r="H116" s="240" t="e">
        <f t="shared" si="8"/>
        <v>#REF!</v>
      </c>
      <c r="I116" s="238">
        <v>0</v>
      </c>
      <c r="J116" s="241" t="e">
        <f t="shared" si="10"/>
        <v>#REF!</v>
      </c>
      <c r="K116" s="238"/>
    </row>
    <row r="117" spans="1:11" s="242" customFormat="1" ht="17">
      <c r="A117" s="245">
        <v>108</v>
      </c>
      <c r="B117" s="152" t="s">
        <v>101</v>
      </c>
      <c r="C117" s="237">
        <v>8044995237</v>
      </c>
      <c r="D117" s="238" t="e">
        <f>VLOOKUP(C117,#REF!,7,0)</f>
        <v>#REF!</v>
      </c>
      <c r="E117" s="192" t="e">
        <f>VLOOKUP(C117,#REF!,128,0)</f>
        <v>#REF!</v>
      </c>
      <c r="F117" s="192" t="e">
        <f>+VLOOKUP(C117,#REF!,150,0)</f>
        <v>#REF!</v>
      </c>
      <c r="G117" s="239" t="e">
        <f t="shared" si="9"/>
        <v>#REF!</v>
      </c>
      <c r="H117" s="240" t="e">
        <f t="shared" si="8"/>
        <v>#REF!</v>
      </c>
      <c r="I117" s="238">
        <v>0</v>
      </c>
      <c r="J117" s="241" t="e">
        <f t="shared" si="10"/>
        <v>#REF!</v>
      </c>
      <c r="K117" s="238"/>
    </row>
    <row r="118" spans="1:11" s="242" customFormat="1" ht="17">
      <c r="A118" s="245">
        <v>109</v>
      </c>
      <c r="B118" s="152" t="s">
        <v>102</v>
      </c>
      <c r="C118" s="237">
        <v>8490456266</v>
      </c>
      <c r="D118" s="238" t="e">
        <f>VLOOKUP(C118,#REF!,7,0)</f>
        <v>#REF!</v>
      </c>
      <c r="E118" s="192" t="e">
        <f>VLOOKUP(C118,#REF!,128,0)</f>
        <v>#REF!</v>
      </c>
      <c r="F118" s="192" t="e">
        <f>+VLOOKUP(C118,#REF!,150,0)</f>
        <v>#REF!</v>
      </c>
      <c r="G118" s="239" t="e">
        <f t="shared" si="9"/>
        <v>#REF!</v>
      </c>
      <c r="H118" s="240" t="e">
        <f t="shared" si="8"/>
        <v>#REF!</v>
      </c>
      <c r="I118" s="238">
        <v>0</v>
      </c>
      <c r="J118" s="241" t="e">
        <f t="shared" si="10"/>
        <v>#REF!</v>
      </c>
      <c r="K118" s="238"/>
    </row>
    <row r="119" spans="1:11" s="242" customFormat="1" ht="17">
      <c r="A119" s="245">
        <v>110</v>
      </c>
      <c r="B119" s="152" t="s">
        <v>103</v>
      </c>
      <c r="C119" s="237">
        <v>8594579921</v>
      </c>
      <c r="D119" s="238" t="e">
        <f>VLOOKUP(C119,#REF!,7,0)</f>
        <v>#REF!</v>
      </c>
      <c r="E119" s="192" t="e">
        <f>VLOOKUP(C119,#REF!,128,0)</f>
        <v>#REF!</v>
      </c>
      <c r="F119" s="192" t="e">
        <f>+VLOOKUP(C119,#REF!,150,0)</f>
        <v>#REF!</v>
      </c>
      <c r="G119" s="239" t="e">
        <f t="shared" si="9"/>
        <v>#REF!</v>
      </c>
      <c r="H119" s="240" t="e">
        <f t="shared" si="8"/>
        <v>#REF!</v>
      </c>
      <c r="I119" s="238">
        <v>0</v>
      </c>
      <c r="J119" s="241" t="e">
        <f t="shared" si="10"/>
        <v>#REF!</v>
      </c>
      <c r="K119" s="238"/>
    </row>
    <row r="120" spans="1:11" s="242" customFormat="1" ht="17">
      <c r="A120" s="245">
        <v>111</v>
      </c>
      <c r="B120" s="152" t="s">
        <v>104</v>
      </c>
      <c r="C120" s="237">
        <v>8446484793</v>
      </c>
      <c r="D120" s="238" t="e">
        <f>VLOOKUP(C120,#REF!,7,0)</f>
        <v>#REF!</v>
      </c>
      <c r="E120" s="192" t="e">
        <f>VLOOKUP(C120,#REF!,128,0)</f>
        <v>#REF!</v>
      </c>
      <c r="F120" s="192" t="e">
        <f>+VLOOKUP(C120,#REF!,150,0)</f>
        <v>#REF!</v>
      </c>
      <c r="G120" s="239" t="e">
        <f t="shared" si="9"/>
        <v>#REF!</v>
      </c>
      <c r="H120" s="240" t="e">
        <f t="shared" si="8"/>
        <v>#REF!</v>
      </c>
      <c r="I120" s="238">
        <v>0</v>
      </c>
      <c r="J120" s="241" t="e">
        <f t="shared" si="10"/>
        <v>#REF!</v>
      </c>
      <c r="K120" s="238"/>
    </row>
    <row r="121" spans="1:11" s="242" customFormat="1" ht="17">
      <c r="A121" s="245">
        <v>112</v>
      </c>
      <c r="B121" s="152" t="s">
        <v>281</v>
      </c>
      <c r="C121" s="237">
        <v>8639656512</v>
      </c>
      <c r="D121" s="238" t="e">
        <f>VLOOKUP(C121,#REF!,7,0)</f>
        <v>#REF!</v>
      </c>
      <c r="E121" s="192" t="e">
        <f>VLOOKUP(C121,#REF!,128,0)</f>
        <v>#REF!</v>
      </c>
      <c r="F121" s="192" t="e">
        <f>+VLOOKUP(C121,#REF!,150,0)</f>
        <v>#REF!</v>
      </c>
      <c r="G121" s="239" t="e">
        <f t="shared" si="9"/>
        <v>#REF!</v>
      </c>
      <c r="H121" s="240" t="e">
        <f t="shared" si="8"/>
        <v>#REF!</v>
      </c>
      <c r="I121" s="238">
        <v>0</v>
      </c>
      <c r="J121" s="241" t="e">
        <f t="shared" si="10"/>
        <v>#REF!</v>
      </c>
      <c r="K121" s="238"/>
    </row>
    <row r="122" spans="1:11" s="242" customFormat="1" ht="17">
      <c r="A122" s="245">
        <v>113</v>
      </c>
      <c r="B122" s="152" t="s">
        <v>108</v>
      </c>
      <c r="C122" s="237">
        <v>8410844763</v>
      </c>
      <c r="D122" s="238" t="e">
        <f>VLOOKUP(C122,#REF!,7,0)</f>
        <v>#REF!</v>
      </c>
      <c r="E122" s="192" t="e">
        <f>VLOOKUP(C122,#REF!,128,0)</f>
        <v>#REF!</v>
      </c>
      <c r="F122" s="192" t="e">
        <f>+VLOOKUP(C122,#REF!,150,0)</f>
        <v>#REF!</v>
      </c>
      <c r="G122" s="239" t="e">
        <f t="shared" si="9"/>
        <v>#REF!</v>
      </c>
      <c r="H122" s="240" t="e">
        <f t="shared" si="8"/>
        <v>#REF!</v>
      </c>
      <c r="I122" s="238">
        <v>0</v>
      </c>
      <c r="J122" s="241" t="e">
        <f t="shared" si="10"/>
        <v>#REF!</v>
      </c>
      <c r="K122" s="238"/>
    </row>
    <row r="123" spans="1:11" s="242" customFormat="1" ht="17">
      <c r="A123" s="245">
        <v>114</v>
      </c>
      <c r="B123" s="152" t="s">
        <v>109</v>
      </c>
      <c r="C123" s="237">
        <v>8857885022</v>
      </c>
      <c r="D123" s="238" t="e">
        <f>VLOOKUP(C123,#REF!,7,0)</f>
        <v>#REF!</v>
      </c>
      <c r="E123" s="192" t="e">
        <f>VLOOKUP(C123,#REF!,128,0)</f>
        <v>#REF!</v>
      </c>
      <c r="F123" s="192" t="e">
        <f>+VLOOKUP(C123,#REF!,150,0)</f>
        <v>#REF!</v>
      </c>
      <c r="G123" s="239" t="e">
        <f t="shared" si="9"/>
        <v>#REF!</v>
      </c>
      <c r="H123" s="240" t="e">
        <f t="shared" si="8"/>
        <v>#REF!</v>
      </c>
      <c r="I123" s="238">
        <v>0</v>
      </c>
      <c r="J123" s="241" t="e">
        <f t="shared" si="10"/>
        <v>#REF!</v>
      </c>
      <c r="K123" s="238"/>
    </row>
    <row r="124" spans="1:11" s="242" customFormat="1" ht="17">
      <c r="A124" s="245">
        <v>115</v>
      </c>
      <c r="B124" s="152" t="s">
        <v>110</v>
      </c>
      <c r="C124" s="237">
        <v>8711611184</v>
      </c>
      <c r="D124" s="238" t="e">
        <f>VLOOKUP(C124,#REF!,7,0)</f>
        <v>#REF!</v>
      </c>
      <c r="E124" s="192" t="e">
        <f>VLOOKUP(C124,#REF!,128,0)</f>
        <v>#REF!</v>
      </c>
      <c r="F124" s="192" t="e">
        <f>+VLOOKUP(C124,#REF!,150,0)</f>
        <v>#REF!</v>
      </c>
      <c r="G124" s="239" t="e">
        <f t="shared" si="9"/>
        <v>#REF!</v>
      </c>
      <c r="H124" s="240" t="e">
        <f t="shared" si="8"/>
        <v>#REF!</v>
      </c>
      <c r="I124" s="238">
        <v>0</v>
      </c>
      <c r="J124" s="241" t="e">
        <f t="shared" si="10"/>
        <v>#REF!</v>
      </c>
      <c r="K124" s="238"/>
    </row>
    <row r="125" spans="1:11" s="242" customFormat="1" ht="17">
      <c r="A125" s="245">
        <v>116</v>
      </c>
      <c r="B125" s="152" t="s">
        <v>111</v>
      </c>
      <c r="C125" s="237">
        <v>8070377861</v>
      </c>
      <c r="D125" s="238" t="e">
        <f>VLOOKUP(C125,#REF!,7,0)</f>
        <v>#REF!</v>
      </c>
      <c r="E125" s="192" t="e">
        <f>VLOOKUP(C125,#REF!,128,0)</f>
        <v>#REF!</v>
      </c>
      <c r="F125" s="192" t="e">
        <f>+VLOOKUP(C125,#REF!,150,0)</f>
        <v>#REF!</v>
      </c>
      <c r="G125" s="239" t="e">
        <f t="shared" si="9"/>
        <v>#REF!</v>
      </c>
      <c r="H125" s="240" t="e">
        <f t="shared" si="8"/>
        <v>#REF!</v>
      </c>
      <c r="I125" s="238">
        <v>0</v>
      </c>
      <c r="J125" s="241" t="e">
        <f t="shared" si="10"/>
        <v>#REF!</v>
      </c>
      <c r="K125" s="238"/>
    </row>
    <row r="126" spans="1:11" s="242" customFormat="1" ht="17">
      <c r="A126" s="245">
        <v>117</v>
      </c>
      <c r="B126" s="152" t="s">
        <v>279</v>
      </c>
      <c r="C126" s="237">
        <v>8876927775</v>
      </c>
      <c r="D126" s="238" t="e">
        <f>VLOOKUP(C126,#REF!,7,0)</f>
        <v>#REF!</v>
      </c>
      <c r="E126" s="192" t="e">
        <f>VLOOKUP(C126,#REF!,128,0)</f>
        <v>#REF!</v>
      </c>
      <c r="F126" s="192" t="e">
        <f>+VLOOKUP(C126,#REF!,150,0)</f>
        <v>#REF!</v>
      </c>
      <c r="G126" s="239" t="e">
        <f t="shared" si="9"/>
        <v>#REF!</v>
      </c>
      <c r="H126" s="240" t="e">
        <f t="shared" si="8"/>
        <v>#REF!</v>
      </c>
      <c r="I126" s="238">
        <v>0</v>
      </c>
      <c r="J126" s="241" t="e">
        <f t="shared" si="10"/>
        <v>#REF!</v>
      </c>
      <c r="K126" s="238"/>
    </row>
    <row r="127" spans="1:11" s="242" customFormat="1" ht="17">
      <c r="A127" s="245">
        <v>118</v>
      </c>
      <c r="B127" s="152" t="s">
        <v>312</v>
      </c>
      <c r="C127" s="237">
        <v>8106977230</v>
      </c>
      <c r="D127" s="238" t="e">
        <f>VLOOKUP(C127,#REF!,7,0)</f>
        <v>#REF!</v>
      </c>
      <c r="E127" s="192" t="e">
        <f>VLOOKUP(C127,#REF!,128,0)</f>
        <v>#REF!</v>
      </c>
      <c r="F127" s="192" t="e">
        <f>+VLOOKUP(C127,#REF!,150,0)</f>
        <v>#REF!</v>
      </c>
      <c r="G127" s="239" t="e">
        <f t="shared" si="9"/>
        <v>#REF!</v>
      </c>
      <c r="H127" s="240" t="e">
        <f t="shared" ref="H127:H190" si="11">+ROUND(G127*50,0)</f>
        <v>#REF!</v>
      </c>
      <c r="I127" s="238">
        <v>0</v>
      </c>
      <c r="J127" s="241" t="e">
        <f t="shared" si="10"/>
        <v>#REF!</v>
      </c>
      <c r="K127" s="238"/>
    </row>
    <row r="128" spans="1:11" s="242" customFormat="1" ht="17">
      <c r="A128" s="245">
        <v>119</v>
      </c>
      <c r="B128" s="152" t="s">
        <v>174</v>
      </c>
      <c r="C128" s="237">
        <v>8108158082</v>
      </c>
      <c r="D128" s="238" t="e">
        <f>VLOOKUP(C128,#REF!,7,0)</f>
        <v>#REF!</v>
      </c>
      <c r="E128" s="192" t="e">
        <f>VLOOKUP(C128,#REF!,128,0)</f>
        <v>#REF!</v>
      </c>
      <c r="F128" s="192" t="e">
        <f>+VLOOKUP(C128,#REF!,150,0)</f>
        <v>#REF!</v>
      </c>
      <c r="G128" s="239" t="e">
        <f t="shared" ref="G128:G191" si="12">+F128/E128</f>
        <v>#REF!</v>
      </c>
      <c r="H128" s="240" t="e">
        <f t="shared" si="11"/>
        <v>#REF!</v>
      </c>
      <c r="I128" s="238">
        <v>0</v>
      </c>
      <c r="J128" s="241" t="e">
        <f t="shared" si="10"/>
        <v>#REF!</v>
      </c>
      <c r="K128" s="238"/>
    </row>
    <row r="129" spans="1:11" s="242" customFormat="1" ht="17">
      <c r="A129" s="245">
        <v>120</v>
      </c>
      <c r="B129" s="152" t="s">
        <v>390</v>
      </c>
      <c r="C129" s="237">
        <v>8481815166</v>
      </c>
      <c r="D129" s="238" t="e">
        <f>VLOOKUP(C129,#REF!,7,0)</f>
        <v>#REF!</v>
      </c>
      <c r="E129" s="192" t="e">
        <f>VLOOKUP(C129,#REF!,128,0)</f>
        <v>#REF!</v>
      </c>
      <c r="F129" s="192" t="e">
        <f>+VLOOKUP(C129,#REF!,150,0)</f>
        <v>#REF!</v>
      </c>
      <c r="G129" s="239" t="e">
        <f t="shared" si="12"/>
        <v>#REF!</v>
      </c>
      <c r="H129" s="240" t="e">
        <f t="shared" si="11"/>
        <v>#REF!</v>
      </c>
      <c r="I129" s="238">
        <v>0</v>
      </c>
      <c r="J129" s="241" t="e">
        <f t="shared" si="10"/>
        <v>#REF!</v>
      </c>
      <c r="K129" s="238"/>
    </row>
    <row r="130" spans="1:11" s="242" customFormat="1" ht="17">
      <c r="A130" s="245">
        <v>121</v>
      </c>
      <c r="B130" s="152" t="s">
        <v>443</v>
      </c>
      <c r="C130" s="237">
        <v>8542587706</v>
      </c>
      <c r="D130" s="238" t="e">
        <f>VLOOKUP(C130,#REF!,7,0)</f>
        <v>#REF!</v>
      </c>
      <c r="E130" s="192" t="e">
        <f>VLOOKUP(C130,#REF!,128,0)</f>
        <v>#REF!</v>
      </c>
      <c r="F130" s="192" t="e">
        <f>+VLOOKUP(C130,#REF!,150,0)</f>
        <v>#REF!</v>
      </c>
      <c r="G130" s="239" t="e">
        <f t="shared" si="12"/>
        <v>#REF!</v>
      </c>
      <c r="H130" s="240" t="e">
        <f t="shared" si="11"/>
        <v>#REF!</v>
      </c>
      <c r="I130" s="238">
        <v>0</v>
      </c>
      <c r="J130" s="241" t="e">
        <f t="shared" si="10"/>
        <v>#REF!</v>
      </c>
      <c r="K130" s="238"/>
    </row>
    <row r="131" spans="1:11" s="242" customFormat="1" ht="17">
      <c r="A131" s="245">
        <v>122</v>
      </c>
      <c r="B131" s="152" t="s">
        <v>444</v>
      </c>
      <c r="C131" s="237">
        <v>8938959226</v>
      </c>
      <c r="D131" s="238" t="e">
        <f>VLOOKUP(C131,#REF!,7,0)</f>
        <v>#REF!</v>
      </c>
      <c r="E131" s="192" t="e">
        <f>VLOOKUP(C131,#REF!,128,0)</f>
        <v>#REF!</v>
      </c>
      <c r="F131" s="192" t="e">
        <f>+VLOOKUP(C131,#REF!,150,0)</f>
        <v>#REF!</v>
      </c>
      <c r="G131" s="239" t="e">
        <f t="shared" si="12"/>
        <v>#REF!</v>
      </c>
      <c r="H131" s="240" t="e">
        <f t="shared" si="11"/>
        <v>#REF!</v>
      </c>
      <c r="I131" s="238">
        <v>0</v>
      </c>
      <c r="J131" s="241" t="e">
        <f t="shared" si="10"/>
        <v>#REF!</v>
      </c>
      <c r="K131" s="238"/>
    </row>
    <row r="132" spans="1:11" s="242" customFormat="1" ht="17">
      <c r="A132" s="245">
        <v>123</v>
      </c>
      <c r="B132" s="152" t="s">
        <v>655</v>
      </c>
      <c r="C132" s="237" t="s">
        <v>729</v>
      </c>
      <c r="D132" s="238" t="e">
        <f>VLOOKUP(C132,#REF!,7,0)</f>
        <v>#REF!</v>
      </c>
      <c r="E132" s="192" t="e">
        <f>VLOOKUP(C132,#REF!,128,0)</f>
        <v>#REF!</v>
      </c>
      <c r="F132" s="192" t="e">
        <f>+VLOOKUP(C132,#REF!,150,0)</f>
        <v>#REF!</v>
      </c>
      <c r="G132" s="239" t="e">
        <f t="shared" si="12"/>
        <v>#REF!</v>
      </c>
      <c r="H132" s="240" t="e">
        <f t="shared" si="11"/>
        <v>#REF!</v>
      </c>
      <c r="I132" s="238" t="e">
        <v>#N/A</v>
      </c>
      <c r="J132" s="241" t="e">
        <f t="shared" si="10"/>
        <v>#REF!</v>
      </c>
      <c r="K132" s="238"/>
    </row>
    <row r="133" spans="1:11" s="242" customFormat="1" ht="17">
      <c r="A133" s="245">
        <v>124</v>
      </c>
      <c r="B133" s="152" t="s">
        <v>114</v>
      </c>
      <c r="C133" s="237">
        <v>8320594484</v>
      </c>
      <c r="D133" s="238" t="e">
        <f>VLOOKUP(C133,#REF!,7,0)</f>
        <v>#REF!</v>
      </c>
      <c r="E133" s="192" t="e">
        <f>VLOOKUP(C133,#REF!,128,0)</f>
        <v>#REF!</v>
      </c>
      <c r="F133" s="192" t="e">
        <f>+VLOOKUP(C133,#REF!,150,0)</f>
        <v>#REF!</v>
      </c>
      <c r="G133" s="239" t="e">
        <f t="shared" si="12"/>
        <v>#REF!</v>
      </c>
      <c r="H133" s="240" t="e">
        <f t="shared" si="11"/>
        <v>#REF!</v>
      </c>
      <c r="I133" s="238">
        <v>0</v>
      </c>
      <c r="J133" s="241" t="e">
        <f t="shared" si="10"/>
        <v>#REF!</v>
      </c>
      <c r="K133" s="238"/>
    </row>
    <row r="134" spans="1:11" s="242" customFormat="1" ht="17">
      <c r="A134" s="245">
        <v>125</v>
      </c>
      <c r="B134" s="152" t="s">
        <v>324</v>
      </c>
      <c r="C134" s="237">
        <v>8074669093</v>
      </c>
      <c r="D134" s="238" t="e">
        <f>VLOOKUP(C134,#REF!,7,0)</f>
        <v>#REF!</v>
      </c>
      <c r="E134" s="192" t="e">
        <f>VLOOKUP(C134,#REF!,128,0)</f>
        <v>#REF!</v>
      </c>
      <c r="F134" s="192" t="e">
        <f>+VLOOKUP(C134,#REF!,150,0)</f>
        <v>#REF!</v>
      </c>
      <c r="G134" s="239" t="e">
        <f t="shared" si="12"/>
        <v>#REF!</v>
      </c>
      <c r="H134" s="240" t="e">
        <f t="shared" si="11"/>
        <v>#REF!</v>
      </c>
      <c r="I134" s="238">
        <v>0</v>
      </c>
      <c r="J134" s="241" t="e">
        <f t="shared" si="10"/>
        <v>#REF!</v>
      </c>
      <c r="K134" s="238"/>
    </row>
    <row r="135" spans="1:11" s="242" customFormat="1" ht="17">
      <c r="A135" s="245">
        <v>126</v>
      </c>
      <c r="B135" s="152" t="s">
        <v>116</v>
      </c>
      <c r="C135" s="237">
        <v>8305427425</v>
      </c>
      <c r="D135" s="238" t="e">
        <f>VLOOKUP(C135,#REF!,7,0)</f>
        <v>#REF!</v>
      </c>
      <c r="E135" s="192" t="e">
        <f>VLOOKUP(C135,#REF!,128,0)</f>
        <v>#REF!</v>
      </c>
      <c r="F135" s="192" t="e">
        <f>+VLOOKUP(C135,#REF!,150,0)</f>
        <v>#REF!</v>
      </c>
      <c r="G135" s="239" t="e">
        <f t="shared" si="12"/>
        <v>#REF!</v>
      </c>
      <c r="H135" s="240" t="e">
        <f t="shared" si="11"/>
        <v>#REF!</v>
      </c>
      <c r="I135" s="238">
        <v>0</v>
      </c>
      <c r="J135" s="241" t="e">
        <f t="shared" si="10"/>
        <v>#REF!</v>
      </c>
      <c r="K135" s="238"/>
    </row>
    <row r="136" spans="1:11" s="242" customFormat="1" ht="17">
      <c r="A136" s="245">
        <v>127</v>
      </c>
      <c r="B136" s="152" t="s">
        <v>117</v>
      </c>
      <c r="C136" s="237">
        <v>8066502855</v>
      </c>
      <c r="D136" s="238" t="e">
        <f>VLOOKUP(C136,#REF!,7,0)</f>
        <v>#REF!</v>
      </c>
      <c r="E136" s="192" t="e">
        <f>VLOOKUP(C136,#REF!,128,0)</f>
        <v>#REF!</v>
      </c>
      <c r="F136" s="192" t="e">
        <f>+VLOOKUP(C136,#REF!,150,0)</f>
        <v>#REF!</v>
      </c>
      <c r="G136" s="239" t="e">
        <f t="shared" si="12"/>
        <v>#REF!</v>
      </c>
      <c r="H136" s="240" t="e">
        <f t="shared" si="11"/>
        <v>#REF!</v>
      </c>
      <c r="I136" s="238">
        <v>0</v>
      </c>
      <c r="J136" s="241" t="e">
        <f t="shared" si="10"/>
        <v>#REF!</v>
      </c>
      <c r="K136" s="238"/>
    </row>
    <row r="137" spans="1:11" s="242" customFormat="1" ht="17">
      <c r="A137" s="245">
        <v>128</v>
      </c>
      <c r="B137" s="152" t="s">
        <v>118</v>
      </c>
      <c r="C137" s="237">
        <v>8745581428</v>
      </c>
      <c r="D137" s="238" t="e">
        <f>VLOOKUP(C137,#REF!,7,0)</f>
        <v>#REF!</v>
      </c>
      <c r="E137" s="192" t="e">
        <f>VLOOKUP(C137,#REF!,128,0)</f>
        <v>#REF!</v>
      </c>
      <c r="F137" s="192" t="e">
        <f>+VLOOKUP(C137,#REF!,150,0)</f>
        <v>#REF!</v>
      </c>
      <c r="G137" s="239" t="e">
        <f t="shared" si="12"/>
        <v>#REF!</v>
      </c>
      <c r="H137" s="240" t="e">
        <f t="shared" si="11"/>
        <v>#REF!</v>
      </c>
      <c r="I137" s="238">
        <v>0</v>
      </c>
      <c r="J137" s="241" t="e">
        <f t="shared" ref="J137:J200" si="13">+F137-E137+I137</f>
        <v>#REF!</v>
      </c>
      <c r="K137" s="238"/>
    </row>
    <row r="138" spans="1:11" s="242" customFormat="1" ht="17">
      <c r="A138" s="245">
        <v>129</v>
      </c>
      <c r="B138" s="152" t="s">
        <v>119</v>
      </c>
      <c r="C138" s="237">
        <v>8305427464</v>
      </c>
      <c r="D138" s="238" t="e">
        <f>VLOOKUP(C138,#REF!,7,0)</f>
        <v>#REF!</v>
      </c>
      <c r="E138" s="192" t="e">
        <f>VLOOKUP(C138,#REF!,128,0)</f>
        <v>#REF!</v>
      </c>
      <c r="F138" s="192" t="e">
        <f>+VLOOKUP(C138,#REF!,150,0)</f>
        <v>#REF!</v>
      </c>
      <c r="G138" s="239" t="e">
        <f t="shared" si="12"/>
        <v>#REF!</v>
      </c>
      <c r="H138" s="240" t="e">
        <f t="shared" si="11"/>
        <v>#REF!</v>
      </c>
      <c r="I138" s="238">
        <v>0</v>
      </c>
      <c r="J138" s="241" t="e">
        <f t="shared" si="13"/>
        <v>#REF!</v>
      </c>
      <c r="K138" s="238"/>
    </row>
    <row r="139" spans="1:11" s="242" customFormat="1" ht="17">
      <c r="A139" s="245">
        <v>130</v>
      </c>
      <c r="B139" s="152" t="s">
        <v>107</v>
      </c>
      <c r="C139" s="237">
        <v>8415184327</v>
      </c>
      <c r="D139" s="238" t="e">
        <f>VLOOKUP(C139,#REF!,7,0)</f>
        <v>#REF!</v>
      </c>
      <c r="E139" s="192" t="e">
        <f>VLOOKUP(C139,#REF!,128,0)</f>
        <v>#REF!</v>
      </c>
      <c r="F139" s="192" t="e">
        <f>+VLOOKUP(C139,#REF!,150,0)</f>
        <v>#REF!</v>
      </c>
      <c r="G139" s="239" t="e">
        <f t="shared" si="12"/>
        <v>#REF!</v>
      </c>
      <c r="H139" s="240" t="e">
        <f t="shared" si="11"/>
        <v>#REF!</v>
      </c>
      <c r="I139" s="238">
        <v>0</v>
      </c>
      <c r="J139" s="241" t="e">
        <f t="shared" si="13"/>
        <v>#REF!</v>
      </c>
      <c r="K139" s="238"/>
    </row>
    <row r="140" spans="1:11" s="242" customFormat="1" ht="17">
      <c r="A140" s="245">
        <v>131</v>
      </c>
      <c r="B140" s="152" t="s">
        <v>121</v>
      </c>
      <c r="C140" s="237">
        <v>8039543193</v>
      </c>
      <c r="D140" s="238" t="e">
        <f>VLOOKUP(C140,#REF!,7,0)</f>
        <v>#REF!</v>
      </c>
      <c r="E140" s="192" t="e">
        <f>VLOOKUP(C140,#REF!,128,0)</f>
        <v>#REF!</v>
      </c>
      <c r="F140" s="192" t="e">
        <f>+VLOOKUP(C140,#REF!,150,0)</f>
        <v>#REF!</v>
      </c>
      <c r="G140" s="239" t="e">
        <f t="shared" si="12"/>
        <v>#REF!</v>
      </c>
      <c r="H140" s="240" t="e">
        <f t="shared" si="11"/>
        <v>#REF!</v>
      </c>
      <c r="I140" s="238">
        <v>0</v>
      </c>
      <c r="J140" s="241" t="e">
        <f t="shared" si="13"/>
        <v>#REF!</v>
      </c>
      <c r="K140" s="238"/>
    </row>
    <row r="141" spans="1:11" s="242" customFormat="1" ht="17">
      <c r="A141" s="245">
        <v>132</v>
      </c>
      <c r="B141" s="152" t="s">
        <v>122</v>
      </c>
      <c r="C141" s="237">
        <v>8102208795</v>
      </c>
      <c r="D141" s="238" t="e">
        <f>VLOOKUP(C141,#REF!,7,0)</f>
        <v>#REF!</v>
      </c>
      <c r="E141" s="192" t="e">
        <f>VLOOKUP(C141,#REF!,128,0)</f>
        <v>#REF!</v>
      </c>
      <c r="F141" s="192" t="e">
        <f>+VLOOKUP(C141,#REF!,150,0)</f>
        <v>#REF!</v>
      </c>
      <c r="G141" s="239" t="e">
        <f t="shared" si="12"/>
        <v>#REF!</v>
      </c>
      <c r="H141" s="240" t="e">
        <f t="shared" si="11"/>
        <v>#REF!</v>
      </c>
      <c r="I141" s="238">
        <v>0</v>
      </c>
      <c r="J141" s="241" t="e">
        <f t="shared" si="13"/>
        <v>#REF!</v>
      </c>
      <c r="K141" s="238"/>
    </row>
    <row r="142" spans="1:11" s="242" customFormat="1" ht="17">
      <c r="A142" s="245">
        <v>133</v>
      </c>
      <c r="B142" s="152" t="s">
        <v>121</v>
      </c>
      <c r="C142" s="237">
        <v>8820381533</v>
      </c>
      <c r="D142" s="238" t="e">
        <f>VLOOKUP(C142,#REF!,7,0)</f>
        <v>#REF!</v>
      </c>
      <c r="E142" s="192" t="e">
        <f>VLOOKUP(C142,#REF!,128,0)</f>
        <v>#REF!</v>
      </c>
      <c r="F142" s="192" t="e">
        <f>+VLOOKUP(C142,#REF!,150,0)</f>
        <v>#REF!</v>
      </c>
      <c r="G142" s="239" t="e">
        <f t="shared" si="12"/>
        <v>#REF!</v>
      </c>
      <c r="H142" s="240" t="e">
        <f t="shared" si="11"/>
        <v>#REF!</v>
      </c>
      <c r="I142" s="238">
        <v>0</v>
      </c>
      <c r="J142" s="241" t="e">
        <f t="shared" si="13"/>
        <v>#REF!</v>
      </c>
      <c r="K142" s="238"/>
    </row>
    <row r="143" spans="1:11" s="242" customFormat="1" ht="17">
      <c r="A143" s="245">
        <v>134</v>
      </c>
      <c r="B143" s="152" t="s">
        <v>203</v>
      </c>
      <c r="C143" s="237">
        <v>8643732283</v>
      </c>
      <c r="D143" s="238" t="e">
        <f>VLOOKUP(C143,#REF!,7,0)</f>
        <v>#REF!</v>
      </c>
      <c r="E143" s="192" t="e">
        <f>VLOOKUP(C143,#REF!,128,0)</f>
        <v>#REF!</v>
      </c>
      <c r="F143" s="192" t="e">
        <f>+VLOOKUP(C143,#REF!,150,0)</f>
        <v>#REF!</v>
      </c>
      <c r="G143" s="239" t="e">
        <f t="shared" si="12"/>
        <v>#REF!</v>
      </c>
      <c r="H143" s="240" t="e">
        <f t="shared" si="11"/>
        <v>#REF!</v>
      </c>
      <c r="I143" s="238">
        <v>0</v>
      </c>
      <c r="J143" s="241" t="e">
        <f t="shared" si="13"/>
        <v>#REF!</v>
      </c>
      <c r="K143" s="238"/>
    </row>
    <row r="144" spans="1:11" s="242" customFormat="1" ht="17">
      <c r="A144" s="245">
        <v>135</v>
      </c>
      <c r="B144" s="152" t="s">
        <v>205</v>
      </c>
      <c r="C144" s="237">
        <v>8857324563</v>
      </c>
      <c r="D144" s="238" t="e">
        <f>VLOOKUP(C144,#REF!,7,0)</f>
        <v>#REF!</v>
      </c>
      <c r="E144" s="192" t="e">
        <f>VLOOKUP(C144,#REF!,128,0)</f>
        <v>#REF!</v>
      </c>
      <c r="F144" s="192" t="e">
        <f>+VLOOKUP(C144,#REF!,150,0)</f>
        <v>#REF!</v>
      </c>
      <c r="G144" s="239" t="e">
        <f t="shared" si="12"/>
        <v>#REF!</v>
      </c>
      <c r="H144" s="240" t="e">
        <f t="shared" si="11"/>
        <v>#REF!</v>
      </c>
      <c r="I144" s="238">
        <v>0</v>
      </c>
      <c r="J144" s="241" t="e">
        <f t="shared" si="13"/>
        <v>#REF!</v>
      </c>
      <c r="K144" s="238"/>
    </row>
    <row r="145" spans="1:11" s="242" customFormat="1" ht="17">
      <c r="A145" s="245">
        <v>136</v>
      </c>
      <c r="B145" s="152" t="s">
        <v>206</v>
      </c>
      <c r="C145" s="237">
        <v>8417566339</v>
      </c>
      <c r="D145" s="238" t="e">
        <f>VLOOKUP(C145,#REF!,7,0)</f>
        <v>#REF!</v>
      </c>
      <c r="E145" s="192" t="e">
        <f>VLOOKUP(C145,#REF!,128,0)</f>
        <v>#REF!</v>
      </c>
      <c r="F145" s="192" t="e">
        <f>+VLOOKUP(C145,#REF!,150,0)</f>
        <v>#REF!</v>
      </c>
      <c r="G145" s="239" t="e">
        <f t="shared" si="12"/>
        <v>#REF!</v>
      </c>
      <c r="H145" s="240" t="e">
        <f t="shared" si="11"/>
        <v>#REF!</v>
      </c>
      <c r="I145" s="238">
        <v>0</v>
      </c>
      <c r="J145" s="241" t="e">
        <f t="shared" si="13"/>
        <v>#REF!</v>
      </c>
      <c r="K145" s="238"/>
    </row>
    <row r="146" spans="1:11" s="242" customFormat="1" ht="17">
      <c r="A146" s="245">
        <v>137</v>
      </c>
      <c r="B146" s="152" t="s">
        <v>268</v>
      </c>
      <c r="C146" s="237">
        <v>8573932007</v>
      </c>
      <c r="D146" s="238" t="e">
        <f>VLOOKUP(C146,#REF!,7,0)</f>
        <v>#REF!</v>
      </c>
      <c r="E146" s="192" t="e">
        <f>VLOOKUP(C146,#REF!,128,0)</f>
        <v>#REF!</v>
      </c>
      <c r="F146" s="192" t="e">
        <f>+VLOOKUP(C146,#REF!,150,0)</f>
        <v>#REF!</v>
      </c>
      <c r="G146" s="239" t="e">
        <f t="shared" si="12"/>
        <v>#REF!</v>
      </c>
      <c r="H146" s="240" t="e">
        <f t="shared" si="11"/>
        <v>#REF!</v>
      </c>
      <c r="I146" s="238">
        <v>0</v>
      </c>
      <c r="J146" s="241" t="e">
        <f t="shared" si="13"/>
        <v>#REF!</v>
      </c>
      <c r="K146" s="238"/>
    </row>
    <row r="147" spans="1:11" s="242" customFormat="1" ht="17">
      <c r="A147" s="245">
        <v>138</v>
      </c>
      <c r="B147" s="251" t="s">
        <v>404</v>
      </c>
      <c r="C147" s="237">
        <v>8490455255</v>
      </c>
      <c r="D147" s="238" t="e">
        <f>VLOOKUP(C147,#REF!,7,0)</f>
        <v>#REF!</v>
      </c>
      <c r="E147" s="192" t="e">
        <f>VLOOKUP(C147,#REF!,128,0)</f>
        <v>#REF!</v>
      </c>
      <c r="F147" s="192" t="e">
        <f>+VLOOKUP(C147,#REF!,150,0)</f>
        <v>#REF!</v>
      </c>
      <c r="G147" s="239" t="e">
        <f t="shared" si="12"/>
        <v>#REF!</v>
      </c>
      <c r="H147" s="240" t="e">
        <f t="shared" si="11"/>
        <v>#REF!</v>
      </c>
      <c r="I147" s="238">
        <v>0</v>
      </c>
      <c r="J147" s="241" t="e">
        <f t="shared" si="13"/>
        <v>#REF!</v>
      </c>
      <c r="K147" s="238"/>
    </row>
    <row r="148" spans="1:11" s="242" customFormat="1" ht="17">
      <c r="A148" s="245">
        <v>139</v>
      </c>
      <c r="B148" s="251" t="s">
        <v>405</v>
      </c>
      <c r="C148" s="237">
        <v>8169050495</v>
      </c>
      <c r="D148" s="238" t="e">
        <f>VLOOKUP(C148,#REF!,7,0)</f>
        <v>#REF!</v>
      </c>
      <c r="E148" s="192" t="e">
        <f>VLOOKUP(C148,#REF!,128,0)</f>
        <v>#REF!</v>
      </c>
      <c r="F148" s="192" t="e">
        <f>+VLOOKUP(C148,#REF!,150,0)</f>
        <v>#REF!</v>
      </c>
      <c r="G148" s="239" t="e">
        <f t="shared" si="12"/>
        <v>#REF!</v>
      </c>
      <c r="H148" s="240" t="e">
        <f t="shared" si="11"/>
        <v>#REF!</v>
      </c>
      <c r="I148" s="238">
        <v>0</v>
      </c>
      <c r="J148" s="241" t="e">
        <f t="shared" si="13"/>
        <v>#REF!</v>
      </c>
      <c r="K148" s="238"/>
    </row>
    <row r="149" spans="1:11" s="242" customFormat="1" ht="17">
      <c r="A149" s="245">
        <v>140</v>
      </c>
      <c r="B149" s="251" t="s">
        <v>406</v>
      </c>
      <c r="C149" s="237">
        <v>8299127597</v>
      </c>
      <c r="D149" s="238" t="e">
        <f>VLOOKUP(C149,#REF!,7,0)</f>
        <v>#REF!</v>
      </c>
      <c r="E149" s="192" t="e">
        <f>VLOOKUP(C149,#REF!,128,0)</f>
        <v>#REF!</v>
      </c>
      <c r="F149" s="192" t="e">
        <f>+VLOOKUP(C149,#REF!,150,0)</f>
        <v>#REF!</v>
      </c>
      <c r="G149" s="239" t="e">
        <f t="shared" si="12"/>
        <v>#REF!</v>
      </c>
      <c r="H149" s="240" t="e">
        <f t="shared" si="11"/>
        <v>#REF!</v>
      </c>
      <c r="I149" s="238">
        <v>0</v>
      </c>
      <c r="J149" s="241" t="e">
        <f t="shared" si="13"/>
        <v>#REF!</v>
      </c>
      <c r="K149" s="238"/>
    </row>
    <row r="150" spans="1:11" s="242" customFormat="1" ht="17">
      <c r="A150" s="245">
        <v>141</v>
      </c>
      <c r="B150" s="251" t="s">
        <v>407</v>
      </c>
      <c r="C150" s="237">
        <v>8930055010</v>
      </c>
      <c r="D150" s="238" t="e">
        <f>VLOOKUP(C150,#REF!,7,0)</f>
        <v>#REF!</v>
      </c>
      <c r="E150" s="192" t="e">
        <f>VLOOKUP(C150,#REF!,128,0)</f>
        <v>#REF!</v>
      </c>
      <c r="F150" s="192" t="e">
        <f>+VLOOKUP(C150,#REF!,150,0)</f>
        <v>#REF!</v>
      </c>
      <c r="G150" s="239" t="e">
        <f t="shared" si="12"/>
        <v>#REF!</v>
      </c>
      <c r="H150" s="240" t="e">
        <f t="shared" si="11"/>
        <v>#REF!</v>
      </c>
      <c r="I150" s="238">
        <v>0</v>
      </c>
      <c r="J150" s="241" t="e">
        <f t="shared" si="13"/>
        <v>#REF!</v>
      </c>
      <c r="K150" s="238"/>
    </row>
    <row r="151" spans="1:11" s="242" customFormat="1" ht="17">
      <c r="A151" s="245">
        <v>142</v>
      </c>
      <c r="B151" s="251" t="s">
        <v>408</v>
      </c>
      <c r="C151" s="237">
        <v>8137805094</v>
      </c>
      <c r="D151" s="238" t="e">
        <f>VLOOKUP(C151,#REF!,7,0)</f>
        <v>#REF!</v>
      </c>
      <c r="E151" s="192" t="e">
        <f>VLOOKUP(C151,#REF!,128,0)</f>
        <v>#REF!</v>
      </c>
      <c r="F151" s="192" t="e">
        <f>+VLOOKUP(C151,#REF!,150,0)</f>
        <v>#REF!</v>
      </c>
      <c r="G151" s="239" t="e">
        <f t="shared" si="12"/>
        <v>#REF!</v>
      </c>
      <c r="H151" s="240" t="e">
        <f t="shared" si="11"/>
        <v>#REF!</v>
      </c>
      <c r="I151" s="238">
        <v>0</v>
      </c>
      <c r="J151" s="241" t="e">
        <f t="shared" si="13"/>
        <v>#REF!</v>
      </c>
      <c r="K151" s="238"/>
    </row>
    <row r="152" spans="1:11" s="242" customFormat="1" ht="17">
      <c r="A152" s="245">
        <v>143</v>
      </c>
      <c r="B152" s="251" t="s">
        <v>410</v>
      </c>
      <c r="C152" s="237">
        <v>8411110733</v>
      </c>
      <c r="D152" s="238" t="e">
        <f>VLOOKUP(C152,#REF!,7,0)</f>
        <v>#REF!</v>
      </c>
      <c r="E152" s="192" t="e">
        <f>VLOOKUP(C152,#REF!,128,0)</f>
        <v>#REF!</v>
      </c>
      <c r="F152" s="192" t="e">
        <f>+VLOOKUP(C152,#REF!,150,0)</f>
        <v>#REF!</v>
      </c>
      <c r="G152" s="239" t="e">
        <f t="shared" si="12"/>
        <v>#REF!</v>
      </c>
      <c r="H152" s="240" t="e">
        <f t="shared" si="11"/>
        <v>#REF!</v>
      </c>
      <c r="I152" s="238">
        <v>0</v>
      </c>
      <c r="J152" s="241" t="e">
        <f t="shared" si="13"/>
        <v>#REF!</v>
      </c>
      <c r="K152" s="238"/>
    </row>
    <row r="153" spans="1:11" s="242" customFormat="1" ht="17">
      <c r="A153" s="245">
        <v>144</v>
      </c>
      <c r="B153" s="152" t="s">
        <v>288</v>
      </c>
      <c r="C153" s="237">
        <v>8070377903</v>
      </c>
      <c r="D153" s="238" t="e">
        <f>VLOOKUP(C153,#REF!,7,0)</f>
        <v>#REF!</v>
      </c>
      <c r="E153" s="192" t="e">
        <f>VLOOKUP(C153,#REF!,128,0)</f>
        <v>#REF!</v>
      </c>
      <c r="F153" s="192" t="e">
        <f>+VLOOKUP(C153,#REF!,150,0)</f>
        <v>#REF!</v>
      </c>
      <c r="G153" s="239" t="e">
        <f t="shared" si="12"/>
        <v>#REF!</v>
      </c>
      <c r="H153" s="240" t="e">
        <f t="shared" si="11"/>
        <v>#REF!</v>
      </c>
      <c r="I153" s="238">
        <v>0</v>
      </c>
      <c r="J153" s="241" t="e">
        <f t="shared" si="13"/>
        <v>#REF!</v>
      </c>
      <c r="K153" s="238"/>
    </row>
    <row r="154" spans="1:11" s="242" customFormat="1" ht="17">
      <c r="A154" s="245">
        <v>145</v>
      </c>
      <c r="B154" s="152" t="s">
        <v>183</v>
      </c>
      <c r="C154" s="237">
        <v>8164815380</v>
      </c>
      <c r="D154" s="238" t="e">
        <f>VLOOKUP(C154,#REF!,7,0)</f>
        <v>#REF!</v>
      </c>
      <c r="E154" s="192" t="e">
        <f>VLOOKUP(C154,#REF!,128,0)</f>
        <v>#REF!</v>
      </c>
      <c r="F154" s="192" t="e">
        <f>+VLOOKUP(C154,#REF!,150,0)</f>
        <v>#REF!</v>
      </c>
      <c r="G154" s="239" t="e">
        <f t="shared" si="12"/>
        <v>#REF!</v>
      </c>
      <c r="H154" s="240" t="e">
        <f t="shared" si="11"/>
        <v>#REF!</v>
      </c>
      <c r="I154" s="238">
        <v>0</v>
      </c>
      <c r="J154" s="241" t="e">
        <f t="shared" si="13"/>
        <v>#REF!</v>
      </c>
      <c r="K154" s="238"/>
    </row>
    <row r="155" spans="1:11" s="242" customFormat="1" ht="17">
      <c r="A155" s="245">
        <v>146</v>
      </c>
      <c r="B155" s="152" t="s">
        <v>338</v>
      </c>
      <c r="C155" s="237">
        <v>8136920633</v>
      </c>
      <c r="D155" s="238" t="e">
        <f>VLOOKUP(C155,#REF!,7,0)</f>
        <v>#REF!</v>
      </c>
      <c r="E155" s="192" t="e">
        <f>VLOOKUP(C155,#REF!,128,0)</f>
        <v>#REF!</v>
      </c>
      <c r="F155" s="192" t="e">
        <f>+VLOOKUP(C155,#REF!,150,0)</f>
        <v>#REF!</v>
      </c>
      <c r="G155" s="239" t="e">
        <f t="shared" si="12"/>
        <v>#REF!</v>
      </c>
      <c r="H155" s="240" t="e">
        <f t="shared" si="11"/>
        <v>#REF!</v>
      </c>
      <c r="I155" s="238">
        <v>0</v>
      </c>
      <c r="J155" s="241" t="e">
        <f t="shared" si="13"/>
        <v>#REF!</v>
      </c>
      <c r="K155" s="238"/>
    </row>
    <row r="156" spans="1:11" s="242" customFormat="1" ht="17">
      <c r="A156" s="245">
        <v>147</v>
      </c>
      <c r="B156" s="152" t="s">
        <v>339</v>
      </c>
      <c r="C156" s="237">
        <v>8125186890</v>
      </c>
      <c r="D156" s="238" t="e">
        <f>VLOOKUP(C156,#REF!,7,0)</f>
        <v>#REF!</v>
      </c>
      <c r="E156" s="192" t="e">
        <f>VLOOKUP(C156,#REF!,128,0)</f>
        <v>#REF!</v>
      </c>
      <c r="F156" s="192" t="e">
        <f>+VLOOKUP(C156,#REF!,150,0)</f>
        <v>#REF!</v>
      </c>
      <c r="G156" s="239" t="e">
        <f t="shared" si="12"/>
        <v>#REF!</v>
      </c>
      <c r="H156" s="240" t="e">
        <f t="shared" si="11"/>
        <v>#REF!</v>
      </c>
      <c r="I156" s="238">
        <v>0</v>
      </c>
      <c r="J156" s="241" t="e">
        <f t="shared" si="13"/>
        <v>#REF!</v>
      </c>
      <c r="K156" s="238"/>
    </row>
    <row r="157" spans="1:11" s="242" customFormat="1" ht="17">
      <c r="A157" s="245">
        <v>148</v>
      </c>
      <c r="B157" s="251" t="s">
        <v>401</v>
      </c>
      <c r="C157" s="237">
        <v>8718356818</v>
      </c>
      <c r="D157" s="238" t="e">
        <f>VLOOKUP(C157,#REF!,7,0)</f>
        <v>#REF!</v>
      </c>
      <c r="E157" s="192" t="e">
        <f>VLOOKUP(C157,#REF!,128,0)</f>
        <v>#REF!</v>
      </c>
      <c r="F157" s="192" t="e">
        <f>+VLOOKUP(C157,#REF!,150,0)</f>
        <v>#REF!</v>
      </c>
      <c r="G157" s="239" t="e">
        <f t="shared" si="12"/>
        <v>#REF!</v>
      </c>
      <c r="H157" s="240" t="e">
        <f t="shared" si="11"/>
        <v>#REF!</v>
      </c>
      <c r="I157" s="238">
        <v>0</v>
      </c>
      <c r="J157" s="241" t="e">
        <f t="shared" si="13"/>
        <v>#REF!</v>
      </c>
      <c r="K157" s="238"/>
    </row>
    <row r="158" spans="1:11" s="242" customFormat="1" ht="17">
      <c r="A158" s="245">
        <v>149</v>
      </c>
      <c r="B158" s="251" t="s">
        <v>402</v>
      </c>
      <c r="C158" s="237">
        <v>8473212037</v>
      </c>
      <c r="D158" s="238" t="e">
        <f>VLOOKUP(C158,#REF!,7,0)</f>
        <v>#REF!</v>
      </c>
      <c r="E158" s="192" t="e">
        <f>VLOOKUP(C158,#REF!,128,0)</f>
        <v>#REF!</v>
      </c>
      <c r="F158" s="192" t="e">
        <f>+VLOOKUP(C158,#REF!,150,0)</f>
        <v>#REF!</v>
      </c>
      <c r="G158" s="239" t="e">
        <f t="shared" si="12"/>
        <v>#REF!</v>
      </c>
      <c r="H158" s="240" t="e">
        <f t="shared" si="11"/>
        <v>#REF!</v>
      </c>
      <c r="I158" s="238">
        <v>0</v>
      </c>
      <c r="J158" s="241" t="e">
        <f t="shared" si="13"/>
        <v>#REF!</v>
      </c>
      <c r="K158" s="238"/>
    </row>
    <row r="159" spans="1:11" s="242" customFormat="1" ht="17">
      <c r="A159" s="245">
        <v>150</v>
      </c>
      <c r="B159" s="251" t="s">
        <v>403</v>
      </c>
      <c r="C159" s="237">
        <v>8423246792</v>
      </c>
      <c r="D159" s="238" t="e">
        <f>VLOOKUP(C159,#REF!,7,0)</f>
        <v>#REF!</v>
      </c>
      <c r="E159" s="192" t="e">
        <f>VLOOKUP(C159,#REF!,128,0)</f>
        <v>#REF!</v>
      </c>
      <c r="F159" s="192" t="e">
        <f>+VLOOKUP(C159,#REF!,150,0)</f>
        <v>#REF!</v>
      </c>
      <c r="G159" s="239" t="e">
        <f t="shared" si="12"/>
        <v>#REF!</v>
      </c>
      <c r="H159" s="240" t="e">
        <f t="shared" si="11"/>
        <v>#REF!</v>
      </c>
      <c r="I159" s="238">
        <v>0</v>
      </c>
      <c r="J159" s="241" t="e">
        <f t="shared" si="13"/>
        <v>#REF!</v>
      </c>
      <c r="K159" s="238"/>
    </row>
    <row r="160" spans="1:11" s="242" customFormat="1" ht="17">
      <c r="A160" s="245">
        <v>151</v>
      </c>
      <c r="B160" s="152" t="s">
        <v>446</v>
      </c>
      <c r="C160" s="237">
        <v>8077384353</v>
      </c>
      <c r="D160" s="238" t="e">
        <f>VLOOKUP(C160,#REF!,7,0)</f>
        <v>#REF!</v>
      </c>
      <c r="E160" s="192" t="e">
        <f>VLOOKUP(C160,#REF!,128,0)</f>
        <v>#REF!</v>
      </c>
      <c r="F160" s="192" t="e">
        <f>+VLOOKUP(C160,#REF!,150,0)</f>
        <v>#REF!</v>
      </c>
      <c r="G160" s="239" t="e">
        <f t="shared" si="12"/>
        <v>#REF!</v>
      </c>
      <c r="H160" s="240" t="e">
        <f t="shared" si="11"/>
        <v>#REF!</v>
      </c>
      <c r="I160" s="238">
        <v>0</v>
      </c>
      <c r="J160" s="241" t="e">
        <f t="shared" si="13"/>
        <v>#REF!</v>
      </c>
      <c r="K160" s="238"/>
    </row>
    <row r="161" spans="1:11" s="242" customFormat="1" ht="17">
      <c r="A161" s="245">
        <v>152</v>
      </c>
      <c r="B161" s="152" t="s">
        <v>447</v>
      </c>
      <c r="C161" s="237">
        <v>8325373721</v>
      </c>
      <c r="D161" s="238" t="e">
        <f>VLOOKUP(C161,#REF!,7,0)</f>
        <v>#REF!</v>
      </c>
      <c r="E161" s="192" t="e">
        <f>VLOOKUP(C161,#REF!,128,0)</f>
        <v>#REF!</v>
      </c>
      <c r="F161" s="192" t="e">
        <f>+VLOOKUP(C161,#REF!,150,0)</f>
        <v>#REF!</v>
      </c>
      <c r="G161" s="239" t="e">
        <f t="shared" si="12"/>
        <v>#REF!</v>
      </c>
      <c r="H161" s="240" t="e">
        <f t="shared" si="11"/>
        <v>#REF!</v>
      </c>
      <c r="I161" s="238">
        <v>0</v>
      </c>
      <c r="J161" s="241" t="e">
        <f t="shared" si="13"/>
        <v>#REF!</v>
      </c>
      <c r="K161" s="238"/>
    </row>
    <row r="162" spans="1:11" s="242" customFormat="1" ht="17">
      <c r="A162" s="245">
        <v>153</v>
      </c>
      <c r="B162" s="152" t="s">
        <v>448</v>
      </c>
      <c r="C162" s="237">
        <v>8669971039</v>
      </c>
      <c r="D162" s="238" t="e">
        <f>VLOOKUP(C162,#REF!,7,0)</f>
        <v>#REF!</v>
      </c>
      <c r="E162" s="192" t="e">
        <f>VLOOKUP(C162,#REF!,128,0)</f>
        <v>#REF!</v>
      </c>
      <c r="F162" s="192" t="e">
        <f>+VLOOKUP(C162,#REF!,150,0)</f>
        <v>#REF!</v>
      </c>
      <c r="G162" s="239" t="e">
        <f t="shared" si="12"/>
        <v>#REF!</v>
      </c>
      <c r="H162" s="240" t="e">
        <f t="shared" si="11"/>
        <v>#REF!</v>
      </c>
      <c r="I162" s="238">
        <v>0</v>
      </c>
      <c r="J162" s="241" t="e">
        <f t="shared" si="13"/>
        <v>#REF!</v>
      </c>
      <c r="K162" s="238"/>
    </row>
    <row r="163" spans="1:11" s="242" customFormat="1" ht="17">
      <c r="A163" s="245">
        <v>154</v>
      </c>
      <c r="B163" s="152" t="s">
        <v>464</v>
      </c>
      <c r="C163" s="237">
        <v>8040310267</v>
      </c>
      <c r="D163" s="238" t="e">
        <f>VLOOKUP(C163,#REF!,7,0)</f>
        <v>#REF!</v>
      </c>
      <c r="E163" s="192" t="e">
        <f>VLOOKUP(C163,#REF!,128,0)</f>
        <v>#REF!</v>
      </c>
      <c r="F163" s="192" t="e">
        <f>+VLOOKUP(C163,#REF!,150,0)</f>
        <v>#REF!</v>
      </c>
      <c r="G163" s="239" t="e">
        <f t="shared" si="12"/>
        <v>#REF!</v>
      </c>
      <c r="H163" s="240" t="e">
        <f t="shared" si="11"/>
        <v>#REF!</v>
      </c>
      <c r="I163" s="238">
        <v>0</v>
      </c>
      <c r="J163" s="241" t="e">
        <f t="shared" si="13"/>
        <v>#REF!</v>
      </c>
      <c r="K163" s="238"/>
    </row>
    <row r="164" spans="1:11" s="242" customFormat="1" ht="17">
      <c r="A164" s="245">
        <v>155</v>
      </c>
      <c r="B164" s="152" t="s">
        <v>466</v>
      </c>
      <c r="C164" s="237">
        <v>8123093785</v>
      </c>
      <c r="D164" s="238" t="e">
        <f>VLOOKUP(C164,#REF!,7,0)</f>
        <v>#REF!</v>
      </c>
      <c r="E164" s="192" t="e">
        <f>VLOOKUP(C164,#REF!,128,0)</f>
        <v>#REF!</v>
      </c>
      <c r="F164" s="192" t="e">
        <f>+VLOOKUP(C164,#REF!,150,0)</f>
        <v>#REF!</v>
      </c>
      <c r="G164" s="239" t="e">
        <f t="shared" si="12"/>
        <v>#REF!</v>
      </c>
      <c r="H164" s="240" t="e">
        <f t="shared" si="11"/>
        <v>#REF!</v>
      </c>
      <c r="I164" s="238">
        <v>0</v>
      </c>
      <c r="J164" s="241" t="e">
        <f t="shared" si="13"/>
        <v>#REF!</v>
      </c>
      <c r="K164" s="238"/>
    </row>
    <row r="165" spans="1:11" s="242" customFormat="1" ht="17">
      <c r="A165" s="245">
        <v>156</v>
      </c>
      <c r="B165" s="152" t="s">
        <v>61</v>
      </c>
      <c r="C165" s="237">
        <v>8338244730</v>
      </c>
      <c r="D165" s="238" t="e">
        <f>VLOOKUP(C165,#REF!,7,0)</f>
        <v>#REF!</v>
      </c>
      <c r="E165" s="192" t="e">
        <f>VLOOKUP(C165,#REF!,128,0)</f>
        <v>#REF!</v>
      </c>
      <c r="F165" s="192" t="e">
        <f>+VLOOKUP(C165,#REF!,150,0)</f>
        <v>#REF!</v>
      </c>
      <c r="G165" s="239" t="e">
        <f t="shared" si="12"/>
        <v>#REF!</v>
      </c>
      <c r="H165" s="240" t="e">
        <f t="shared" si="11"/>
        <v>#REF!</v>
      </c>
      <c r="I165" s="238">
        <v>0</v>
      </c>
      <c r="J165" s="241" t="e">
        <f t="shared" si="13"/>
        <v>#REF!</v>
      </c>
      <c r="K165" s="238"/>
    </row>
    <row r="166" spans="1:11" s="242" customFormat="1" ht="17">
      <c r="A166" s="245">
        <v>157</v>
      </c>
      <c r="B166" s="152" t="s">
        <v>270</v>
      </c>
      <c r="C166" s="237" t="s">
        <v>271</v>
      </c>
      <c r="D166" s="238" t="e">
        <f>VLOOKUP(C166,#REF!,7,0)</f>
        <v>#REF!</v>
      </c>
      <c r="E166" s="192" t="e">
        <f>VLOOKUP(C166,#REF!,128,0)</f>
        <v>#REF!</v>
      </c>
      <c r="F166" s="192" t="e">
        <f>+VLOOKUP(C166,#REF!,150,0)</f>
        <v>#REF!</v>
      </c>
      <c r="G166" s="239" t="e">
        <f t="shared" si="12"/>
        <v>#REF!</v>
      </c>
      <c r="H166" s="240" t="e">
        <f t="shared" si="11"/>
        <v>#REF!</v>
      </c>
      <c r="I166" s="238">
        <v>0</v>
      </c>
      <c r="J166" s="241" t="e">
        <f t="shared" si="13"/>
        <v>#REF!</v>
      </c>
      <c r="K166" s="238"/>
    </row>
    <row r="167" spans="1:11" s="242" customFormat="1" ht="17">
      <c r="A167" s="245">
        <v>158</v>
      </c>
      <c r="B167" s="152" t="s">
        <v>112</v>
      </c>
      <c r="C167" s="237">
        <v>8039543556</v>
      </c>
      <c r="D167" s="238" t="e">
        <f>VLOOKUP(C167,#REF!,7,0)</f>
        <v>#REF!</v>
      </c>
      <c r="E167" s="192" t="e">
        <f>VLOOKUP(C167,#REF!,128,0)</f>
        <v>#REF!</v>
      </c>
      <c r="F167" s="192" t="e">
        <f>+VLOOKUP(C167,#REF!,150,0)</f>
        <v>#REF!</v>
      </c>
      <c r="G167" s="239" t="e">
        <f t="shared" si="12"/>
        <v>#REF!</v>
      </c>
      <c r="H167" s="240" t="e">
        <f t="shared" si="11"/>
        <v>#REF!</v>
      </c>
      <c r="I167" s="238">
        <v>0</v>
      </c>
      <c r="J167" s="241" t="e">
        <f t="shared" si="13"/>
        <v>#REF!</v>
      </c>
      <c r="K167" s="238"/>
    </row>
    <row r="168" spans="1:11" s="242" customFormat="1" ht="17">
      <c r="A168" s="245">
        <v>159</v>
      </c>
      <c r="B168" s="152" t="s">
        <v>318</v>
      </c>
      <c r="C168" s="237">
        <v>8371693395</v>
      </c>
      <c r="D168" s="238" t="e">
        <f>VLOOKUP(C168,#REF!,7,0)</f>
        <v>#REF!</v>
      </c>
      <c r="E168" s="192" t="e">
        <f>VLOOKUP(C168,#REF!,128,0)</f>
        <v>#REF!</v>
      </c>
      <c r="F168" s="192" t="e">
        <f>+VLOOKUP(C168,#REF!,150,0)</f>
        <v>#REF!</v>
      </c>
      <c r="G168" s="239" t="e">
        <f t="shared" si="12"/>
        <v>#REF!</v>
      </c>
      <c r="H168" s="240" t="e">
        <f t="shared" si="11"/>
        <v>#REF!</v>
      </c>
      <c r="I168" s="238">
        <v>0</v>
      </c>
      <c r="J168" s="241" t="e">
        <f t="shared" si="13"/>
        <v>#REF!</v>
      </c>
      <c r="K168" s="238"/>
    </row>
    <row r="169" spans="1:11" s="242" customFormat="1" ht="17">
      <c r="A169" s="245">
        <v>160</v>
      </c>
      <c r="B169" s="152" t="s">
        <v>409</v>
      </c>
      <c r="C169" s="237">
        <v>8073099789</v>
      </c>
      <c r="D169" s="238" t="e">
        <f>VLOOKUP(C169,#REF!,7,0)</f>
        <v>#REF!</v>
      </c>
      <c r="E169" s="192" t="e">
        <f>VLOOKUP(C169,#REF!,128,0)</f>
        <v>#REF!</v>
      </c>
      <c r="F169" s="192" t="e">
        <f>+VLOOKUP(C169,#REF!,150,0)</f>
        <v>#REF!</v>
      </c>
      <c r="G169" s="239" t="e">
        <f t="shared" si="12"/>
        <v>#REF!</v>
      </c>
      <c r="H169" s="240" t="e">
        <f t="shared" si="11"/>
        <v>#REF!</v>
      </c>
      <c r="I169" s="238">
        <v>0</v>
      </c>
      <c r="J169" s="241" t="e">
        <f t="shared" si="13"/>
        <v>#REF!</v>
      </c>
      <c r="K169" s="238"/>
    </row>
    <row r="170" spans="1:11" s="242" customFormat="1" ht="17">
      <c r="A170" s="245">
        <v>161</v>
      </c>
      <c r="B170" s="152" t="s">
        <v>418</v>
      </c>
      <c r="C170" s="237">
        <v>8933111721</v>
      </c>
      <c r="D170" s="238" t="e">
        <f>VLOOKUP(C170,#REF!,7,0)</f>
        <v>#REF!</v>
      </c>
      <c r="E170" s="192" t="e">
        <f>VLOOKUP(C170,#REF!,128,0)</f>
        <v>#REF!</v>
      </c>
      <c r="F170" s="192" t="e">
        <f>+VLOOKUP(C170,#REF!,150,0)</f>
        <v>#REF!</v>
      </c>
      <c r="G170" s="239" t="e">
        <f t="shared" si="12"/>
        <v>#REF!</v>
      </c>
      <c r="H170" s="240" t="e">
        <f t="shared" si="11"/>
        <v>#REF!</v>
      </c>
      <c r="I170" s="238">
        <v>0</v>
      </c>
      <c r="J170" s="241" t="e">
        <f t="shared" si="13"/>
        <v>#REF!</v>
      </c>
      <c r="K170" s="238"/>
    </row>
    <row r="171" spans="1:11" s="242" customFormat="1" ht="17">
      <c r="A171" s="245">
        <v>162</v>
      </c>
      <c r="B171" s="152" t="s">
        <v>599</v>
      </c>
      <c r="C171" s="237" t="s">
        <v>731</v>
      </c>
      <c r="D171" s="238" t="e">
        <f>VLOOKUP(C171,#REF!,7,0)</f>
        <v>#REF!</v>
      </c>
      <c r="E171" s="192" t="e">
        <f>VLOOKUP(C171,#REF!,128,0)</f>
        <v>#REF!</v>
      </c>
      <c r="F171" s="192" t="e">
        <f>+VLOOKUP(C171,#REF!,150,0)</f>
        <v>#REF!</v>
      </c>
      <c r="G171" s="239" t="e">
        <f t="shared" si="12"/>
        <v>#REF!</v>
      </c>
      <c r="H171" s="240" t="e">
        <f t="shared" si="11"/>
        <v>#REF!</v>
      </c>
      <c r="I171" s="238" t="e">
        <v>#N/A</v>
      </c>
      <c r="J171" s="241" t="e">
        <f t="shared" si="13"/>
        <v>#REF!</v>
      </c>
      <c r="K171" s="238"/>
    </row>
    <row r="172" spans="1:11" s="242" customFormat="1" ht="17">
      <c r="A172" s="245">
        <v>163</v>
      </c>
      <c r="B172" s="152" t="s">
        <v>306</v>
      </c>
      <c r="C172" s="237" t="s">
        <v>307</v>
      </c>
      <c r="D172" s="238" t="e">
        <f>VLOOKUP(C172,#REF!,7,0)</f>
        <v>#REF!</v>
      </c>
      <c r="E172" s="192" t="e">
        <f>VLOOKUP(C172,#REF!,128,0)</f>
        <v>#REF!</v>
      </c>
      <c r="F172" s="192" t="e">
        <f>+VLOOKUP(C172,#REF!,150,0)</f>
        <v>#REF!</v>
      </c>
      <c r="G172" s="239" t="e">
        <f t="shared" si="12"/>
        <v>#REF!</v>
      </c>
      <c r="H172" s="240" t="e">
        <f t="shared" si="11"/>
        <v>#REF!</v>
      </c>
      <c r="I172" s="238">
        <v>0</v>
      </c>
      <c r="J172" s="241" t="e">
        <f t="shared" si="13"/>
        <v>#REF!</v>
      </c>
      <c r="K172" s="238"/>
    </row>
    <row r="173" spans="1:11" s="242" customFormat="1" ht="17">
      <c r="A173" s="245">
        <v>164</v>
      </c>
      <c r="B173" s="152" t="s">
        <v>281</v>
      </c>
      <c r="C173" s="237">
        <v>8512983935</v>
      </c>
      <c r="D173" s="238" t="e">
        <f>VLOOKUP(C173,#REF!,7,0)</f>
        <v>#REF!</v>
      </c>
      <c r="E173" s="192" t="e">
        <f>VLOOKUP(C173,#REF!,128,0)</f>
        <v>#REF!</v>
      </c>
      <c r="F173" s="192" t="e">
        <f>+VLOOKUP(C173,#REF!,150,0)</f>
        <v>#REF!</v>
      </c>
      <c r="G173" s="239" t="e">
        <f t="shared" si="12"/>
        <v>#REF!</v>
      </c>
      <c r="H173" s="240" t="e">
        <f t="shared" si="11"/>
        <v>#REF!</v>
      </c>
      <c r="I173" s="238">
        <v>0</v>
      </c>
      <c r="J173" s="241" t="e">
        <f t="shared" si="13"/>
        <v>#REF!</v>
      </c>
      <c r="K173" s="238"/>
    </row>
    <row r="174" spans="1:11" s="242" customFormat="1" ht="17">
      <c r="A174" s="245">
        <v>165</v>
      </c>
      <c r="B174" s="152" t="s">
        <v>259</v>
      </c>
      <c r="C174" s="237">
        <v>8392081097</v>
      </c>
      <c r="D174" s="238" t="e">
        <f>VLOOKUP(C174,#REF!,7,0)</f>
        <v>#REF!</v>
      </c>
      <c r="E174" s="192" t="e">
        <f>VLOOKUP(C174,#REF!,128,0)</f>
        <v>#REF!</v>
      </c>
      <c r="F174" s="192" t="e">
        <f>+VLOOKUP(C174,#REF!,150,0)</f>
        <v>#REF!</v>
      </c>
      <c r="G174" s="239" t="e">
        <f t="shared" si="12"/>
        <v>#REF!</v>
      </c>
      <c r="H174" s="240" t="e">
        <f t="shared" si="11"/>
        <v>#REF!</v>
      </c>
      <c r="I174" s="238">
        <v>0</v>
      </c>
      <c r="J174" s="241" t="e">
        <f t="shared" si="13"/>
        <v>#REF!</v>
      </c>
      <c r="K174" s="238"/>
    </row>
    <row r="175" spans="1:11" s="242" customFormat="1" ht="17">
      <c r="A175" s="245">
        <v>166</v>
      </c>
      <c r="B175" s="152" t="s">
        <v>297</v>
      </c>
      <c r="C175" s="237">
        <v>8745581386</v>
      </c>
      <c r="D175" s="238" t="e">
        <f>VLOOKUP(C175,#REF!,7,0)</f>
        <v>#REF!</v>
      </c>
      <c r="E175" s="192" t="e">
        <f>VLOOKUP(C175,#REF!,128,0)</f>
        <v>#REF!</v>
      </c>
      <c r="F175" s="192" t="e">
        <f>+VLOOKUP(C175,#REF!,150,0)</f>
        <v>#REF!</v>
      </c>
      <c r="G175" s="239" t="e">
        <f t="shared" si="12"/>
        <v>#REF!</v>
      </c>
      <c r="H175" s="240" t="e">
        <f t="shared" si="11"/>
        <v>#REF!</v>
      </c>
      <c r="I175" s="238">
        <v>0</v>
      </c>
      <c r="J175" s="241" t="e">
        <f t="shared" si="13"/>
        <v>#REF!</v>
      </c>
      <c r="K175" s="238"/>
    </row>
    <row r="176" spans="1:11" s="242" customFormat="1" ht="17">
      <c r="A176" s="245">
        <v>167</v>
      </c>
      <c r="B176" s="152" t="s">
        <v>316</v>
      </c>
      <c r="C176" s="237">
        <v>8169054210</v>
      </c>
      <c r="D176" s="238" t="e">
        <f>VLOOKUP(C176,#REF!,7,0)</f>
        <v>#REF!</v>
      </c>
      <c r="E176" s="192" t="e">
        <f>VLOOKUP(C176,#REF!,128,0)</f>
        <v>#REF!</v>
      </c>
      <c r="F176" s="192" t="e">
        <f>+VLOOKUP(C176,#REF!,150,0)</f>
        <v>#REF!</v>
      </c>
      <c r="G176" s="239" t="e">
        <f t="shared" si="12"/>
        <v>#REF!</v>
      </c>
      <c r="H176" s="240" t="e">
        <f t="shared" si="11"/>
        <v>#REF!</v>
      </c>
      <c r="I176" s="238">
        <v>0</v>
      </c>
      <c r="J176" s="241" t="e">
        <f t="shared" si="13"/>
        <v>#REF!</v>
      </c>
      <c r="K176" s="238"/>
    </row>
    <row r="177" spans="1:11" s="242" customFormat="1" ht="17">
      <c r="A177" s="245">
        <v>168</v>
      </c>
      <c r="B177" s="152" t="s">
        <v>331</v>
      </c>
      <c r="C177" s="237">
        <v>8690817495</v>
      </c>
      <c r="D177" s="238" t="e">
        <f>VLOOKUP(C177,#REF!,7,0)</f>
        <v>#REF!</v>
      </c>
      <c r="E177" s="192" t="e">
        <f>VLOOKUP(C177,#REF!,128,0)</f>
        <v>#REF!</v>
      </c>
      <c r="F177" s="192" t="e">
        <f>+VLOOKUP(C177,#REF!,150,0)</f>
        <v>#REF!</v>
      </c>
      <c r="G177" s="239" t="e">
        <f t="shared" si="12"/>
        <v>#REF!</v>
      </c>
      <c r="H177" s="240" t="e">
        <f t="shared" si="11"/>
        <v>#REF!</v>
      </c>
      <c r="I177" s="238">
        <v>0</v>
      </c>
      <c r="J177" s="241" t="e">
        <f t="shared" si="13"/>
        <v>#REF!</v>
      </c>
      <c r="K177" s="238"/>
    </row>
    <row r="178" spans="1:11" s="242" customFormat="1" ht="17">
      <c r="A178" s="245">
        <v>169</v>
      </c>
      <c r="B178" s="152" t="s">
        <v>129</v>
      </c>
      <c r="C178" s="237">
        <v>8619448641</v>
      </c>
      <c r="D178" s="238" t="e">
        <f>VLOOKUP(C178,#REF!,7,0)</f>
        <v>#REF!</v>
      </c>
      <c r="E178" s="192" t="e">
        <f>VLOOKUP(C178,#REF!,128,0)</f>
        <v>#REF!</v>
      </c>
      <c r="F178" s="192" t="e">
        <f>+VLOOKUP(C178,#REF!,150,0)</f>
        <v>#REF!</v>
      </c>
      <c r="G178" s="239" t="e">
        <f t="shared" si="12"/>
        <v>#REF!</v>
      </c>
      <c r="H178" s="240" t="e">
        <f t="shared" si="11"/>
        <v>#REF!</v>
      </c>
      <c r="I178" s="238">
        <v>0</v>
      </c>
      <c r="J178" s="241" t="e">
        <f t="shared" si="13"/>
        <v>#REF!</v>
      </c>
      <c r="K178" s="238"/>
    </row>
    <row r="179" spans="1:11" s="242" customFormat="1" ht="17">
      <c r="A179" s="245">
        <v>170</v>
      </c>
      <c r="B179" s="152" t="s">
        <v>449</v>
      </c>
      <c r="C179" s="237">
        <v>8543861486</v>
      </c>
      <c r="D179" s="238" t="e">
        <f>VLOOKUP(C179,#REF!,7,0)</f>
        <v>#REF!</v>
      </c>
      <c r="E179" s="192" t="e">
        <f>VLOOKUP(C179,#REF!,128,0)</f>
        <v>#REF!</v>
      </c>
      <c r="F179" s="192" t="e">
        <f>+VLOOKUP(C179,#REF!,150,0)</f>
        <v>#REF!</v>
      </c>
      <c r="G179" s="239" t="e">
        <f t="shared" si="12"/>
        <v>#REF!</v>
      </c>
      <c r="H179" s="240" t="e">
        <f t="shared" si="11"/>
        <v>#REF!</v>
      </c>
      <c r="I179" s="238">
        <v>0</v>
      </c>
      <c r="J179" s="241" t="e">
        <f t="shared" si="13"/>
        <v>#REF!</v>
      </c>
      <c r="K179" s="238"/>
    </row>
    <row r="180" spans="1:11" s="242" customFormat="1" ht="17">
      <c r="A180" s="245">
        <v>171</v>
      </c>
      <c r="B180" s="152" t="s">
        <v>341</v>
      </c>
      <c r="C180" s="237">
        <v>8801928838</v>
      </c>
      <c r="D180" s="238" t="e">
        <f>VLOOKUP(C180,#REF!,7,0)</f>
        <v>#REF!</v>
      </c>
      <c r="E180" s="192" t="e">
        <f>VLOOKUP(C180,#REF!,128,0)</f>
        <v>#REF!</v>
      </c>
      <c r="F180" s="192" t="e">
        <f>+VLOOKUP(C180,#REF!,150,0)</f>
        <v>#REF!</v>
      </c>
      <c r="G180" s="239" t="e">
        <f t="shared" si="12"/>
        <v>#REF!</v>
      </c>
      <c r="H180" s="240" t="e">
        <f t="shared" si="11"/>
        <v>#REF!</v>
      </c>
      <c r="I180" s="238">
        <v>0</v>
      </c>
      <c r="J180" s="241" t="e">
        <f t="shared" si="13"/>
        <v>#REF!</v>
      </c>
      <c r="K180" s="238"/>
    </row>
    <row r="181" spans="1:11" s="242" customFormat="1" ht="17">
      <c r="A181" s="245">
        <v>172</v>
      </c>
      <c r="B181" s="152" t="s">
        <v>344</v>
      </c>
      <c r="C181" s="237">
        <v>8487906067</v>
      </c>
      <c r="D181" s="238" t="e">
        <f>VLOOKUP(C181,#REF!,7,0)</f>
        <v>#REF!</v>
      </c>
      <c r="E181" s="192" t="e">
        <f>VLOOKUP(C181,#REF!,128,0)</f>
        <v>#REF!</v>
      </c>
      <c r="F181" s="192" t="e">
        <f>+VLOOKUP(C181,#REF!,150,0)</f>
        <v>#REF!</v>
      </c>
      <c r="G181" s="239" t="e">
        <f t="shared" si="12"/>
        <v>#REF!</v>
      </c>
      <c r="H181" s="240" t="e">
        <f t="shared" si="11"/>
        <v>#REF!</v>
      </c>
      <c r="I181" s="238">
        <v>0</v>
      </c>
      <c r="J181" s="241" t="e">
        <f t="shared" si="13"/>
        <v>#REF!</v>
      </c>
      <c r="K181" s="238"/>
    </row>
    <row r="182" spans="1:11" s="242" customFormat="1" ht="17">
      <c r="A182" s="245">
        <v>173</v>
      </c>
      <c r="B182" s="152" t="s">
        <v>440</v>
      </c>
      <c r="C182" s="237">
        <v>8729341475</v>
      </c>
      <c r="D182" s="238" t="e">
        <f>VLOOKUP(C182,#REF!,7,0)</f>
        <v>#REF!</v>
      </c>
      <c r="E182" s="192" t="e">
        <f>VLOOKUP(C182,#REF!,128,0)</f>
        <v>#REF!</v>
      </c>
      <c r="F182" s="192" t="e">
        <f>+VLOOKUP(C182,#REF!,150,0)</f>
        <v>#REF!</v>
      </c>
      <c r="G182" s="239" t="e">
        <f t="shared" si="12"/>
        <v>#REF!</v>
      </c>
      <c r="H182" s="240" t="e">
        <f t="shared" si="11"/>
        <v>#REF!</v>
      </c>
      <c r="I182" s="238">
        <v>0</v>
      </c>
      <c r="J182" s="241" t="e">
        <f t="shared" si="13"/>
        <v>#REF!</v>
      </c>
      <c r="K182" s="238"/>
    </row>
    <row r="183" spans="1:11" s="242" customFormat="1" ht="17">
      <c r="A183" s="245">
        <v>174</v>
      </c>
      <c r="B183" s="152" t="s">
        <v>100</v>
      </c>
      <c r="C183" s="237">
        <v>8455805771</v>
      </c>
      <c r="D183" s="238" t="e">
        <f>VLOOKUP(C183,#REF!,7,0)</f>
        <v>#REF!</v>
      </c>
      <c r="E183" s="192" t="e">
        <f>VLOOKUP(C183,#REF!,128,0)</f>
        <v>#REF!</v>
      </c>
      <c r="F183" s="192" t="e">
        <f>+VLOOKUP(C183,#REF!,150,0)</f>
        <v>#REF!</v>
      </c>
      <c r="G183" s="239" t="e">
        <f t="shared" si="12"/>
        <v>#REF!</v>
      </c>
      <c r="H183" s="240" t="e">
        <f t="shared" si="11"/>
        <v>#REF!</v>
      </c>
      <c r="I183" s="238">
        <v>0</v>
      </c>
      <c r="J183" s="241" t="e">
        <f t="shared" si="13"/>
        <v>#REF!</v>
      </c>
      <c r="K183" s="238"/>
    </row>
    <row r="184" spans="1:11" s="242" customFormat="1" ht="17">
      <c r="A184" s="245">
        <v>175</v>
      </c>
      <c r="B184" s="152" t="s">
        <v>199</v>
      </c>
      <c r="C184" s="237">
        <v>8277366168</v>
      </c>
      <c r="D184" s="238" t="e">
        <f>VLOOKUP(C184,#REF!,7,0)</f>
        <v>#REF!</v>
      </c>
      <c r="E184" s="192" t="e">
        <f>VLOOKUP(C184,#REF!,128,0)</f>
        <v>#REF!</v>
      </c>
      <c r="F184" s="192" t="e">
        <f>+VLOOKUP(C184,#REF!,150,0)</f>
        <v>#REF!</v>
      </c>
      <c r="G184" s="239" t="e">
        <f t="shared" si="12"/>
        <v>#REF!</v>
      </c>
      <c r="H184" s="240" t="e">
        <f t="shared" si="11"/>
        <v>#REF!</v>
      </c>
      <c r="I184" s="238">
        <v>0</v>
      </c>
      <c r="J184" s="241" t="e">
        <f t="shared" si="13"/>
        <v>#REF!</v>
      </c>
      <c r="K184" s="238"/>
    </row>
    <row r="185" spans="1:11" s="242" customFormat="1" ht="17">
      <c r="A185" s="245">
        <v>176</v>
      </c>
      <c r="B185" s="152" t="s">
        <v>309</v>
      </c>
      <c r="C185" s="237">
        <v>8103890912</v>
      </c>
      <c r="D185" s="238" t="e">
        <f>VLOOKUP(C185,#REF!,7,0)</f>
        <v>#REF!</v>
      </c>
      <c r="E185" s="192" t="e">
        <f>VLOOKUP(C185,#REF!,128,0)</f>
        <v>#REF!</v>
      </c>
      <c r="F185" s="192" t="e">
        <f>+VLOOKUP(C185,#REF!,150,0)</f>
        <v>#REF!</v>
      </c>
      <c r="G185" s="239" t="e">
        <f t="shared" si="12"/>
        <v>#REF!</v>
      </c>
      <c r="H185" s="240" t="e">
        <f t="shared" si="11"/>
        <v>#REF!</v>
      </c>
      <c r="I185" s="238">
        <v>0</v>
      </c>
      <c r="J185" s="241" t="e">
        <f t="shared" si="13"/>
        <v>#REF!</v>
      </c>
      <c r="K185" s="238"/>
    </row>
    <row r="186" spans="1:11" s="242" customFormat="1" ht="17">
      <c r="A186" s="245">
        <v>177</v>
      </c>
      <c r="B186" s="152" t="s">
        <v>335</v>
      </c>
      <c r="C186" s="237">
        <v>8597303784</v>
      </c>
      <c r="D186" s="238" t="e">
        <f>VLOOKUP(C186,#REF!,7,0)</f>
        <v>#REF!</v>
      </c>
      <c r="E186" s="192" t="e">
        <f>VLOOKUP(C186,#REF!,128,0)</f>
        <v>#REF!</v>
      </c>
      <c r="F186" s="192" t="e">
        <f>+VLOOKUP(C186,#REF!,150,0)</f>
        <v>#REF!</v>
      </c>
      <c r="G186" s="239" t="e">
        <f t="shared" si="12"/>
        <v>#REF!</v>
      </c>
      <c r="H186" s="240" t="e">
        <f t="shared" si="11"/>
        <v>#REF!</v>
      </c>
      <c r="I186" s="238">
        <v>0</v>
      </c>
      <c r="J186" s="241" t="e">
        <f t="shared" si="13"/>
        <v>#REF!</v>
      </c>
      <c r="K186" s="238"/>
    </row>
    <row r="187" spans="1:11" s="242" customFormat="1" ht="17">
      <c r="A187" s="245">
        <v>178</v>
      </c>
      <c r="B187" s="152" t="s">
        <v>345</v>
      </c>
      <c r="C187" s="237">
        <v>8109455338</v>
      </c>
      <c r="D187" s="238" t="e">
        <f>VLOOKUP(C187,#REF!,7,0)</f>
        <v>#REF!</v>
      </c>
      <c r="E187" s="192" t="e">
        <f>VLOOKUP(C187,#REF!,128,0)</f>
        <v>#REF!</v>
      </c>
      <c r="F187" s="192" t="e">
        <f>+VLOOKUP(C187,#REF!,150,0)</f>
        <v>#REF!</v>
      </c>
      <c r="G187" s="239" t="e">
        <f t="shared" si="12"/>
        <v>#REF!</v>
      </c>
      <c r="H187" s="240" t="e">
        <f t="shared" si="11"/>
        <v>#REF!</v>
      </c>
      <c r="I187" s="238">
        <v>0</v>
      </c>
      <c r="J187" s="241" t="e">
        <f t="shared" si="13"/>
        <v>#REF!</v>
      </c>
      <c r="K187" s="238"/>
    </row>
    <row r="188" spans="1:11" s="242" customFormat="1" ht="17">
      <c r="A188" s="245">
        <v>179</v>
      </c>
      <c r="B188" s="152" t="s">
        <v>200</v>
      </c>
      <c r="C188" s="237">
        <v>8150591652</v>
      </c>
      <c r="D188" s="238" t="e">
        <f>VLOOKUP(C188,#REF!,7,0)</f>
        <v>#REF!</v>
      </c>
      <c r="E188" s="192" t="e">
        <f>VLOOKUP(C188,#REF!,128,0)</f>
        <v>#REF!</v>
      </c>
      <c r="F188" s="192" t="e">
        <f>+VLOOKUP(C188,#REF!,150,0)</f>
        <v>#REF!</v>
      </c>
      <c r="G188" s="239" t="e">
        <f t="shared" si="12"/>
        <v>#REF!</v>
      </c>
      <c r="H188" s="240" t="e">
        <f t="shared" si="11"/>
        <v>#REF!</v>
      </c>
      <c r="I188" s="238">
        <v>0</v>
      </c>
      <c r="J188" s="241" t="e">
        <f t="shared" si="13"/>
        <v>#REF!</v>
      </c>
      <c r="K188" s="238"/>
    </row>
    <row r="189" spans="1:11" s="242" customFormat="1" ht="17">
      <c r="A189" s="245">
        <v>180</v>
      </c>
      <c r="B189" s="152" t="s">
        <v>441</v>
      </c>
      <c r="C189" s="237">
        <v>8788624115</v>
      </c>
      <c r="D189" s="238" t="e">
        <f>VLOOKUP(C189,#REF!,7,0)</f>
        <v>#REF!</v>
      </c>
      <c r="E189" s="192" t="e">
        <f>VLOOKUP(C189,#REF!,128,0)</f>
        <v>#REF!</v>
      </c>
      <c r="F189" s="192" t="e">
        <f>+VLOOKUP(C189,#REF!,150,0)</f>
        <v>#REF!</v>
      </c>
      <c r="G189" s="239" t="e">
        <f t="shared" si="12"/>
        <v>#REF!</v>
      </c>
      <c r="H189" s="240" t="e">
        <f t="shared" si="11"/>
        <v>#REF!</v>
      </c>
      <c r="I189" s="238">
        <v>0</v>
      </c>
      <c r="J189" s="241" t="e">
        <f t="shared" si="13"/>
        <v>#REF!</v>
      </c>
      <c r="K189" s="238"/>
    </row>
    <row r="190" spans="1:11" s="242" customFormat="1" ht="17">
      <c r="A190" s="245">
        <v>181</v>
      </c>
      <c r="B190" s="152" t="s">
        <v>458</v>
      </c>
      <c r="C190" s="237">
        <v>8309805660</v>
      </c>
      <c r="D190" s="238" t="e">
        <f>VLOOKUP(C190,#REF!,7,0)</f>
        <v>#REF!</v>
      </c>
      <c r="E190" s="192" t="e">
        <f>VLOOKUP(C190,#REF!,128,0)</f>
        <v>#REF!</v>
      </c>
      <c r="F190" s="192" t="e">
        <f>+VLOOKUP(C190,#REF!,150,0)</f>
        <v>#REF!</v>
      </c>
      <c r="G190" s="239" t="e">
        <f t="shared" si="12"/>
        <v>#REF!</v>
      </c>
      <c r="H190" s="240" t="e">
        <f t="shared" si="11"/>
        <v>#REF!</v>
      </c>
      <c r="I190" s="238">
        <v>0</v>
      </c>
      <c r="J190" s="241" t="e">
        <f t="shared" si="13"/>
        <v>#REF!</v>
      </c>
      <c r="K190" s="238"/>
    </row>
    <row r="191" spans="1:11" s="242" customFormat="1" ht="17">
      <c r="A191" s="245">
        <v>182</v>
      </c>
      <c r="B191" s="152" t="s">
        <v>459</v>
      </c>
      <c r="C191" s="237">
        <v>8643448882</v>
      </c>
      <c r="D191" s="238" t="e">
        <f>VLOOKUP(C191,#REF!,7,0)</f>
        <v>#REF!</v>
      </c>
      <c r="E191" s="192" t="e">
        <f>VLOOKUP(C191,#REF!,128,0)</f>
        <v>#REF!</v>
      </c>
      <c r="F191" s="192" t="e">
        <f>+VLOOKUP(C191,#REF!,150,0)</f>
        <v>#REF!</v>
      </c>
      <c r="G191" s="239" t="e">
        <f t="shared" si="12"/>
        <v>#REF!</v>
      </c>
      <c r="H191" s="240" t="e">
        <f t="shared" ref="H191:H254" si="14">+ROUND(G191*50,0)</f>
        <v>#REF!</v>
      </c>
      <c r="I191" s="238">
        <v>0</v>
      </c>
      <c r="J191" s="241" t="e">
        <f t="shared" si="13"/>
        <v>#REF!</v>
      </c>
      <c r="K191" s="238"/>
    </row>
    <row r="192" spans="1:11" s="242" customFormat="1" ht="17">
      <c r="A192" s="245">
        <v>183</v>
      </c>
      <c r="B192" s="152" t="s">
        <v>140</v>
      </c>
      <c r="C192" s="237" t="s">
        <v>172</v>
      </c>
      <c r="D192" s="238" t="e">
        <f>VLOOKUP(C192,#REF!,7,0)</f>
        <v>#REF!</v>
      </c>
      <c r="E192" s="192" t="e">
        <f>VLOOKUP(C192,#REF!,128,0)</f>
        <v>#REF!</v>
      </c>
      <c r="F192" s="192" t="e">
        <f>+VLOOKUP(C192,#REF!,150,0)</f>
        <v>#REF!</v>
      </c>
      <c r="G192" s="239" t="e">
        <f t="shared" ref="G192:G255" si="15">+F192/E192</f>
        <v>#REF!</v>
      </c>
      <c r="H192" s="240" t="e">
        <f t="shared" si="14"/>
        <v>#REF!</v>
      </c>
      <c r="I192" s="238">
        <v>0</v>
      </c>
      <c r="J192" s="241" t="e">
        <f t="shared" si="13"/>
        <v>#REF!</v>
      </c>
      <c r="K192" s="238"/>
    </row>
    <row r="193" spans="1:11" s="242" customFormat="1" ht="17">
      <c r="A193" s="245">
        <v>184</v>
      </c>
      <c r="B193" s="152" t="s">
        <v>143</v>
      </c>
      <c r="C193" s="237">
        <v>8020590168</v>
      </c>
      <c r="D193" s="238" t="e">
        <f>VLOOKUP(C193,#REF!,7,0)</f>
        <v>#REF!</v>
      </c>
      <c r="E193" s="192" t="e">
        <f>VLOOKUP(C193,#REF!,128,0)</f>
        <v>#REF!</v>
      </c>
      <c r="F193" s="192" t="e">
        <f>+VLOOKUP(C193,#REF!,150,0)</f>
        <v>#REF!</v>
      </c>
      <c r="G193" s="239" t="e">
        <f t="shared" si="15"/>
        <v>#REF!</v>
      </c>
      <c r="H193" s="240" t="e">
        <f t="shared" si="14"/>
        <v>#REF!</v>
      </c>
      <c r="I193" s="238">
        <v>0</v>
      </c>
      <c r="J193" s="241" t="e">
        <f t="shared" si="13"/>
        <v>#REF!</v>
      </c>
      <c r="K193" s="238"/>
    </row>
    <row r="194" spans="1:11" s="242" customFormat="1" ht="17">
      <c r="A194" s="245">
        <v>185</v>
      </c>
      <c r="B194" s="152" t="s">
        <v>301</v>
      </c>
      <c r="C194" s="237">
        <v>8013823774</v>
      </c>
      <c r="D194" s="238" t="e">
        <f>VLOOKUP(C194,#REF!,7,0)</f>
        <v>#REF!</v>
      </c>
      <c r="E194" s="192" t="e">
        <f>VLOOKUP(C194,#REF!,128,0)</f>
        <v>#REF!</v>
      </c>
      <c r="F194" s="192" t="e">
        <f>+VLOOKUP(C194,#REF!,150,0)</f>
        <v>#REF!</v>
      </c>
      <c r="G194" s="239" t="e">
        <f t="shared" si="15"/>
        <v>#REF!</v>
      </c>
      <c r="H194" s="240" t="e">
        <f t="shared" si="14"/>
        <v>#REF!</v>
      </c>
      <c r="I194" s="238">
        <v>0</v>
      </c>
      <c r="J194" s="241" t="e">
        <f t="shared" si="13"/>
        <v>#REF!</v>
      </c>
      <c r="K194" s="238"/>
    </row>
    <row r="195" spans="1:11" s="242" customFormat="1" ht="17">
      <c r="A195" s="245">
        <v>186</v>
      </c>
      <c r="B195" s="152" t="s">
        <v>333</v>
      </c>
      <c r="C195" s="237">
        <v>8147265419</v>
      </c>
      <c r="D195" s="238" t="e">
        <f>VLOOKUP(C195,#REF!,7,0)</f>
        <v>#REF!</v>
      </c>
      <c r="E195" s="192" t="e">
        <f>VLOOKUP(C195,#REF!,128,0)</f>
        <v>#REF!</v>
      </c>
      <c r="F195" s="192" t="e">
        <f>+VLOOKUP(C195,#REF!,150,0)</f>
        <v>#REF!</v>
      </c>
      <c r="G195" s="239" t="e">
        <f t="shared" si="15"/>
        <v>#REF!</v>
      </c>
      <c r="H195" s="240" t="e">
        <f t="shared" si="14"/>
        <v>#REF!</v>
      </c>
      <c r="I195" s="238">
        <v>0</v>
      </c>
      <c r="J195" s="241" t="e">
        <f t="shared" si="13"/>
        <v>#REF!</v>
      </c>
      <c r="K195" s="238"/>
    </row>
    <row r="196" spans="1:11" s="242" customFormat="1" ht="17">
      <c r="A196" s="245">
        <v>187</v>
      </c>
      <c r="B196" s="152" t="s">
        <v>212</v>
      </c>
      <c r="C196" s="237">
        <v>8044044030</v>
      </c>
      <c r="D196" s="238" t="e">
        <f>VLOOKUP(C196,#REF!,7,0)</f>
        <v>#REF!</v>
      </c>
      <c r="E196" s="192" t="e">
        <f>VLOOKUP(C196,#REF!,128,0)</f>
        <v>#REF!</v>
      </c>
      <c r="F196" s="192" t="e">
        <f>+VLOOKUP(C196,#REF!,150,0)</f>
        <v>#REF!</v>
      </c>
      <c r="G196" s="239" t="e">
        <f t="shared" si="15"/>
        <v>#REF!</v>
      </c>
      <c r="H196" s="240" t="e">
        <f t="shared" si="14"/>
        <v>#REF!</v>
      </c>
      <c r="I196" s="238">
        <v>0</v>
      </c>
      <c r="J196" s="241" t="e">
        <f t="shared" si="13"/>
        <v>#REF!</v>
      </c>
      <c r="K196" s="238"/>
    </row>
    <row r="197" spans="1:11" s="242" customFormat="1" ht="17">
      <c r="A197" s="245">
        <v>188</v>
      </c>
      <c r="B197" s="152" t="s">
        <v>411</v>
      </c>
      <c r="C197" s="237">
        <v>8736465432</v>
      </c>
      <c r="D197" s="238" t="e">
        <f>VLOOKUP(C197,#REF!,7,0)</f>
        <v>#REF!</v>
      </c>
      <c r="E197" s="192" t="e">
        <f>VLOOKUP(C197,#REF!,128,0)</f>
        <v>#REF!</v>
      </c>
      <c r="F197" s="192" t="e">
        <f>+VLOOKUP(C197,#REF!,150,0)</f>
        <v>#REF!</v>
      </c>
      <c r="G197" s="239" t="e">
        <f t="shared" si="15"/>
        <v>#REF!</v>
      </c>
      <c r="H197" s="240" t="e">
        <f t="shared" si="14"/>
        <v>#REF!</v>
      </c>
      <c r="I197" s="238">
        <v>0</v>
      </c>
      <c r="J197" s="241" t="e">
        <f t="shared" si="13"/>
        <v>#REF!</v>
      </c>
      <c r="K197" s="238"/>
    </row>
    <row r="198" spans="1:11" s="242" customFormat="1" ht="17">
      <c r="A198" s="245">
        <v>189</v>
      </c>
      <c r="B198" s="152" t="s">
        <v>414</v>
      </c>
      <c r="C198" s="237">
        <v>8930055194</v>
      </c>
      <c r="D198" s="238" t="e">
        <f>VLOOKUP(C198,#REF!,7,0)</f>
        <v>#REF!</v>
      </c>
      <c r="E198" s="192" t="e">
        <f>VLOOKUP(C198,#REF!,128,0)</f>
        <v>#REF!</v>
      </c>
      <c r="F198" s="192" t="e">
        <f>+VLOOKUP(C198,#REF!,150,0)</f>
        <v>#REF!</v>
      </c>
      <c r="G198" s="239" t="e">
        <f t="shared" si="15"/>
        <v>#REF!</v>
      </c>
      <c r="H198" s="240" t="e">
        <f t="shared" si="14"/>
        <v>#REF!</v>
      </c>
      <c r="I198" s="238">
        <v>0</v>
      </c>
      <c r="J198" s="241" t="e">
        <f t="shared" si="13"/>
        <v>#REF!</v>
      </c>
      <c r="K198" s="238"/>
    </row>
    <row r="199" spans="1:11" s="242" customFormat="1" ht="17">
      <c r="A199" s="245">
        <v>190</v>
      </c>
      <c r="B199" s="251" t="s">
        <v>419</v>
      </c>
      <c r="C199" s="237">
        <v>8544822257</v>
      </c>
      <c r="D199" s="238" t="e">
        <f>VLOOKUP(C199,#REF!,7,0)</f>
        <v>#REF!</v>
      </c>
      <c r="E199" s="192" t="e">
        <f>VLOOKUP(C199,#REF!,128,0)</f>
        <v>#REF!</v>
      </c>
      <c r="F199" s="192" t="e">
        <f>+VLOOKUP(C199,#REF!,150,0)</f>
        <v>#REF!</v>
      </c>
      <c r="G199" s="239" t="e">
        <f t="shared" si="15"/>
        <v>#REF!</v>
      </c>
      <c r="H199" s="240" t="e">
        <f t="shared" si="14"/>
        <v>#REF!</v>
      </c>
      <c r="I199" s="238">
        <v>0</v>
      </c>
      <c r="J199" s="241" t="e">
        <f t="shared" si="13"/>
        <v>#REF!</v>
      </c>
      <c r="K199" s="238"/>
    </row>
    <row r="200" spans="1:11" s="242" customFormat="1" ht="17">
      <c r="A200" s="245">
        <v>191</v>
      </c>
      <c r="B200" s="251" t="s">
        <v>433</v>
      </c>
      <c r="C200" s="237">
        <v>8934845531</v>
      </c>
      <c r="D200" s="238" t="e">
        <f>VLOOKUP(C200,#REF!,7,0)</f>
        <v>#REF!</v>
      </c>
      <c r="E200" s="192" t="e">
        <f>VLOOKUP(C200,#REF!,128,0)</f>
        <v>#REF!</v>
      </c>
      <c r="F200" s="192" t="e">
        <f>+VLOOKUP(C200,#REF!,150,0)</f>
        <v>#REF!</v>
      </c>
      <c r="G200" s="239" t="e">
        <f t="shared" si="15"/>
        <v>#REF!</v>
      </c>
      <c r="H200" s="240" t="e">
        <f t="shared" si="14"/>
        <v>#REF!</v>
      </c>
      <c r="I200" s="238">
        <v>0</v>
      </c>
      <c r="J200" s="241" t="e">
        <f t="shared" si="13"/>
        <v>#REF!</v>
      </c>
      <c r="K200" s="238"/>
    </row>
    <row r="201" spans="1:11" s="242" customFormat="1" ht="17">
      <c r="A201" s="245">
        <v>192</v>
      </c>
      <c r="B201" s="152" t="s">
        <v>434</v>
      </c>
      <c r="C201" s="237">
        <v>8159830496</v>
      </c>
      <c r="D201" s="238" t="e">
        <f>VLOOKUP(C201,#REF!,7,0)</f>
        <v>#REF!</v>
      </c>
      <c r="E201" s="192" t="e">
        <f>VLOOKUP(C201,#REF!,128,0)</f>
        <v>#REF!</v>
      </c>
      <c r="F201" s="192" t="e">
        <f>+VLOOKUP(C201,#REF!,150,0)</f>
        <v>#REF!</v>
      </c>
      <c r="G201" s="239" t="e">
        <f t="shared" si="15"/>
        <v>#REF!</v>
      </c>
      <c r="H201" s="240" t="e">
        <f t="shared" si="14"/>
        <v>#REF!</v>
      </c>
      <c r="I201" s="238">
        <v>0</v>
      </c>
      <c r="J201" s="241" t="e">
        <f t="shared" ref="J201:J264" si="16">+F201-E201+I201</f>
        <v>#REF!</v>
      </c>
      <c r="K201" s="238"/>
    </row>
    <row r="202" spans="1:11" s="242" customFormat="1" ht="17">
      <c r="A202" s="245">
        <v>193</v>
      </c>
      <c r="B202" s="152" t="s">
        <v>435</v>
      </c>
      <c r="C202" s="237">
        <v>8937417196</v>
      </c>
      <c r="D202" s="238" t="e">
        <f>VLOOKUP(C202,#REF!,7,0)</f>
        <v>#REF!</v>
      </c>
      <c r="E202" s="192" t="e">
        <f>VLOOKUP(C202,#REF!,128,0)</f>
        <v>#REF!</v>
      </c>
      <c r="F202" s="192" t="e">
        <f>+VLOOKUP(C202,#REF!,150,0)</f>
        <v>#REF!</v>
      </c>
      <c r="G202" s="239" t="e">
        <f t="shared" si="15"/>
        <v>#REF!</v>
      </c>
      <c r="H202" s="240" t="e">
        <f t="shared" si="14"/>
        <v>#REF!</v>
      </c>
      <c r="I202" s="238">
        <v>0</v>
      </c>
      <c r="J202" s="241" t="e">
        <f t="shared" si="16"/>
        <v>#REF!</v>
      </c>
      <c r="K202" s="238"/>
    </row>
    <row r="203" spans="1:11" s="242" customFormat="1" ht="17">
      <c r="A203" s="245">
        <v>194</v>
      </c>
      <c r="B203" s="152" t="s">
        <v>454</v>
      </c>
      <c r="C203" s="237">
        <v>8178447264</v>
      </c>
      <c r="D203" s="238" t="e">
        <f>VLOOKUP(C203,#REF!,7,0)</f>
        <v>#REF!</v>
      </c>
      <c r="E203" s="192" t="e">
        <f>VLOOKUP(C203,#REF!,128,0)</f>
        <v>#REF!</v>
      </c>
      <c r="F203" s="192" t="e">
        <f>+VLOOKUP(C203,#REF!,150,0)</f>
        <v>#REF!</v>
      </c>
      <c r="G203" s="239" t="e">
        <f t="shared" si="15"/>
        <v>#REF!</v>
      </c>
      <c r="H203" s="240" t="e">
        <f t="shared" si="14"/>
        <v>#REF!</v>
      </c>
      <c r="I203" s="238">
        <v>0</v>
      </c>
      <c r="J203" s="241" t="e">
        <f t="shared" si="16"/>
        <v>#REF!</v>
      </c>
      <c r="K203" s="238"/>
    </row>
    <row r="204" spans="1:11" s="242" customFormat="1" ht="17">
      <c r="A204" s="245">
        <v>195</v>
      </c>
      <c r="B204" s="152" t="s">
        <v>144</v>
      </c>
      <c r="C204" s="237">
        <v>8558749656</v>
      </c>
      <c r="D204" s="238" t="e">
        <f>VLOOKUP(C204,#REF!,7,0)</f>
        <v>#REF!</v>
      </c>
      <c r="E204" s="192" t="e">
        <f>VLOOKUP(C204,#REF!,128,0)</f>
        <v>#REF!</v>
      </c>
      <c r="F204" s="192" t="e">
        <f>+VLOOKUP(C204,#REF!,150,0)</f>
        <v>#REF!</v>
      </c>
      <c r="G204" s="239" t="e">
        <f t="shared" si="15"/>
        <v>#REF!</v>
      </c>
      <c r="H204" s="240" t="e">
        <f t="shared" si="14"/>
        <v>#REF!</v>
      </c>
      <c r="I204" s="238">
        <v>0</v>
      </c>
      <c r="J204" s="241" t="e">
        <f t="shared" si="16"/>
        <v>#REF!</v>
      </c>
      <c r="K204" s="238"/>
    </row>
    <row r="205" spans="1:11" s="242" customFormat="1" ht="17">
      <c r="A205" s="245">
        <v>196</v>
      </c>
      <c r="B205" s="152" t="s">
        <v>145</v>
      </c>
      <c r="C205" s="237">
        <v>8375222238</v>
      </c>
      <c r="D205" s="238" t="e">
        <f>VLOOKUP(C205,#REF!,7,0)</f>
        <v>#REF!</v>
      </c>
      <c r="E205" s="192" t="e">
        <f>VLOOKUP(C205,#REF!,128,0)</f>
        <v>#REF!</v>
      </c>
      <c r="F205" s="192" t="e">
        <f>+VLOOKUP(C205,#REF!,150,0)</f>
        <v>#REF!</v>
      </c>
      <c r="G205" s="239" t="e">
        <f t="shared" si="15"/>
        <v>#REF!</v>
      </c>
      <c r="H205" s="240" t="e">
        <f t="shared" si="14"/>
        <v>#REF!</v>
      </c>
      <c r="I205" s="238">
        <v>0</v>
      </c>
      <c r="J205" s="241" t="e">
        <f t="shared" si="16"/>
        <v>#REF!</v>
      </c>
      <c r="K205" s="238"/>
    </row>
    <row r="206" spans="1:11" s="242" customFormat="1" ht="17">
      <c r="A206" s="245">
        <v>197</v>
      </c>
      <c r="B206" s="152" t="s">
        <v>219</v>
      </c>
      <c r="C206" s="237">
        <v>8890155785</v>
      </c>
      <c r="D206" s="238" t="e">
        <f>VLOOKUP(C206,#REF!,7,0)</f>
        <v>#REF!</v>
      </c>
      <c r="E206" s="192" t="e">
        <f>VLOOKUP(C206,#REF!,128,0)</f>
        <v>#REF!</v>
      </c>
      <c r="F206" s="192" t="e">
        <f>+VLOOKUP(C206,#REF!,150,0)</f>
        <v>#REF!</v>
      </c>
      <c r="G206" s="239" t="e">
        <f t="shared" si="15"/>
        <v>#REF!</v>
      </c>
      <c r="H206" s="240" t="e">
        <f t="shared" si="14"/>
        <v>#REF!</v>
      </c>
      <c r="I206" s="238">
        <v>0</v>
      </c>
      <c r="J206" s="241" t="e">
        <f t="shared" si="16"/>
        <v>#REF!</v>
      </c>
      <c r="K206" s="238"/>
    </row>
    <row r="207" spans="1:11" s="242" customFormat="1" ht="17">
      <c r="A207" s="245">
        <v>198</v>
      </c>
      <c r="B207" s="152" t="s">
        <v>151</v>
      </c>
      <c r="C207" s="237">
        <v>8817109665</v>
      </c>
      <c r="D207" s="238" t="e">
        <f>VLOOKUP(C207,#REF!,7,0)</f>
        <v>#REF!</v>
      </c>
      <c r="E207" s="192" t="e">
        <f>VLOOKUP(C207,#REF!,128,0)</f>
        <v>#REF!</v>
      </c>
      <c r="F207" s="192" t="e">
        <f>+VLOOKUP(C207,#REF!,150,0)</f>
        <v>#REF!</v>
      </c>
      <c r="G207" s="239" t="e">
        <f t="shared" si="15"/>
        <v>#REF!</v>
      </c>
      <c r="H207" s="240" t="e">
        <f t="shared" si="14"/>
        <v>#REF!</v>
      </c>
      <c r="I207" s="238">
        <v>0</v>
      </c>
      <c r="J207" s="241" t="e">
        <f t="shared" si="16"/>
        <v>#REF!</v>
      </c>
      <c r="K207" s="238"/>
    </row>
    <row r="208" spans="1:11" s="242" customFormat="1" ht="17">
      <c r="A208" s="245">
        <v>199</v>
      </c>
      <c r="B208" s="152" t="s">
        <v>216</v>
      </c>
      <c r="C208" s="237">
        <v>8584702816</v>
      </c>
      <c r="D208" s="238" t="e">
        <f>VLOOKUP(C208,#REF!,7,0)</f>
        <v>#REF!</v>
      </c>
      <c r="E208" s="192" t="e">
        <f>VLOOKUP(C208,#REF!,128,0)</f>
        <v>#REF!</v>
      </c>
      <c r="F208" s="192" t="e">
        <f>+VLOOKUP(C208,#REF!,150,0)</f>
        <v>#REF!</v>
      </c>
      <c r="G208" s="239" t="e">
        <f t="shared" si="15"/>
        <v>#REF!</v>
      </c>
      <c r="H208" s="240" t="e">
        <f t="shared" si="14"/>
        <v>#REF!</v>
      </c>
      <c r="I208" s="238">
        <v>0</v>
      </c>
      <c r="J208" s="241" t="e">
        <f t="shared" si="16"/>
        <v>#REF!</v>
      </c>
      <c r="K208" s="238"/>
    </row>
    <row r="209" spans="1:11" s="242" customFormat="1" ht="17">
      <c r="A209" s="245">
        <v>200</v>
      </c>
      <c r="B209" s="152" t="s">
        <v>218</v>
      </c>
      <c r="C209" s="237">
        <v>8089674201</v>
      </c>
      <c r="D209" s="238" t="e">
        <f>VLOOKUP(C209,#REF!,7,0)</f>
        <v>#REF!</v>
      </c>
      <c r="E209" s="192" t="e">
        <f>VLOOKUP(C209,#REF!,128,0)</f>
        <v>#REF!</v>
      </c>
      <c r="F209" s="192" t="e">
        <f>+VLOOKUP(C209,#REF!,150,0)</f>
        <v>#REF!</v>
      </c>
      <c r="G209" s="239" t="e">
        <f t="shared" si="15"/>
        <v>#REF!</v>
      </c>
      <c r="H209" s="240" t="e">
        <f t="shared" si="14"/>
        <v>#REF!</v>
      </c>
      <c r="I209" s="238">
        <v>0</v>
      </c>
      <c r="J209" s="241" t="e">
        <f t="shared" si="16"/>
        <v>#REF!</v>
      </c>
      <c r="K209" s="238"/>
    </row>
    <row r="210" spans="1:11" s="242" customFormat="1" ht="17">
      <c r="A210" s="245">
        <v>201</v>
      </c>
      <c r="B210" s="152" t="s">
        <v>187</v>
      </c>
      <c r="C210" s="237">
        <v>8596383579</v>
      </c>
      <c r="D210" s="238" t="e">
        <f>VLOOKUP(C210,#REF!,7,0)</f>
        <v>#REF!</v>
      </c>
      <c r="E210" s="192" t="e">
        <f>VLOOKUP(C210,#REF!,128,0)</f>
        <v>#REF!</v>
      </c>
      <c r="F210" s="192" t="e">
        <f>+VLOOKUP(C210,#REF!,150,0)</f>
        <v>#REF!</v>
      </c>
      <c r="G210" s="239" t="e">
        <f t="shared" si="15"/>
        <v>#REF!</v>
      </c>
      <c r="H210" s="240" t="e">
        <f t="shared" si="14"/>
        <v>#REF!</v>
      </c>
      <c r="I210" s="238">
        <v>0</v>
      </c>
      <c r="J210" s="241" t="e">
        <f t="shared" si="16"/>
        <v>#REF!</v>
      </c>
      <c r="K210" s="238"/>
    </row>
    <row r="211" spans="1:11" s="242" customFormat="1" ht="17">
      <c r="A211" s="245">
        <v>202</v>
      </c>
      <c r="B211" s="152" t="s">
        <v>224</v>
      </c>
      <c r="C211" s="237">
        <v>8670783657</v>
      </c>
      <c r="D211" s="238" t="e">
        <f>VLOOKUP(C211,#REF!,7,0)</f>
        <v>#REF!</v>
      </c>
      <c r="E211" s="192" t="e">
        <f>VLOOKUP(C211,#REF!,128,0)</f>
        <v>#REF!</v>
      </c>
      <c r="F211" s="192" t="e">
        <f>+VLOOKUP(C211,#REF!,150,0)</f>
        <v>#REF!</v>
      </c>
      <c r="G211" s="239" t="e">
        <f t="shared" si="15"/>
        <v>#REF!</v>
      </c>
      <c r="H211" s="240" t="e">
        <f t="shared" si="14"/>
        <v>#REF!</v>
      </c>
      <c r="I211" s="238">
        <v>0</v>
      </c>
      <c r="J211" s="241" t="e">
        <f t="shared" si="16"/>
        <v>#REF!</v>
      </c>
      <c r="K211" s="238"/>
    </row>
    <row r="212" spans="1:11" s="242" customFormat="1" ht="17">
      <c r="A212" s="245">
        <v>203</v>
      </c>
      <c r="B212" s="152" t="s">
        <v>285</v>
      </c>
      <c r="C212" s="237">
        <v>8106513782</v>
      </c>
      <c r="D212" s="238" t="e">
        <f>VLOOKUP(C212,#REF!,7,0)</f>
        <v>#REF!</v>
      </c>
      <c r="E212" s="192" t="e">
        <f>VLOOKUP(C212,#REF!,128,0)</f>
        <v>#REF!</v>
      </c>
      <c r="F212" s="192" t="e">
        <f>+VLOOKUP(C212,#REF!,150,0)</f>
        <v>#REF!</v>
      </c>
      <c r="G212" s="239" t="e">
        <f t="shared" si="15"/>
        <v>#REF!</v>
      </c>
      <c r="H212" s="240" t="e">
        <f t="shared" si="14"/>
        <v>#REF!</v>
      </c>
      <c r="I212" s="238">
        <v>0</v>
      </c>
      <c r="J212" s="241" t="e">
        <f t="shared" si="16"/>
        <v>#REF!</v>
      </c>
      <c r="K212" s="238"/>
    </row>
    <row r="213" spans="1:11" s="242" customFormat="1" ht="17">
      <c r="A213" s="245">
        <v>204</v>
      </c>
      <c r="B213" s="152" t="s">
        <v>209</v>
      </c>
      <c r="C213" s="237">
        <v>8867488507</v>
      </c>
      <c r="D213" s="238" t="e">
        <f>VLOOKUP(C213,#REF!,7,0)</f>
        <v>#REF!</v>
      </c>
      <c r="E213" s="192" t="e">
        <f>VLOOKUP(C213,#REF!,128,0)</f>
        <v>#REF!</v>
      </c>
      <c r="F213" s="192" t="e">
        <f>+VLOOKUP(C213,#REF!,150,0)</f>
        <v>#REF!</v>
      </c>
      <c r="G213" s="239" t="e">
        <f t="shared" si="15"/>
        <v>#REF!</v>
      </c>
      <c r="H213" s="240" t="e">
        <f t="shared" si="14"/>
        <v>#REF!</v>
      </c>
      <c r="I213" s="238">
        <v>0</v>
      </c>
      <c r="J213" s="241" t="e">
        <f t="shared" si="16"/>
        <v>#REF!</v>
      </c>
      <c r="K213" s="238"/>
    </row>
    <row r="214" spans="1:11" s="242" customFormat="1" ht="17">
      <c r="A214" s="245">
        <v>205</v>
      </c>
      <c r="B214" s="152" t="s">
        <v>214</v>
      </c>
      <c r="C214" s="237">
        <v>8652698381</v>
      </c>
      <c r="D214" s="238" t="e">
        <f>VLOOKUP(C214,#REF!,7,0)</f>
        <v>#REF!</v>
      </c>
      <c r="E214" s="192" t="e">
        <f>VLOOKUP(C214,#REF!,128,0)</f>
        <v>#REF!</v>
      </c>
      <c r="F214" s="192" t="e">
        <f>+VLOOKUP(C214,#REF!,150,0)</f>
        <v>#REF!</v>
      </c>
      <c r="G214" s="239" t="e">
        <f t="shared" si="15"/>
        <v>#REF!</v>
      </c>
      <c r="H214" s="240" t="e">
        <f t="shared" si="14"/>
        <v>#REF!</v>
      </c>
      <c r="I214" s="238">
        <v>0</v>
      </c>
      <c r="J214" s="241" t="e">
        <f t="shared" si="16"/>
        <v>#REF!</v>
      </c>
      <c r="K214" s="238"/>
    </row>
    <row r="215" spans="1:11" s="242" customFormat="1" ht="17">
      <c r="A215" s="245">
        <v>206</v>
      </c>
      <c r="B215" s="152" t="s">
        <v>155</v>
      </c>
      <c r="C215" s="237">
        <v>8010478248</v>
      </c>
      <c r="D215" s="238" t="e">
        <f>VLOOKUP(C215,#REF!,7,0)</f>
        <v>#REF!</v>
      </c>
      <c r="E215" s="192" t="e">
        <f>VLOOKUP(C215,#REF!,128,0)</f>
        <v>#REF!</v>
      </c>
      <c r="F215" s="192" t="e">
        <f>+VLOOKUP(C215,#REF!,150,0)</f>
        <v>#REF!</v>
      </c>
      <c r="G215" s="239" t="e">
        <f t="shared" si="15"/>
        <v>#REF!</v>
      </c>
      <c r="H215" s="240" t="e">
        <f t="shared" si="14"/>
        <v>#REF!</v>
      </c>
      <c r="I215" s="238">
        <v>0</v>
      </c>
      <c r="J215" s="241" t="e">
        <f t="shared" si="16"/>
        <v>#REF!</v>
      </c>
      <c r="K215" s="238"/>
    </row>
    <row r="216" spans="1:11" s="242" customFormat="1" ht="17">
      <c r="A216" s="245">
        <v>207</v>
      </c>
      <c r="B216" s="152" t="s">
        <v>71</v>
      </c>
      <c r="C216" s="237">
        <v>8493648865</v>
      </c>
      <c r="D216" s="238" t="e">
        <f>VLOOKUP(C216,#REF!,7,0)</f>
        <v>#REF!</v>
      </c>
      <c r="E216" s="192" t="e">
        <f>VLOOKUP(C216,#REF!,128,0)</f>
        <v>#REF!</v>
      </c>
      <c r="F216" s="192" t="e">
        <f>+VLOOKUP(C216,#REF!,150,0)</f>
        <v>#REF!</v>
      </c>
      <c r="G216" s="239" t="e">
        <f t="shared" si="15"/>
        <v>#REF!</v>
      </c>
      <c r="H216" s="240" t="e">
        <f t="shared" si="14"/>
        <v>#REF!</v>
      </c>
      <c r="I216" s="238">
        <v>0</v>
      </c>
      <c r="J216" s="241" t="e">
        <f t="shared" si="16"/>
        <v>#REF!</v>
      </c>
      <c r="K216" s="238"/>
    </row>
    <row r="217" spans="1:11" s="242" customFormat="1" ht="17">
      <c r="A217" s="245">
        <v>208</v>
      </c>
      <c r="B217" s="152" t="s">
        <v>59</v>
      </c>
      <c r="C217" s="237" t="s">
        <v>162</v>
      </c>
      <c r="D217" s="238" t="e">
        <f>VLOOKUP(C217,#REF!,7,0)</f>
        <v>#REF!</v>
      </c>
      <c r="E217" s="192" t="e">
        <f>VLOOKUP(C217,#REF!,128,0)</f>
        <v>#REF!</v>
      </c>
      <c r="F217" s="192" t="e">
        <f>+VLOOKUP(C217,#REF!,150,0)</f>
        <v>#REF!</v>
      </c>
      <c r="G217" s="239" t="e">
        <f t="shared" si="15"/>
        <v>#REF!</v>
      </c>
      <c r="H217" s="240" t="e">
        <f t="shared" si="14"/>
        <v>#REF!</v>
      </c>
      <c r="I217" s="238">
        <v>0</v>
      </c>
      <c r="J217" s="241" t="e">
        <f t="shared" si="16"/>
        <v>#REF!</v>
      </c>
      <c r="K217" s="238"/>
    </row>
    <row r="218" spans="1:11" s="242" customFormat="1" ht="17">
      <c r="A218" s="245">
        <v>209</v>
      </c>
      <c r="B218" s="152" t="s">
        <v>62</v>
      </c>
      <c r="C218" s="237" t="s">
        <v>163</v>
      </c>
      <c r="D218" s="238" t="e">
        <f>VLOOKUP(C218,#REF!,7,0)</f>
        <v>#REF!</v>
      </c>
      <c r="E218" s="192" t="e">
        <f>VLOOKUP(C218,#REF!,128,0)</f>
        <v>#REF!</v>
      </c>
      <c r="F218" s="192" t="e">
        <f>+VLOOKUP(C218,#REF!,150,0)</f>
        <v>#REF!</v>
      </c>
      <c r="G218" s="239" t="e">
        <f t="shared" si="15"/>
        <v>#REF!</v>
      </c>
      <c r="H218" s="240" t="e">
        <f t="shared" si="14"/>
        <v>#REF!</v>
      </c>
      <c r="I218" s="238">
        <v>0</v>
      </c>
      <c r="J218" s="241" t="e">
        <f t="shared" si="16"/>
        <v>#REF!</v>
      </c>
      <c r="K218" s="238"/>
    </row>
    <row r="219" spans="1:11" s="242" customFormat="1" ht="17">
      <c r="A219" s="245">
        <v>210</v>
      </c>
      <c r="B219" s="152" t="s">
        <v>64</v>
      </c>
      <c r="C219" s="237">
        <v>8707430770</v>
      </c>
      <c r="D219" s="238" t="e">
        <f>VLOOKUP(C219,#REF!,7,0)</f>
        <v>#REF!</v>
      </c>
      <c r="E219" s="192" t="e">
        <f>VLOOKUP(C219,#REF!,128,0)</f>
        <v>#REF!</v>
      </c>
      <c r="F219" s="192" t="e">
        <f>+VLOOKUP(C219,#REF!,150,0)</f>
        <v>#REF!</v>
      </c>
      <c r="G219" s="239" t="e">
        <f t="shared" si="15"/>
        <v>#REF!</v>
      </c>
      <c r="H219" s="240" t="e">
        <f t="shared" si="14"/>
        <v>#REF!</v>
      </c>
      <c r="I219" s="238">
        <v>0</v>
      </c>
      <c r="J219" s="241" t="e">
        <f t="shared" si="16"/>
        <v>#REF!</v>
      </c>
      <c r="K219" s="238"/>
    </row>
    <row r="220" spans="1:11" s="242" customFormat="1" ht="17">
      <c r="A220" s="245">
        <v>211</v>
      </c>
      <c r="B220" s="152" t="s">
        <v>263</v>
      </c>
      <c r="C220" s="237">
        <v>8299149992</v>
      </c>
      <c r="D220" s="238" t="e">
        <f>VLOOKUP(C220,#REF!,7,0)</f>
        <v>#REF!</v>
      </c>
      <c r="E220" s="192" t="e">
        <f>VLOOKUP(C220,#REF!,128,0)</f>
        <v>#REF!</v>
      </c>
      <c r="F220" s="192" t="e">
        <f>+VLOOKUP(C220,#REF!,150,0)</f>
        <v>#REF!</v>
      </c>
      <c r="G220" s="239" t="e">
        <f t="shared" si="15"/>
        <v>#REF!</v>
      </c>
      <c r="H220" s="240" t="e">
        <f t="shared" si="14"/>
        <v>#REF!</v>
      </c>
      <c r="I220" s="238">
        <v>0</v>
      </c>
      <c r="J220" s="241" t="e">
        <f t="shared" si="16"/>
        <v>#REF!</v>
      </c>
      <c r="K220" s="238"/>
    </row>
    <row r="221" spans="1:11" s="242" customFormat="1" ht="17">
      <c r="A221" s="245">
        <v>212</v>
      </c>
      <c r="B221" s="152" t="s">
        <v>227</v>
      </c>
      <c r="C221" s="237">
        <v>8370080332</v>
      </c>
      <c r="D221" s="238" t="e">
        <f>VLOOKUP(C221,#REF!,7,0)</f>
        <v>#REF!</v>
      </c>
      <c r="E221" s="192" t="e">
        <f>VLOOKUP(C221,#REF!,128,0)</f>
        <v>#REF!</v>
      </c>
      <c r="F221" s="192" t="e">
        <f>+VLOOKUP(C221,#REF!,150,0)</f>
        <v>#REF!</v>
      </c>
      <c r="G221" s="239" t="e">
        <f t="shared" si="15"/>
        <v>#REF!</v>
      </c>
      <c r="H221" s="240" t="e">
        <f t="shared" si="14"/>
        <v>#REF!</v>
      </c>
      <c r="I221" s="238">
        <v>0</v>
      </c>
      <c r="J221" s="241" t="e">
        <f t="shared" si="16"/>
        <v>#REF!</v>
      </c>
      <c r="K221" s="238"/>
    </row>
    <row r="222" spans="1:11" s="242" customFormat="1" ht="17">
      <c r="A222" s="245">
        <v>213</v>
      </c>
      <c r="B222" s="152" t="s">
        <v>289</v>
      </c>
      <c r="C222" s="237">
        <v>8020600031</v>
      </c>
      <c r="D222" s="238" t="e">
        <f>VLOOKUP(C222,#REF!,7,0)</f>
        <v>#REF!</v>
      </c>
      <c r="E222" s="192" t="e">
        <f>VLOOKUP(C222,#REF!,128,0)</f>
        <v>#REF!</v>
      </c>
      <c r="F222" s="192" t="e">
        <f>+VLOOKUP(C222,#REF!,150,0)</f>
        <v>#REF!</v>
      </c>
      <c r="G222" s="239" t="e">
        <f t="shared" si="15"/>
        <v>#REF!</v>
      </c>
      <c r="H222" s="240" t="e">
        <f t="shared" si="14"/>
        <v>#REF!</v>
      </c>
      <c r="I222" s="238">
        <v>0</v>
      </c>
      <c r="J222" s="241" t="e">
        <f t="shared" si="16"/>
        <v>#REF!</v>
      </c>
      <c r="K222" s="238"/>
    </row>
    <row r="223" spans="1:11" s="242" customFormat="1" ht="17">
      <c r="A223" s="245">
        <v>214</v>
      </c>
      <c r="B223" s="152" t="s">
        <v>228</v>
      </c>
      <c r="C223" s="237" t="s">
        <v>229</v>
      </c>
      <c r="D223" s="238" t="e">
        <f>VLOOKUP(C223,#REF!,7,0)</f>
        <v>#REF!</v>
      </c>
      <c r="E223" s="192" t="e">
        <f>VLOOKUP(C223,#REF!,128,0)</f>
        <v>#REF!</v>
      </c>
      <c r="F223" s="192" t="e">
        <f>+VLOOKUP(C223,#REF!,150,0)</f>
        <v>#REF!</v>
      </c>
      <c r="G223" s="239" t="e">
        <f t="shared" si="15"/>
        <v>#REF!</v>
      </c>
      <c r="H223" s="240" t="e">
        <f t="shared" si="14"/>
        <v>#REF!</v>
      </c>
      <c r="I223" s="238">
        <v>0</v>
      </c>
      <c r="J223" s="241" t="e">
        <f t="shared" si="16"/>
        <v>#REF!</v>
      </c>
      <c r="K223" s="238"/>
    </row>
    <row r="224" spans="1:11" s="242" customFormat="1" ht="17">
      <c r="A224" s="245">
        <v>215</v>
      </c>
      <c r="B224" s="152" t="s">
        <v>321</v>
      </c>
      <c r="C224" s="237">
        <v>8312842415</v>
      </c>
      <c r="D224" s="238" t="e">
        <f>VLOOKUP(C224,#REF!,7,0)</f>
        <v>#REF!</v>
      </c>
      <c r="E224" s="192" t="e">
        <f>VLOOKUP(C224,#REF!,128,0)</f>
        <v>#REF!</v>
      </c>
      <c r="F224" s="192" t="e">
        <f>+VLOOKUP(C224,#REF!,150,0)</f>
        <v>#REF!</v>
      </c>
      <c r="G224" s="239" t="e">
        <f t="shared" si="15"/>
        <v>#REF!</v>
      </c>
      <c r="H224" s="240" t="e">
        <f t="shared" si="14"/>
        <v>#REF!</v>
      </c>
      <c r="I224" s="238">
        <v>0</v>
      </c>
      <c r="J224" s="241" t="e">
        <f t="shared" si="16"/>
        <v>#REF!</v>
      </c>
      <c r="K224" s="238"/>
    </row>
    <row r="225" spans="1:14" s="242" customFormat="1" ht="17">
      <c r="A225" s="245">
        <v>216</v>
      </c>
      <c r="B225" s="152" t="s">
        <v>29</v>
      </c>
      <c r="C225" s="237" t="s">
        <v>164</v>
      </c>
      <c r="D225" s="238" t="e">
        <f>VLOOKUP(C225,#REF!,7,0)</f>
        <v>#REF!</v>
      </c>
      <c r="E225" s="192" t="e">
        <f>VLOOKUP(C225,#REF!,128,0)</f>
        <v>#REF!</v>
      </c>
      <c r="F225" s="192" t="e">
        <f>+VLOOKUP(C225,#REF!,150,0)</f>
        <v>#REF!</v>
      </c>
      <c r="G225" s="239" t="e">
        <f t="shared" si="15"/>
        <v>#REF!</v>
      </c>
      <c r="H225" s="240" t="e">
        <f t="shared" si="14"/>
        <v>#REF!</v>
      </c>
      <c r="I225" s="238">
        <v>0</v>
      </c>
      <c r="J225" s="241" t="e">
        <f t="shared" si="16"/>
        <v>#REF!</v>
      </c>
      <c r="K225" s="238"/>
    </row>
    <row r="226" spans="1:14" s="242" customFormat="1" ht="17">
      <c r="A226" s="245">
        <v>217</v>
      </c>
      <c r="B226" s="152" t="s">
        <v>66</v>
      </c>
      <c r="C226" s="237" t="s">
        <v>165</v>
      </c>
      <c r="D226" s="238" t="e">
        <f>VLOOKUP(C226,#REF!,7,0)</f>
        <v>#REF!</v>
      </c>
      <c r="E226" s="192" t="e">
        <f>VLOOKUP(C226,#REF!,128,0)</f>
        <v>#REF!</v>
      </c>
      <c r="F226" s="192" t="e">
        <f>+VLOOKUP(C226,#REF!,150,0)</f>
        <v>#REF!</v>
      </c>
      <c r="G226" s="239" t="e">
        <f t="shared" si="15"/>
        <v>#REF!</v>
      </c>
      <c r="H226" s="240" t="e">
        <f t="shared" si="14"/>
        <v>#REF!</v>
      </c>
      <c r="I226" s="238">
        <v>0</v>
      </c>
      <c r="J226" s="241" t="e">
        <f t="shared" si="16"/>
        <v>#REF!</v>
      </c>
      <c r="K226" s="238"/>
      <c r="N226" s="242">
        <f>9864-223</f>
        <v>9641</v>
      </c>
    </row>
    <row r="227" spans="1:14" s="242" customFormat="1" ht="17">
      <c r="A227" s="245">
        <v>218</v>
      </c>
      <c r="B227" s="152" t="s">
        <v>193</v>
      </c>
      <c r="C227" s="237">
        <v>8564933854</v>
      </c>
      <c r="D227" s="238" t="e">
        <f>VLOOKUP(C227,#REF!,7,0)</f>
        <v>#REF!</v>
      </c>
      <c r="E227" s="192" t="e">
        <f>VLOOKUP(C227,#REF!,128,0)</f>
        <v>#REF!</v>
      </c>
      <c r="F227" s="192" t="e">
        <f>+VLOOKUP(C227,#REF!,150,0)</f>
        <v>#REF!</v>
      </c>
      <c r="G227" s="239" t="e">
        <f t="shared" si="15"/>
        <v>#REF!</v>
      </c>
      <c r="H227" s="240" t="e">
        <f t="shared" si="14"/>
        <v>#REF!</v>
      </c>
      <c r="I227" s="238">
        <v>0</v>
      </c>
      <c r="J227" s="241" t="e">
        <f t="shared" si="16"/>
        <v>#REF!</v>
      </c>
      <c r="K227" s="238"/>
    </row>
    <row r="228" spans="1:14" s="242" customFormat="1" ht="17">
      <c r="A228" s="245">
        <v>219</v>
      </c>
      <c r="B228" s="152" t="s">
        <v>194</v>
      </c>
      <c r="C228" s="237">
        <v>8678896081</v>
      </c>
      <c r="D228" s="238" t="e">
        <f>VLOOKUP(C228,#REF!,7,0)</f>
        <v>#REF!</v>
      </c>
      <c r="E228" s="192" t="e">
        <f>VLOOKUP(C228,#REF!,128,0)</f>
        <v>#REF!</v>
      </c>
      <c r="F228" s="192" t="e">
        <f>+VLOOKUP(C228,#REF!,150,0)</f>
        <v>#REF!</v>
      </c>
      <c r="G228" s="239" t="e">
        <f t="shared" si="15"/>
        <v>#REF!</v>
      </c>
      <c r="H228" s="240" t="e">
        <f t="shared" si="14"/>
        <v>#REF!</v>
      </c>
      <c r="I228" s="238">
        <v>0</v>
      </c>
      <c r="J228" s="241" t="e">
        <f t="shared" si="16"/>
        <v>#REF!</v>
      </c>
      <c r="K228" s="238"/>
    </row>
    <row r="229" spans="1:14" s="242" customFormat="1" ht="17">
      <c r="A229" s="245">
        <v>220</v>
      </c>
      <c r="B229" s="152" t="s">
        <v>195</v>
      </c>
      <c r="C229" s="237">
        <v>8678895955</v>
      </c>
      <c r="D229" s="238" t="e">
        <f>VLOOKUP(C229,#REF!,7,0)</f>
        <v>#REF!</v>
      </c>
      <c r="E229" s="192" t="e">
        <f>VLOOKUP(C229,#REF!,128,0)</f>
        <v>#REF!</v>
      </c>
      <c r="F229" s="192" t="e">
        <f>+VLOOKUP(C229,#REF!,150,0)</f>
        <v>#REF!</v>
      </c>
      <c r="G229" s="239" t="e">
        <f t="shared" si="15"/>
        <v>#REF!</v>
      </c>
      <c r="H229" s="240" t="e">
        <f t="shared" si="14"/>
        <v>#REF!</v>
      </c>
      <c r="I229" s="238">
        <v>0</v>
      </c>
      <c r="J229" s="241" t="e">
        <f t="shared" si="16"/>
        <v>#REF!</v>
      </c>
      <c r="K229" s="238"/>
    </row>
    <row r="230" spans="1:14" s="242" customFormat="1" ht="17">
      <c r="A230" s="245">
        <v>221</v>
      </c>
      <c r="B230" s="152" t="s">
        <v>455</v>
      </c>
      <c r="C230" s="237">
        <v>8941041323</v>
      </c>
      <c r="D230" s="238" t="e">
        <f>VLOOKUP(C230,#REF!,7,0)</f>
        <v>#REF!</v>
      </c>
      <c r="E230" s="192" t="e">
        <f>VLOOKUP(C230,#REF!,128,0)</f>
        <v>#REF!</v>
      </c>
      <c r="F230" s="192" t="e">
        <f>+VLOOKUP(C230,#REF!,150,0)</f>
        <v>#REF!</v>
      </c>
      <c r="G230" s="239" t="e">
        <f t="shared" si="15"/>
        <v>#REF!</v>
      </c>
      <c r="H230" s="240" t="e">
        <f t="shared" si="14"/>
        <v>#REF!</v>
      </c>
      <c r="I230" s="238">
        <v>0</v>
      </c>
      <c r="J230" s="241" t="e">
        <f t="shared" si="16"/>
        <v>#REF!</v>
      </c>
      <c r="K230" s="238"/>
    </row>
    <row r="231" spans="1:14" s="242" customFormat="1" ht="17">
      <c r="A231" s="245">
        <v>222</v>
      </c>
      <c r="B231" s="152" t="s">
        <v>70</v>
      </c>
      <c r="C231" s="237">
        <v>8632446259</v>
      </c>
      <c r="D231" s="238" t="e">
        <f>VLOOKUP(C231,#REF!,7,0)</f>
        <v>#REF!</v>
      </c>
      <c r="E231" s="192" t="e">
        <f>VLOOKUP(C231,#REF!,128,0)</f>
        <v>#REF!</v>
      </c>
      <c r="F231" s="192" t="e">
        <f>+VLOOKUP(C231,#REF!,150,0)</f>
        <v>#REF!</v>
      </c>
      <c r="G231" s="239" t="e">
        <f t="shared" si="15"/>
        <v>#REF!</v>
      </c>
      <c r="H231" s="240" t="e">
        <f t="shared" si="14"/>
        <v>#REF!</v>
      </c>
      <c r="I231" s="238">
        <v>0</v>
      </c>
      <c r="J231" s="241" t="e">
        <f t="shared" si="16"/>
        <v>#REF!</v>
      </c>
      <c r="K231" s="238"/>
    </row>
    <row r="232" spans="1:14" s="242" customFormat="1" ht="17">
      <c r="A232" s="245">
        <v>223</v>
      </c>
      <c r="B232" s="152" t="s">
        <v>235</v>
      </c>
      <c r="C232" s="237">
        <v>8871212269</v>
      </c>
      <c r="D232" s="238" t="e">
        <f>VLOOKUP(C232,#REF!,7,0)</f>
        <v>#REF!</v>
      </c>
      <c r="E232" s="192" t="e">
        <f>VLOOKUP(C232,#REF!,128,0)</f>
        <v>#REF!</v>
      </c>
      <c r="F232" s="192" t="e">
        <f>+VLOOKUP(C232,#REF!,150,0)</f>
        <v>#REF!</v>
      </c>
      <c r="G232" s="239" t="e">
        <f t="shared" si="15"/>
        <v>#REF!</v>
      </c>
      <c r="H232" s="240" t="e">
        <f t="shared" si="14"/>
        <v>#REF!</v>
      </c>
      <c r="I232" s="238">
        <v>0</v>
      </c>
      <c r="J232" s="241" t="e">
        <f t="shared" si="16"/>
        <v>#REF!</v>
      </c>
      <c r="K232" s="238"/>
    </row>
    <row r="233" spans="1:14" s="242" customFormat="1" ht="17">
      <c r="A233" s="245">
        <v>224</v>
      </c>
      <c r="B233" s="152" t="s">
        <v>236</v>
      </c>
      <c r="C233" s="237" t="s">
        <v>237</v>
      </c>
      <c r="D233" s="238" t="e">
        <f>VLOOKUP(C233,#REF!,7,0)</f>
        <v>#REF!</v>
      </c>
      <c r="E233" s="192" t="e">
        <f>VLOOKUP(C233,#REF!,128,0)</f>
        <v>#REF!</v>
      </c>
      <c r="F233" s="192" t="e">
        <f>+VLOOKUP(C233,#REF!,150,0)</f>
        <v>#REF!</v>
      </c>
      <c r="G233" s="239" t="e">
        <f t="shared" si="15"/>
        <v>#REF!</v>
      </c>
      <c r="H233" s="240" t="e">
        <f t="shared" si="14"/>
        <v>#REF!</v>
      </c>
      <c r="I233" s="238">
        <v>0</v>
      </c>
      <c r="J233" s="241" t="e">
        <f t="shared" si="16"/>
        <v>#REF!</v>
      </c>
      <c r="K233" s="238"/>
    </row>
    <row r="234" spans="1:14" s="264" customFormat="1" ht="17">
      <c r="A234" s="256">
        <v>225</v>
      </c>
      <c r="B234" s="257" t="s">
        <v>238</v>
      </c>
      <c r="C234" s="258">
        <v>8495680374</v>
      </c>
      <c r="D234" s="259" t="e">
        <f>VLOOKUP(C234,#REF!,7,0)</f>
        <v>#REF!</v>
      </c>
      <c r="E234" s="260" t="e">
        <f>VLOOKUP(C234,#REF!,128,0)</f>
        <v>#REF!</v>
      </c>
      <c r="F234" s="260" t="e">
        <f>+VLOOKUP(C234,#REF!,150,0)</f>
        <v>#REF!</v>
      </c>
      <c r="G234" s="261" t="e">
        <f t="shared" si="15"/>
        <v>#REF!</v>
      </c>
      <c r="H234" s="262" t="e">
        <f t="shared" si="14"/>
        <v>#REF!</v>
      </c>
      <c r="I234" s="259">
        <v>0</v>
      </c>
      <c r="J234" s="263" t="e">
        <f t="shared" si="16"/>
        <v>#REF!</v>
      </c>
      <c r="K234" s="259"/>
      <c r="L234" s="264" t="s">
        <v>744</v>
      </c>
    </row>
    <row r="235" spans="1:14" s="242" customFormat="1" ht="17">
      <c r="A235" s="245">
        <v>226</v>
      </c>
      <c r="B235" s="152" t="s">
        <v>290</v>
      </c>
      <c r="C235" s="237" t="s">
        <v>291</v>
      </c>
      <c r="D235" s="238" t="e">
        <f>VLOOKUP(C235,#REF!,7,0)</f>
        <v>#REF!</v>
      </c>
      <c r="E235" s="192" t="e">
        <f>VLOOKUP(C235,#REF!,128,0)</f>
        <v>#REF!</v>
      </c>
      <c r="F235" s="192" t="e">
        <f>+VLOOKUP(C235,#REF!,150,0)</f>
        <v>#REF!</v>
      </c>
      <c r="G235" s="239" t="e">
        <f t="shared" si="15"/>
        <v>#REF!</v>
      </c>
      <c r="H235" s="240" t="e">
        <f t="shared" si="14"/>
        <v>#REF!</v>
      </c>
      <c r="I235" s="238">
        <v>0</v>
      </c>
      <c r="J235" s="241" t="e">
        <f t="shared" si="16"/>
        <v>#REF!</v>
      </c>
      <c r="K235" s="238"/>
    </row>
    <row r="236" spans="1:14" s="242" customFormat="1" ht="17">
      <c r="A236" s="245">
        <v>227</v>
      </c>
      <c r="B236" s="152" t="s">
        <v>72</v>
      </c>
      <c r="C236" s="237">
        <v>8558750002</v>
      </c>
      <c r="D236" s="238" t="e">
        <f>VLOOKUP(C236,#REF!,7,0)</f>
        <v>#REF!</v>
      </c>
      <c r="E236" s="192" t="e">
        <f>VLOOKUP(C236,#REF!,128,0)</f>
        <v>#REF!</v>
      </c>
      <c r="F236" s="192" t="e">
        <f>+VLOOKUP(C236,#REF!,150,0)</f>
        <v>#REF!</v>
      </c>
      <c r="G236" s="239" t="e">
        <f t="shared" si="15"/>
        <v>#REF!</v>
      </c>
      <c r="H236" s="240" t="e">
        <f t="shared" si="14"/>
        <v>#REF!</v>
      </c>
      <c r="I236" s="238">
        <v>0</v>
      </c>
      <c r="J236" s="241" t="e">
        <f t="shared" si="16"/>
        <v>#REF!</v>
      </c>
      <c r="K236" s="238"/>
    </row>
    <row r="237" spans="1:14" s="242" customFormat="1" ht="17">
      <c r="A237" s="245">
        <v>228</v>
      </c>
      <c r="B237" s="152" t="s">
        <v>438</v>
      </c>
      <c r="C237" s="237">
        <v>8938959113</v>
      </c>
      <c r="D237" s="238" t="e">
        <f>VLOOKUP(C237,#REF!,7,0)</f>
        <v>#REF!</v>
      </c>
      <c r="E237" s="192" t="e">
        <f>VLOOKUP(C237,#REF!,128,0)</f>
        <v>#REF!</v>
      </c>
      <c r="F237" s="192" t="e">
        <f>+VLOOKUP(C237,#REF!,150,0)</f>
        <v>#REF!</v>
      </c>
      <c r="G237" s="239" t="e">
        <f t="shared" si="15"/>
        <v>#REF!</v>
      </c>
      <c r="H237" s="240" t="e">
        <f t="shared" si="14"/>
        <v>#REF!</v>
      </c>
      <c r="I237" s="238">
        <v>0</v>
      </c>
      <c r="J237" s="241" t="e">
        <f t="shared" si="16"/>
        <v>#REF!</v>
      </c>
      <c r="K237" s="238"/>
    </row>
    <row r="238" spans="1:14" s="242" customFormat="1" ht="17">
      <c r="A238" s="245">
        <v>229</v>
      </c>
      <c r="B238" s="152" t="s">
        <v>81</v>
      </c>
      <c r="C238" s="237">
        <v>8481840229</v>
      </c>
      <c r="D238" s="238" t="e">
        <f>VLOOKUP(C238,#REF!,7,0)</f>
        <v>#REF!</v>
      </c>
      <c r="E238" s="192" t="e">
        <f>VLOOKUP(C238,#REF!,128,0)</f>
        <v>#REF!</v>
      </c>
      <c r="F238" s="192" t="e">
        <f>+VLOOKUP(C238,#REF!,150,0)</f>
        <v>#REF!</v>
      </c>
      <c r="G238" s="239" t="e">
        <f t="shared" si="15"/>
        <v>#REF!</v>
      </c>
      <c r="H238" s="240" t="e">
        <f t="shared" si="14"/>
        <v>#REF!</v>
      </c>
      <c r="I238" s="238">
        <v>0</v>
      </c>
      <c r="J238" s="241" t="e">
        <f t="shared" si="16"/>
        <v>#REF!</v>
      </c>
      <c r="K238" s="238"/>
    </row>
    <row r="239" spans="1:14" s="242" customFormat="1" ht="17">
      <c r="A239" s="245">
        <v>230</v>
      </c>
      <c r="B239" s="152" t="s">
        <v>88</v>
      </c>
      <c r="C239" s="237">
        <v>8857887982</v>
      </c>
      <c r="D239" s="238" t="e">
        <f>VLOOKUP(C239,#REF!,7,0)</f>
        <v>#REF!</v>
      </c>
      <c r="E239" s="192" t="e">
        <f>VLOOKUP(C239,#REF!,128,0)</f>
        <v>#REF!</v>
      </c>
      <c r="F239" s="192" t="e">
        <f>+VLOOKUP(C239,#REF!,150,0)</f>
        <v>#REF!</v>
      </c>
      <c r="G239" s="239" t="e">
        <f t="shared" si="15"/>
        <v>#REF!</v>
      </c>
      <c r="H239" s="240" t="e">
        <f t="shared" si="14"/>
        <v>#REF!</v>
      </c>
      <c r="I239" s="238">
        <v>0</v>
      </c>
      <c r="J239" s="241" t="e">
        <f t="shared" si="16"/>
        <v>#REF!</v>
      </c>
      <c r="K239" s="238"/>
    </row>
    <row r="240" spans="1:14" s="242" customFormat="1" ht="17">
      <c r="A240" s="245">
        <v>231</v>
      </c>
      <c r="B240" s="152" t="s">
        <v>244</v>
      </c>
      <c r="C240" s="237">
        <v>8890155753</v>
      </c>
      <c r="D240" s="238" t="e">
        <f>VLOOKUP(C240,#REF!,7,0)</f>
        <v>#REF!</v>
      </c>
      <c r="E240" s="192" t="e">
        <f>VLOOKUP(C240,#REF!,128,0)</f>
        <v>#REF!</v>
      </c>
      <c r="F240" s="192" t="e">
        <f>+VLOOKUP(C240,#REF!,150,0)</f>
        <v>#REF!</v>
      </c>
      <c r="G240" s="239" t="e">
        <f t="shared" si="15"/>
        <v>#REF!</v>
      </c>
      <c r="H240" s="240" t="e">
        <f t="shared" si="14"/>
        <v>#REF!</v>
      </c>
      <c r="I240" s="238">
        <v>0</v>
      </c>
      <c r="J240" s="241" t="e">
        <f t="shared" si="16"/>
        <v>#REF!</v>
      </c>
      <c r="K240" s="238"/>
    </row>
    <row r="241" spans="1:11" s="242" customFormat="1" ht="17">
      <c r="A241" s="245">
        <v>232</v>
      </c>
      <c r="B241" s="152" t="s">
        <v>245</v>
      </c>
      <c r="C241" s="237" t="s">
        <v>246</v>
      </c>
      <c r="D241" s="238" t="e">
        <f>VLOOKUP(C241,#REF!,7,0)</f>
        <v>#REF!</v>
      </c>
      <c r="E241" s="192" t="e">
        <f>VLOOKUP(C241,#REF!,128,0)</f>
        <v>#REF!</v>
      </c>
      <c r="F241" s="192" t="e">
        <f>+VLOOKUP(C241,#REF!,150,0)</f>
        <v>#REF!</v>
      </c>
      <c r="G241" s="239" t="e">
        <f t="shared" si="15"/>
        <v>#REF!</v>
      </c>
      <c r="H241" s="240" t="e">
        <f t="shared" si="14"/>
        <v>#REF!</v>
      </c>
      <c r="I241" s="238">
        <v>0</v>
      </c>
      <c r="J241" s="241" t="e">
        <f t="shared" si="16"/>
        <v>#REF!</v>
      </c>
      <c r="K241" s="238"/>
    </row>
    <row r="242" spans="1:11" s="242" customFormat="1" ht="17">
      <c r="A242" s="245">
        <v>233</v>
      </c>
      <c r="B242" s="152" t="s">
        <v>247</v>
      </c>
      <c r="C242" s="237">
        <v>8569669071</v>
      </c>
      <c r="D242" s="238" t="e">
        <f>VLOOKUP(C242,#REF!,7,0)</f>
        <v>#REF!</v>
      </c>
      <c r="E242" s="192" t="e">
        <f>VLOOKUP(C242,#REF!,128,0)</f>
        <v>#REF!</v>
      </c>
      <c r="F242" s="192" t="e">
        <f>+VLOOKUP(C242,#REF!,150,0)</f>
        <v>#REF!</v>
      </c>
      <c r="G242" s="239" t="e">
        <f t="shared" si="15"/>
        <v>#REF!</v>
      </c>
      <c r="H242" s="240" t="e">
        <f t="shared" si="14"/>
        <v>#REF!</v>
      </c>
      <c r="I242" s="238">
        <v>0</v>
      </c>
      <c r="J242" s="241" t="e">
        <f t="shared" si="16"/>
        <v>#REF!</v>
      </c>
      <c r="K242" s="238"/>
    </row>
    <row r="243" spans="1:11" s="242" customFormat="1" ht="17">
      <c r="A243" s="245">
        <v>234</v>
      </c>
      <c r="B243" s="152" t="s">
        <v>293</v>
      </c>
      <c r="C243" s="237">
        <v>8120603702</v>
      </c>
      <c r="D243" s="238" t="e">
        <f>VLOOKUP(C243,#REF!,7,0)</f>
        <v>#REF!</v>
      </c>
      <c r="E243" s="192" t="e">
        <f>VLOOKUP(C243,#REF!,128,0)</f>
        <v>#REF!</v>
      </c>
      <c r="F243" s="192" t="e">
        <f>+VLOOKUP(C243,#REF!,150,0)</f>
        <v>#REF!</v>
      </c>
      <c r="G243" s="239" t="e">
        <f t="shared" si="15"/>
        <v>#REF!</v>
      </c>
      <c r="H243" s="240" t="e">
        <f t="shared" si="14"/>
        <v>#REF!</v>
      </c>
      <c r="I243" s="238">
        <v>0</v>
      </c>
      <c r="J243" s="241" t="e">
        <f t="shared" si="16"/>
        <v>#REF!</v>
      </c>
      <c r="K243" s="238"/>
    </row>
    <row r="244" spans="1:11" s="242" customFormat="1" ht="17">
      <c r="A244" s="245">
        <v>235</v>
      </c>
      <c r="B244" s="152" t="s">
        <v>294</v>
      </c>
      <c r="C244" s="237">
        <v>8628312319</v>
      </c>
      <c r="D244" s="238" t="e">
        <f>VLOOKUP(C244,#REF!,7,0)</f>
        <v>#REF!</v>
      </c>
      <c r="E244" s="192" t="e">
        <f>VLOOKUP(C244,#REF!,128,0)</f>
        <v>#REF!</v>
      </c>
      <c r="F244" s="192" t="e">
        <f>+VLOOKUP(C244,#REF!,150,0)</f>
        <v>#REF!</v>
      </c>
      <c r="G244" s="239" t="e">
        <f t="shared" si="15"/>
        <v>#REF!</v>
      </c>
      <c r="H244" s="240" t="e">
        <f t="shared" si="14"/>
        <v>#REF!</v>
      </c>
      <c r="I244" s="238">
        <v>0</v>
      </c>
      <c r="J244" s="241" t="e">
        <f t="shared" si="16"/>
        <v>#REF!</v>
      </c>
      <c r="K244" s="238"/>
    </row>
    <row r="245" spans="1:11" s="242" customFormat="1" ht="17">
      <c r="A245" s="245">
        <v>236</v>
      </c>
      <c r="B245" s="152" t="s">
        <v>394</v>
      </c>
      <c r="C245" s="237">
        <v>8283454888</v>
      </c>
      <c r="D245" s="238" t="e">
        <f>VLOOKUP(C245,#REF!,7,0)</f>
        <v>#REF!</v>
      </c>
      <c r="E245" s="192" t="e">
        <f>VLOOKUP(C245,#REF!,128,0)</f>
        <v>#REF!</v>
      </c>
      <c r="F245" s="192" t="e">
        <f>+VLOOKUP(C245,#REF!,150,0)</f>
        <v>#REF!</v>
      </c>
      <c r="G245" s="239" t="e">
        <f t="shared" si="15"/>
        <v>#REF!</v>
      </c>
      <c r="H245" s="240" t="e">
        <f t="shared" si="14"/>
        <v>#REF!</v>
      </c>
      <c r="I245" s="238">
        <v>0</v>
      </c>
      <c r="J245" s="241" t="e">
        <f t="shared" si="16"/>
        <v>#REF!</v>
      </c>
      <c r="K245" s="238"/>
    </row>
    <row r="246" spans="1:11" s="242" customFormat="1" ht="17">
      <c r="A246" s="245">
        <v>237</v>
      </c>
      <c r="B246" s="152" t="s">
        <v>420</v>
      </c>
      <c r="C246" s="237">
        <v>8893882965</v>
      </c>
      <c r="D246" s="238" t="e">
        <f>VLOOKUP(C246,#REF!,7,0)</f>
        <v>#REF!</v>
      </c>
      <c r="E246" s="192" t="e">
        <f>VLOOKUP(C246,#REF!,128,0)</f>
        <v>#REF!</v>
      </c>
      <c r="F246" s="192" t="e">
        <f>+VLOOKUP(C246,#REF!,150,0)</f>
        <v>#REF!</v>
      </c>
      <c r="G246" s="239" t="e">
        <f t="shared" si="15"/>
        <v>#REF!</v>
      </c>
      <c r="H246" s="240" t="e">
        <f t="shared" si="14"/>
        <v>#REF!</v>
      </c>
      <c r="I246" s="238">
        <v>0</v>
      </c>
      <c r="J246" s="241" t="e">
        <f t="shared" si="16"/>
        <v>#REF!</v>
      </c>
      <c r="K246" s="238"/>
    </row>
    <row r="247" spans="1:11" s="242" customFormat="1" ht="17">
      <c r="A247" s="245">
        <v>238</v>
      </c>
      <c r="B247" s="152" t="s">
        <v>456</v>
      </c>
      <c r="C247" s="237">
        <v>8403446708</v>
      </c>
      <c r="D247" s="238" t="e">
        <f>VLOOKUP(C247,#REF!,7,0)</f>
        <v>#REF!</v>
      </c>
      <c r="E247" s="192" t="e">
        <f>VLOOKUP(C247,#REF!,128,0)</f>
        <v>#REF!</v>
      </c>
      <c r="F247" s="192" t="e">
        <f>+VLOOKUP(C247,#REF!,150,0)</f>
        <v>#REF!</v>
      </c>
      <c r="G247" s="239" t="e">
        <f t="shared" si="15"/>
        <v>#REF!</v>
      </c>
      <c r="H247" s="240" t="e">
        <f t="shared" si="14"/>
        <v>#REF!</v>
      </c>
      <c r="I247" s="238">
        <v>0</v>
      </c>
      <c r="J247" s="241" t="e">
        <f t="shared" si="16"/>
        <v>#REF!</v>
      </c>
      <c r="K247" s="238"/>
    </row>
    <row r="248" spans="1:11" s="242" customFormat="1" ht="17">
      <c r="A248" s="245">
        <v>239</v>
      </c>
      <c r="B248" s="251" t="s">
        <v>196</v>
      </c>
      <c r="C248" s="237">
        <v>8251556679</v>
      </c>
      <c r="D248" s="238" t="e">
        <f>VLOOKUP(C248,#REF!,7,0)</f>
        <v>#REF!</v>
      </c>
      <c r="E248" s="192" t="e">
        <f>VLOOKUP(C248,#REF!,128,0)</f>
        <v>#REF!</v>
      </c>
      <c r="F248" s="192" t="e">
        <f>+VLOOKUP(C248,#REF!,150,0)</f>
        <v>#REF!</v>
      </c>
      <c r="G248" s="239" t="e">
        <f t="shared" si="15"/>
        <v>#REF!</v>
      </c>
      <c r="H248" s="240" t="e">
        <f t="shared" si="14"/>
        <v>#REF!</v>
      </c>
      <c r="I248" s="238">
        <v>0</v>
      </c>
      <c r="J248" s="241" t="e">
        <f t="shared" si="16"/>
        <v>#REF!</v>
      </c>
      <c r="K248" s="238"/>
    </row>
    <row r="249" spans="1:11" s="242" customFormat="1" ht="17">
      <c r="A249" s="245">
        <v>240</v>
      </c>
      <c r="B249" s="152" t="s">
        <v>292</v>
      </c>
      <c r="C249" s="237">
        <v>8363810193</v>
      </c>
      <c r="D249" s="238" t="e">
        <f>VLOOKUP(C249,#REF!,7,0)</f>
        <v>#REF!</v>
      </c>
      <c r="E249" s="192" t="e">
        <f>VLOOKUP(C249,#REF!,128,0)</f>
        <v>#REF!</v>
      </c>
      <c r="F249" s="192" t="e">
        <f>+VLOOKUP(C249,#REF!,150,0)</f>
        <v>#REF!</v>
      </c>
      <c r="G249" s="239" t="e">
        <f t="shared" si="15"/>
        <v>#REF!</v>
      </c>
      <c r="H249" s="240" t="e">
        <f t="shared" si="14"/>
        <v>#REF!</v>
      </c>
      <c r="I249" s="238">
        <v>0</v>
      </c>
      <c r="J249" s="241" t="e">
        <f t="shared" si="16"/>
        <v>#REF!</v>
      </c>
      <c r="K249" s="238"/>
    </row>
    <row r="250" spans="1:11" s="242" customFormat="1" ht="17">
      <c r="A250" s="245">
        <v>241</v>
      </c>
      <c r="B250" s="152" t="s">
        <v>87</v>
      </c>
      <c r="C250" s="237">
        <v>8398046162</v>
      </c>
      <c r="D250" s="238" t="e">
        <f>VLOOKUP(C250,#REF!,7,0)</f>
        <v>#REF!</v>
      </c>
      <c r="E250" s="192" t="e">
        <f>VLOOKUP(C250,#REF!,128,0)</f>
        <v>#REF!</v>
      </c>
      <c r="F250" s="192" t="e">
        <f>+VLOOKUP(C250,#REF!,150,0)</f>
        <v>#REF!</v>
      </c>
      <c r="G250" s="239" t="e">
        <f t="shared" si="15"/>
        <v>#REF!</v>
      </c>
      <c r="H250" s="240" t="e">
        <f t="shared" si="14"/>
        <v>#REF!</v>
      </c>
      <c r="I250" s="238">
        <v>0</v>
      </c>
      <c r="J250" s="241" t="e">
        <f t="shared" si="16"/>
        <v>#REF!</v>
      </c>
      <c r="K250" s="238"/>
    </row>
    <row r="251" spans="1:11" s="242" customFormat="1" ht="17">
      <c r="A251" s="245">
        <v>242</v>
      </c>
      <c r="B251" s="152" t="s">
        <v>89</v>
      </c>
      <c r="C251" s="237">
        <v>8344607171</v>
      </c>
      <c r="D251" s="238" t="e">
        <f>VLOOKUP(C251,#REF!,7,0)</f>
        <v>#REF!</v>
      </c>
      <c r="E251" s="192" t="e">
        <f>VLOOKUP(C251,#REF!,128,0)</f>
        <v>#REF!</v>
      </c>
      <c r="F251" s="192" t="e">
        <f>+VLOOKUP(C251,#REF!,150,0)</f>
        <v>#REF!</v>
      </c>
      <c r="G251" s="239" t="e">
        <f t="shared" si="15"/>
        <v>#REF!</v>
      </c>
      <c r="H251" s="240" t="e">
        <f t="shared" si="14"/>
        <v>#REF!</v>
      </c>
      <c r="I251" s="238">
        <v>0</v>
      </c>
      <c r="J251" s="241" t="e">
        <f t="shared" si="16"/>
        <v>#REF!</v>
      </c>
      <c r="K251" s="238"/>
    </row>
    <row r="252" spans="1:11" s="242" customFormat="1" ht="17">
      <c r="A252" s="245">
        <v>243</v>
      </c>
      <c r="B252" s="152" t="s">
        <v>267</v>
      </c>
      <c r="C252" s="237">
        <v>8745581812</v>
      </c>
      <c r="D252" s="238" t="e">
        <f>VLOOKUP(C252,#REF!,7,0)</f>
        <v>#REF!</v>
      </c>
      <c r="E252" s="192" t="e">
        <f>VLOOKUP(C252,#REF!,128,0)</f>
        <v>#REF!</v>
      </c>
      <c r="F252" s="192" t="e">
        <f>+VLOOKUP(C252,#REF!,150,0)</f>
        <v>#REF!</v>
      </c>
      <c r="G252" s="239" t="e">
        <f t="shared" si="15"/>
        <v>#REF!</v>
      </c>
      <c r="H252" s="240" t="e">
        <f t="shared" si="14"/>
        <v>#REF!</v>
      </c>
      <c r="I252" s="238">
        <v>0</v>
      </c>
      <c r="J252" s="241" t="e">
        <f t="shared" si="16"/>
        <v>#REF!</v>
      </c>
      <c r="K252" s="238"/>
    </row>
    <row r="253" spans="1:11" s="242" customFormat="1" ht="17">
      <c r="A253" s="245">
        <v>244</v>
      </c>
      <c r="B253" s="152" t="s">
        <v>296</v>
      </c>
      <c r="C253" s="237">
        <v>8799833664</v>
      </c>
      <c r="D253" s="238" t="e">
        <f>VLOOKUP(C253,#REF!,7,0)</f>
        <v>#REF!</v>
      </c>
      <c r="E253" s="192" t="e">
        <f>VLOOKUP(C253,#REF!,128,0)</f>
        <v>#REF!</v>
      </c>
      <c r="F253" s="192" t="e">
        <f>+VLOOKUP(C253,#REF!,150,0)</f>
        <v>#REF!</v>
      </c>
      <c r="G253" s="239" t="e">
        <f t="shared" si="15"/>
        <v>#REF!</v>
      </c>
      <c r="H253" s="240" t="e">
        <f t="shared" si="14"/>
        <v>#REF!</v>
      </c>
      <c r="I253" s="238">
        <v>0</v>
      </c>
      <c r="J253" s="241" t="e">
        <f t="shared" si="16"/>
        <v>#REF!</v>
      </c>
      <c r="K253" s="238"/>
    </row>
    <row r="254" spans="1:11" s="242" customFormat="1" ht="17">
      <c r="A254" s="245">
        <v>245</v>
      </c>
      <c r="B254" s="152" t="s">
        <v>396</v>
      </c>
      <c r="C254" s="237">
        <v>8118805155</v>
      </c>
      <c r="D254" s="238" t="e">
        <f>VLOOKUP(C254,#REF!,7,0)</f>
        <v>#REF!</v>
      </c>
      <c r="E254" s="192" t="e">
        <f>VLOOKUP(C254,#REF!,128,0)</f>
        <v>#REF!</v>
      </c>
      <c r="F254" s="192" t="e">
        <f>+VLOOKUP(C254,#REF!,150,0)</f>
        <v>#REF!</v>
      </c>
      <c r="G254" s="239" t="e">
        <f t="shared" si="15"/>
        <v>#REF!</v>
      </c>
      <c r="H254" s="240" t="e">
        <f t="shared" si="14"/>
        <v>#REF!</v>
      </c>
      <c r="I254" s="238">
        <v>0</v>
      </c>
      <c r="J254" s="241" t="e">
        <f t="shared" si="16"/>
        <v>#REF!</v>
      </c>
      <c r="K254" s="238"/>
    </row>
    <row r="255" spans="1:11" s="242" customFormat="1" ht="17">
      <c r="A255" s="245">
        <v>246</v>
      </c>
      <c r="B255" s="152" t="s">
        <v>397</v>
      </c>
      <c r="C255" s="237">
        <v>8930054916</v>
      </c>
      <c r="D255" s="238" t="e">
        <f>VLOOKUP(C255,#REF!,7,0)</f>
        <v>#REF!</v>
      </c>
      <c r="E255" s="192" t="e">
        <f>VLOOKUP(C255,#REF!,128,0)</f>
        <v>#REF!</v>
      </c>
      <c r="F255" s="192" t="e">
        <f>+VLOOKUP(C255,#REF!,150,0)</f>
        <v>#REF!</v>
      </c>
      <c r="G255" s="239" t="e">
        <f t="shared" si="15"/>
        <v>#REF!</v>
      </c>
      <c r="H255" s="240" t="e">
        <f t="shared" ref="H255:H318" si="17">+ROUND(G255*50,0)</f>
        <v>#REF!</v>
      </c>
      <c r="I255" s="238">
        <v>0</v>
      </c>
      <c r="J255" s="241" t="e">
        <f t="shared" si="16"/>
        <v>#REF!</v>
      </c>
      <c r="K255" s="238"/>
    </row>
    <row r="256" spans="1:11" s="242" customFormat="1" ht="17">
      <c r="A256" s="245">
        <v>247</v>
      </c>
      <c r="B256" s="152" t="s">
        <v>272</v>
      </c>
      <c r="C256" s="237" t="s">
        <v>273</v>
      </c>
      <c r="D256" s="238" t="e">
        <f>VLOOKUP(C256,#REF!,7,0)</f>
        <v>#REF!</v>
      </c>
      <c r="E256" s="192" t="e">
        <f>VLOOKUP(C256,#REF!,128,0)</f>
        <v>#REF!</v>
      </c>
      <c r="F256" s="192" t="e">
        <f>+VLOOKUP(C256,#REF!,150,0)</f>
        <v>#REF!</v>
      </c>
      <c r="G256" s="239" t="e">
        <f t="shared" ref="G256:G319" si="18">+F256/E256</f>
        <v>#REF!</v>
      </c>
      <c r="H256" s="240" t="e">
        <f t="shared" si="17"/>
        <v>#REF!</v>
      </c>
      <c r="I256" s="238">
        <v>0</v>
      </c>
      <c r="J256" s="241" t="e">
        <f t="shared" si="16"/>
        <v>#REF!</v>
      </c>
      <c r="K256" s="238"/>
    </row>
    <row r="257" spans="1:11" s="242" customFormat="1" ht="17">
      <c r="A257" s="245">
        <v>248</v>
      </c>
      <c r="B257" s="251" t="s">
        <v>105</v>
      </c>
      <c r="C257" s="237">
        <v>8090576199</v>
      </c>
      <c r="D257" s="238" t="e">
        <f>VLOOKUP(C257,#REF!,7,0)</f>
        <v>#REF!</v>
      </c>
      <c r="E257" s="192" t="e">
        <f>VLOOKUP(C257,#REF!,128,0)</f>
        <v>#REF!</v>
      </c>
      <c r="F257" s="192" t="e">
        <f>+VLOOKUP(C257,#REF!,150,0)</f>
        <v>#REF!</v>
      </c>
      <c r="G257" s="239" t="e">
        <f t="shared" si="18"/>
        <v>#REF!</v>
      </c>
      <c r="H257" s="240" t="e">
        <f t="shared" si="17"/>
        <v>#REF!</v>
      </c>
      <c r="I257" s="238">
        <v>0</v>
      </c>
      <c r="J257" s="241" t="e">
        <f t="shared" si="16"/>
        <v>#REF!</v>
      </c>
      <c r="K257" s="238"/>
    </row>
    <row r="258" spans="1:11" s="242" customFormat="1" ht="17">
      <c r="A258" s="245">
        <v>249</v>
      </c>
      <c r="B258" s="251" t="s">
        <v>106</v>
      </c>
      <c r="C258" s="237">
        <v>8639656431</v>
      </c>
      <c r="D258" s="238" t="e">
        <f>VLOOKUP(C258,#REF!,7,0)</f>
        <v>#REF!</v>
      </c>
      <c r="E258" s="192" t="e">
        <f>VLOOKUP(C258,#REF!,128,0)</f>
        <v>#REF!</v>
      </c>
      <c r="F258" s="192" t="e">
        <f>+VLOOKUP(C258,#REF!,150,0)</f>
        <v>#REF!</v>
      </c>
      <c r="G258" s="239" t="e">
        <f t="shared" si="18"/>
        <v>#REF!</v>
      </c>
      <c r="H258" s="240" t="e">
        <f t="shared" si="17"/>
        <v>#REF!</v>
      </c>
      <c r="I258" s="238">
        <v>0</v>
      </c>
      <c r="J258" s="241" t="e">
        <f t="shared" si="16"/>
        <v>#REF!</v>
      </c>
      <c r="K258" s="238"/>
    </row>
    <row r="259" spans="1:11" s="249" customFormat="1" ht="17">
      <c r="A259" s="245">
        <v>250</v>
      </c>
      <c r="B259" s="163" t="s">
        <v>302</v>
      </c>
      <c r="C259" s="252">
        <v>8778240695</v>
      </c>
      <c r="D259" s="238" t="e">
        <f>VLOOKUP(C259,#REF!,7,0)</f>
        <v>#REF!</v>
      </c>
      <c r="E259" s="192" t="e">
        <f>VLOOKUP(C259,#REF!,128,0)</f>
        <v>#REF!</v>
      </c>
      <c r="F259" s="192" t="e">
        <f>+VLOOKUP(C259,#REF!,150,0)</f>
        <v>#REF!</v>
      </c>
      <c r="G259" s="239" t="e">
        <f t="shared" si="18"/>
        <v>#REF!</v>
      </c>
      <c r="H259" s="247" t="e">
        <f t="shared" si="17"/>
        <v>#REF!</v>
      </c>
      <c r="I259" s="248">
        <v>0</v>
      </c>
      <c r="J259" s="253" t="e">
        <f t="shared" si="16"/>
        <v>#REF!</v>
      </c>
      <c r="K259" s="248"/>
    </row>
    <row r="260" spans="1:11" s="249" customFormat="1" ht="17">
      <c r="A260" s="245">
        <v>251</v>
      </c>
      <c r="B260" s="163" t="s">
        <v>303</v>
      </c>
      <c r="C260" s="252">
        <v>8027253041</v>
      </c>
      <c r="D260" s="238" t="e">
        <f>VLOOKUP(C260,#REF!,7,0)</f>
        <v>#REF!</v>
      </c>
      <c r="E260" s="192" t="e">
        <f>VLOOKUP(C260,#REF!,128,0)</f>
        <v>#REF!</v>
      </c>
      <c r="F260" s="192" t="e">
        <f>+VLOOKUP(C260,#REF!,150,0)</f>
        <v>#REF!</v>
      </c>
      <c r="G260" s="239" t="e">
        <f t="shared" si="18"/>
        <v>#REF!</v>
      </c>
      <c r="H260" s="247" t="e">
        <f t="shared" si="17"/>
        <v>#REF!</v>
      </c>
      <c r="I260" s="248">
        <v>0</v>
      </c>
      <c r="J260" s="253" t="e">
        <f t="shared" si="16"/>
        <v>#REF!</v>
      </c>
      <c r="K260" s="248"/>
    </row>
    <row r="261" spans="1:11" s="242" customFormat="1" ht="17">
      <c r="A261" s="245">
        <v>252</v>
      </c>
      <c r="B261" s="152" t="s">
        <v>304</v>
      </c>
      <c r="C261" s="237">
        <v>8745581643</v>
      </c>
      <c r="D261" s="238" t="e">
        <f>VLOOKUP(C261,#REF!,7,0)</f>
        <v>#REF!</v>
      </c>
      <c r="E261" s="192" t="e">
        <f>VLOOKUP(C261,#REF!,128,0)</f>
        <v>#REF!</v>
      </c>
      <c r="F261" s="192" t="e">
        <f>+VLOOKUP(C261,#REF!,150,0)</f>
        <v>#REF!</v>
      </c>
      <c r="G261" s="239" t="e">
        <f t="shared" si="18"/>
        <v>#REF!</v>
      </c>
      <c r="H261" s="240" t="e">
        <f t="shared" si="17"/>
        <v>#REF!</v>
      </c>
      <c r="I261" s="238">
        <v>0</v>
      </c>
      <c r="J261" s="241" t="e">
        <f t="shared" si="16"/>
        <v>#REF!</v>
      </c>
      <c r="K261" s="238"/>
    </row>
    <row r="262" spans="1:11" s="242" customFormat="1" ht="17">
      <c r="A262" s="245">
        <v>253</v>
      </c>
      <c r="B262" s="152" t="s">
        <v>305</v>
      </c>
      <c r="C262" s="237">
        <v>8367551863</v>
      </c>
      <c r="D262" s="238" t="e">
        <f>VLOOKUP(C262,#REF!,7,0)</f>
        <v>#REF!</v>
      </c>
      <c r="E262" s="192" t="e">
        <f>VLOOKUP(C262,#REF!,128,0)</f>
        <v>#REF!</v>
      </c>
      <c r="F262" s="192" t="e">
        <f>+VLOOKUP(C262,#REF!,150,0)</f>
        <v>#REF!</v>
      </c>
      <c r="G262" s="239" t="e">
        <f t="shared" si="18"/>
        <v>#REF!</v>
      </c>
      <c r="H262" s="240" t="e">
        <f t="shared" si="17"/>
        <v>#REF!</v>
      </c>
      <c r="I262" s="238">
        <v>0</v>
      </c>
      <c r="J262" s="241" t="e">
        <f t="shared" si="16"/>
        <v>#REF!</v>
      </c>
      <c r="K262" s="238"/>
    </row>
    <row r="263" spans="1:11" s="242" customFormat="1" ht="17">
      <c r="A263" s="245">
        <v>254</v>
      </c>
      <c r="B263" s="152" t="s">
        <v>332</v>
      </c>
      <c r="C263" s="237">
        <v>8032112624</v>
      </c>
      <c r="D263" s="238" t="e">
        <f>VLOOKUP(C263,#REF!,7,0)</f>
        <v>#REF!</v>
      </c>
      <c r="E263" s="192" t="e">
        <f>VLOOKUP(C263,#REF!,128,0)</f>
        <v>#REF!</v>
      </c>
      <c r="F263" s="192" t="e">
        <f>+VLOOKUP(C263,#REF!,150,0)</f>
        <v>#REF!</v>
      </c>
      <c r="G263" s="239" t="e">
        <f t="shared" si="18"/>
        <v>#REF!</v>
      </c>
      <c r="H263" s="240" t="e">
        <f t="shared" si="17"/>
        <v>#REF!</v>
      </c>
      <c r="I263" s="238">
        <v>0</v>
      </c>
      <c r="J263" s="241" t="e">
        <f t="shared" si="16"/>
        <v>#REF!</v>
      </c>
      <c r="K263" s="238"/>
    </row>
    <row r="264" spans="1:11" s="242" customFormat="1" ht="17">
      <c r="A264" s="245">
        <v>255</v>
      </c>
      <c r="B264" s="152" t="s">
        <v>427</v>
      </c>
      <c r="C264" s="237">
        <v>8855564023</v>
      </c>
      <c r="D264" s="238" t="e">
        <f>VLOOKUP(C264,#REF!,7,0)</f>
        <v>#REF!</v>
      </c>
      <c r="E264" s="192" t="e">
        <f>VLOOKUP(C264,#REF!,128,0)</f>
        <v>#REF!</v>
      </c>
      <c r="F264" s="192" t="e">
        <f>+VLOOKUP(C264,#REF!,150,0)</f>
        <v>#REF!</v>
      </c>
      <c r="G264" s="239" t="e">
        <f t="shared" si="18"/>
        <v>#REF!</v>
      </c>
      <c r="H264" s="240" t="e">
        <f t="shared" si="17"/>
        <v>#REF!</v>
      </c>
      <c r="I264" s="238">
        <v>0</v>
      </c>
      <c r="J264" s="241" t="e">
        <f t="shared" si="16"/>
        <v>#REF!</v>
      </c>
      <c r="K264" s="238"/>
    </row>
    <row r="265" spans="1:11" s="242" customFormat="1" ht="17">
      <c r="A265" s="245">
        <v>256</v>
      </c>
      <c r="B265" s="152" t="s">
        <v>428</v>
      </c>
      <c r="C265" s="237">
        <v>8865789770</v>
      </c>
      <c r="D265" s="238" t="e">
        <f>VLOOKUP(C265,#REF!,7,0)</f>
        <v>#REF!</v>
      </c>
      <c r="E265" s="192" t="e">
        <f>VLOOKUP(C265,#REF!,128,0)</f>
        <v>#REF!</v>
      </c>
      <c r="F265" s="192" t="e">
        <f>+VLOOKUP(C265,#REF!,150,0)</f>
        <v>#REF!</v>
      </c>
      <c r="G265" s="239" t="e">
        <f t="shared" si="18"/>
        <v>#REF!</v>
      </c>
      <c r="H265" s="240" t="e">
        <f t="shared" si="17"/>
        <v>#REF!</v>
      </c>
      <c r="I265" s="238">
        <v>0</v>
      </c>
      <c r="J265" s="241" t="e">
        <f t="shared" ref="J265:J328" si="19">+F265-E265+I265</f>
        <v>#REF!</v>
      </c>
      <c r="K265" s="238"/>
    </row>
    <row r="266" spans="1:11" s="242" customFormat="1" ht="17">
      <c r="A266" s="245">
        <v>257</v>
      </c>
      <c r="B266" s="152" t="s">
        <v>113</v>
      </c>
      <c r="C266" s="237">
        <v>8746831303</v>
      </c>
      <c r="D266" s="238" t="e">
        <f>VLOOKUP(C266,#REF!,7,0)</f>
        <v>#REF!</v>
      </c>
      <c r="E266" s="192" t="e">
        <f>VLOOKUP(C266,#REF!,128,0)</f>
        <v>#REF!</v>
      </c>
      <c r="F266" s="192" t="e">
        <f>+VLOOKUP(C266,#REF!,150,0)</f>
        <v>#REF!</v>
      </c>
      <c r="G266" s="239" t="e">
        <f t="shared" si="18"/>
        <v>#REF!</v>
      </c>
      <c r="H266" s="240" t="e">
        <f t="shared" si="17"/>
        <v>#REF!</v>
      </c>
      <c r="I266" s="238">
        <v>0</v>
      </c>
      <c r="J266" s="241" t="e">
        <f t="shared" si="19"/>
        <v>#REF!</v>
      </c>
      <c r="K266" s="238"/>
    </row>
    <row r="267" spans="1:11" s="242" customFormat="1" ht="17">
      <c r="A267" s="245">
        <v>258</v>
      </c>
      <c r="B267" s="152" t="s">
        <v>115</v>
      </c>
      <c r="C267" s="237">
        <v>8122563639</v>
      </c>
      <c r="D267" s="238" t="e">
        <f>VLOOKUP(C267,#REF!,7,0)</f>
        <v>#REF!</v>
      </c>
      <c r="E267" s="192" t="e">
        <f>VLOOKUP(C267,#REF!,128,0)</f>
        <v>#REF!</v>
      </c>
      <c r="F267" s="192" t="e">
        <f>+VLOOKUP(C267,#REF!,150,0)</f>
        <v>#REF!</v>
      </c>
      <c r="G267" s="239" t="e">
        <f t="shared" si="18"/>
        <v>#REF!</v>
      </c>
      <c r="H267" s="240" t="e">
        <f t="shared" si="17"/>
        <v>#REF!</v>
      </c>
      <c r="I267" s="238">
        <v>0</v>
      </c>
      <c r="J267" s="241" t="e">
        <f t="shared" si="19"/>
        <v>#REF!</v>
      </c>
      <c r="K267" s="238"/>
    </row>
    <row r="268" spans="1:11" s="242" customFormat="1" ht="17">
      <c r="A268" s="245">
        <v>259</v>
      </c>
      <c r="B268" s="152" t="s">
        <v>120</v>
      </c>
      <c r="C268" s="237">
        <v>8024140748</v>
      </c>
      <c r="D268" s="238" t="e">
        <f>VLOOKUP(C268,#REF!,7,0)</f>
        <v>#REF!</v>
      </c>
      <c r="E268" s="192" t="e">
        <f>VLOOKUP(C268,#REF!,128,0)</f>
        <v>#REF!</v>
      </c>
      <c r="F268" s="192" t="e">
        <f>+VLOOKUP(C268,#REF!,150,0)</f>
        <v>#REF!</v>
      </c>
      <c r="G268" s="239" t="e">
        <f t="shared" si="18"/>
        <v>#REF!</v>
      </c>
      <c r="H268" s="240" t="e">
        <f t="shared" si="17"/>
        <v>#REF!</v>
      </c>
      <c r="I268" s="238">
        <v>0</v>
      </c>
      <c r="J268" s="241" t="e">
        <f t="shared" si="19"/>
        <v>#REF!</v>
      </c>
      <c r="K268" s="238"/>
    </row>
    <row r="269" spans="1:11" s="242" customFormat="1" ht="17">
      <c r="A269" s="245">
        <v>260</v>
      </c>
      <c r="B269" s="152" t="s">
        <v>123</v>
      </c>
      <c r="C269" s="237">
        <v>8404298315</v>
      </c>
      <c r="D269" s="238" t="e">
        <f>VLOOKUP(C269,#REF!,7,0)</f>
        <v>#REF!</v>
      </c>
      <c r="E269" s="192" t="e">
        <f>VLOOKUP(C269,#REF!,128,0)</f>
        <v>#REF!</v>
      </c>
      <c r="F269" s="192" t="e">
        <f>+VLOOKUP(C269,#REF!,150,0)</f>
        <v>#REF!</v>
      </c>
      <c r="G269" s="239" t="e">
        <f t="shared" si="18"/>
        <v>#REF!</v>
      </c>
      <c r="H269" s="240" t="e">
        <f t="shared" si="17"/>
        <v>#REF!</v>
      </c>
      <c r="I269" s="238">
        <v>0</v>
      </c>
      <c r="J269" s="241" t="e">
        <f t="shared" si="19"/>
        <v>#REF!</v>
      </c>
      <c r="K269" s="238"/>
    </row>
    <row r="270" spans="1:11" s="242" customFormat="1" ht="17">
      <c r="A270" s="245">
        <v>261</v>
      </c>
      <c r="B270" s="152" t="s">
        <v>201</v>
      </c>
      <c r="C270" s="237">
        <v>4800782674</v>
      </c>
      <c r="D270" s="238" t="e">
        <f>VLOOKUP(C270,#REF!,7,0)</f>
        <v>#REF!</v>
      </c>
      <c r="E270" s="192" t="e">
        <f>VLOOKUP(C270,#REF!,128,0)</f>
        <v>#REF!</v>
      </c>
      <c r="F270" s="192" t="e">
        <f>+VLOOKUP(C270,#REF!,150,0)</f>
        <v>#REF!</v>
      </c>
      <c r="G270" s="239" t="e">
        <f t="shared" si="18"/>
        <v>#REF!</v>
      </c>
      <c r="H270" s="240" t="e">
        <f t="shared" si="17"/>
        <v>#REF!</v>
      </c>
      <c r="I270" s="238">
        <v>0</v>
      </c>
      <c r="J270" s="241" t="e">
        <f t="shared" si="19"/>
        <v>#REF!</v>
      </c>
      <c r="K270" s="238"/>
    </row>
    <row r="271" spans="1:11" s="242" customFormat="1" ht="17">
      <c r="A271" s="245">
        <v>262</v>
      </c>
      <c r="B271" s="152" t="s">
        <v>202</v>
      </c>
      <c r="C271" s="237">
        <v>8121387268</v>
      </c>
      <c r="D271" s="238" t="e">
        <f>VLOOKUP(C271,#REF!,7,0)</f>
        <v>#REF!</v>
      </c>
      <c r="E271" s="192" t="e">
        <f>VLOOKUP(C271,#REF!,128,0)</f>
        <v>#REF!</v>
      </c>
      <c r="F271" s="192" t="e">
        <f>+VLOOKUP(C271,#REF!,150,0)</f>
        <v>#REF!</v>
      </c>
      <c r="G271" s="239" t="e">
        <f t="shared" si="18"/>
        <v>#REF!</v>
      </c>
      <c r="H271" s="240" t="e">
        <f t="shared" si="17"/>
        <v>#REF!</v>
      </c>
      <c r="I271" s="238">
        <v>0</v>
      </c>
      <c r="J271" s="241" t="e">
        <f t="shared" si="19"/>
        <v>#REF!</v>
      </c>
      <c r="K271" s="238"/>
    </row>
    <row r="272" spans="1:11" s="242" customFormat="1" ht="17">
      <c r="A272" s="245">
        <v>263</v>
      </c>
      <c r="B272" s="152" t="s">
        <v>298</v>
      </c>
      <c r="C272" s="237">
        <v>8323066281</v>
      </c>
      <c r="D272" s="238" t="e">
        <f>VLOOKUP(C272,#REF!,7,0)</f>
        <v>#REF!</v>
      </c>
      <c r="E272" s="192" t="e">
        <f>VLOOKUP(C272,#REF!,128,0)</f>
        <v>#REF!</v>
      </c>
      <c r="F272" s="192" t="e">
        <f>+VLOOKUP(C272,#REF!,150,0)</f>
        <v>#REF!</v>
      </c>
      <c r="G272" s="239" t="e">
        <f t="shared" si="18"/>
        <v>#REF!</v>
      </c>
      <c r="H272" s="240" t="e">
        <f t="shared" si="17"/>
        <v>#REF!</v>
      </c>
      <c r="I272" s="238">
        <v>0</v>
      </c>
      <c r="J272" s="241" t="e">
        <f t="shared" si="19"/>
        <v>#REF!</v>
      </c>
      <c r="K272" s="238"/>
    </row>
    <row r="273" spans="1:11" s="242" customFormat="1" ht="17">
      <c r="A273" s="245">
        <v>264</v>
      </c>
      <c r="B273" s="152" t="s">
        <v>317</v>
      </c>
      <c r="C273" s="237">
        <v>8894641722</v>
      </c>
      <c r="D273" s="238" t="e">
        <f>VLOOKUP(C273,#REF!,7,0)</f>
        <v>#REF!</v>
      </c>
      <c r="E273" s="192" t="e">
        <f>VLOOKUP(C273,#REF!,128,0)</f>
        <v>#REF!</v>
      </c>
      <c r="F273" s="192" t="e">
        <f>+VLOOKUP(C273,#REF!,150,0)</f>
        <v>#REF!</v>
      </c>
      <c r="G273" s="239" t="e">
        <f t="shared" si="18"/>
        <v>#REF!</v>
      </c>
      <c r="H273" s="240" t="e">
        <f t="shared" si="17"/>
        <v>#REF!</v>
      </c>
      <c r="I273" s="238">
        <v>0</v>
      </c>
      <c r="J273" s="241" t="e">
        <f t="shared" si="19"/>
        <v>#REF!</v>
      </c>
      <c r="K273" s="238"/>
    </row>
    <row r="274" spans="1:11" s="242" customFormat="1" ht="17">
      <c r="A274" s="245">
        <v>265</v>
      </c>
      <c r="B274" s="152" t="s">
        <v>400</v>
      </c>
      <c r="C274" s="237">
        <v>8104562495</v>
      </c>
      <c r="D274" s="238" t="e">
        <f>VLOOKUP(C274,#REF!,7,0)</f>
        <v>#REF!</v>
      </c>
      <c r="E274" s="192" t="e">
        <f>VLOOKUP(C274,#REF!,128,0)</f>
        <v>#REF!</v>
      </c>
      <c r="F274" s="192" t="e">
        <f>+VLOOKUP(C274,#REF!,150,0)</f>
        <v>#REF!</v>
      </c>
      <c r="G274" s="239" t="e">
        <f t="shared" si="18"/>
        <v>#REF!</v>
      </c>
      <c r="H274" s="240" t="e">
        <f t="shared" si="17"/>
        <v>#REF!</v>
      </c>
      <c r="I274" s="238">
        <v>0</v>
      </c>
      <c r="J274" s="241" t="e">
        <f t="shared" si="19"/>
        <v>#REF!</v>
      </c>
      <c r="K274" s="238"/>
    </row>
    <row r="275" spans="1:11" s="242" customFormat="1" ht="17">
      <c r="A275" s="245">
        <v>266</v>
      </c>
      <c r="B275" s="152" t="s">
        <v>429</v>
      </c>
      <c r="C275" s="237">
        <v>8183450135</v>
      </c>
      <c r="D275" s="238" t="e">
        <f>VLOOKUP(C275,#REF!,7,0)</f>
        <v>#REF!</v>
      </c>
      <c r="E275" s="192" t="e">
        <f>VLOOKUP(C275,#REF!,128,0)</f>
        <v>#REF!</v>
      </c>
      <c r="F275" s="192" t="e">
        <f>+VLOOKUP(C275,#REF!,150,0)</f>
        <v>#REF!</v>
      </c>
      <c r="G275" s="239" t="e">
        <f t="shared" si="18"/>
        <v>#REF!</v>
      </c>
      <c r="H275" s="240" t="e">
        <f t="shared" si="17"/>
        <v>#REF!</v>
      </c>
      <c r="I275" s="238">
        <v>0</v>
      </c>
      <c r="J275" s="241" t="e">
        <f t="shared" si="19"/>
        <v>#REF!</v>
      </c>
      <c r="K275" s="238"/>
    </row>
    <row r="276" spans="1:11" s="242" customFormat="1" ht="17">
      <c r="A276" s="245">
        <v>267</v>
      </c>
      <c r="B276" s="152" t="s">
        <v>430</v>
      </c>
      <c r="C276" s="237">
        <v>8455360924</v>
      </c>
      <c r="D276" s="238" t="e">
        <f>VLOOKUP(C276,#REF!,7,0)</f>
        <v>#REF!</v>
      </c>
      <c r="E276" s="192" t="e">
        <f>VLOOKUP(C276,#REF!,128,0)</f>
        <v>#REF!</v>
      </c>
      <c r="F276" s="192" t="e">
        <f>+VLOOKUP(C276,#REF!,150,0)</f>
        <v>#REF!</v>
      </c>
      <c r="G276" s="239" t="e">
        <f t="shared" si="18"/>
        <v>#REF!</v>
      </c>
      <c r="H276" s="240" t="e">
        <f t="shared" si="17"/>
        <v>#REF!</v>
      </c>
      <c r="I276" s="238">
        <v>0</v>
      </c>
      <c r="J276" s="241" t="e">
        <f t="shared" si="19"/>
        <v>#REF!</v>
      </c>
      <c r="K276" s="238"/>
    </row>
    <row r="277" spans="1:11" s="242" customFormat="1" ht="17">
      <c r="A277" s="245">
        <v>268</v>
      </c>
      <c r="B277" s="152" t="s">
        <v>431</v>
      </c>
      <c r="C277" s="237">
        <v>8429279931</v>
      </c>
      <c r="D277" s="238" t="e">
        <f>VLOOKUP(C277,#REF!,7,0)</f>
        <v>#REF!</v>
      </c>
      <c r="E277" s="192" t="e">
        <f>VLOOKUP(C277,#REF!,128,0)</f>
        <v>#REF!</v>
      </c>
      <c r="F277" s="192" t="e">
        <f>+VLOOKUP(C277,#REF!,150,0)</f>
        <v>#REF!</v>
      </c>
      <c r="G277" s="239" t="e">
        <f t="shared" si="18"/>
        <v>#REF!</v>
      </c>
      <c r="H277" s="240" t="e">
        <f t="shared" si="17"/>
        <v>#REF!</v>
      </c>
      <c r="I277" s="238">
        <v>0</v>
      </c>
      <c r="J277" s="241" t="e">
        <f t="shared" si="19"/>
        <v>#REF!</v>
      </c>
      <c r="K277" s="238"/>
    </row>
    <row r="278" spans="1:11" s="242" customFormat="1" ht="17">
      <c r="A278" s="245">
        <v>269</v>
      </c>
      <c r="B278" s="152" t="s">
        <v>445</v>
      </c>
      <c r="C278" s="237">
        <v>8855535576</v>
      </c>
      <c r="D278" s="238" t="e">
        <f>VLOOKUP(C278,#REF!,7,0)</f>
        <v>#REF!</v>
      </c>
      <c r="E278" s="192" t="e">
        <f>VLOOKUP(C278,#REF!,128,0)</f>
        <v>#REF!</v>
      </c>
      <c r="F278" s="192" t="e">
        <f>+VLOOKUP(C278,#REF!,150,0)</f>
        <v>#REF!</v>
      </c>
      <c r="G278" s="239" t="e">
        <f t="shared" si="18"/>
        <v>#REF!</v>
      </c>
      <c r="H278" s="240" t="e">
        <f t="shared" si="17"/>
        <v>#REF!</v>
      </c>
      <c r="I278" s="238">
        <v>0</v>
      </c>
      <c r="J278" s="241" t="e">
        <f t="shared" si="19"/>
        <v>#REF!</v>
      </c>
      <c r="K278" s="238"/>
    </row>
    <row r="279" spans="1:11" s="242" customFormat="1" ht="17">
      <c r="A279" s="245">
        <v>270</v>
      </c>
      <c r="B279" s="251" t="s">
        <v>450</v>
      </c>
      <c r="C279" s="237">
        <v>8602877089</v>
      </c>
      <c r="D279" s="238" t="e">
        <f>VLOOKUP(C279,#REF!,7,0)</f>
        <v>#REF!</v>
      </c>
      <c r="E279" s="192" t="e">
        <f>VLOOKUP(C279,#REF!,128,0)</f>
        <v>#REF!</v>
      </c>
      <c r="F279" s="192" t="e">
        <f>+VLOOKUP(C279,#REF!,150,0)</f>
        <v>#REF!</v>
      </c>
      <c r="G279" s="239" t="e">
        <f t="shared" si="18"/>
        <v>#REF!</v>
      </c>
      <c r="H279" s="240" t="e">
        <f t="shared" si="17"/>
        <v>#REF!</v>
      </c>
      <c r="I279" s="238">
        <v>0</v>
      </c>
      <c r="J279" s="241" t="e">
        <f t="shared" si="19"/>
        <v>#REF!</v>
      </c>
      <c r="K279" s="238"/>
    </row>
    <row r="280" spans="1:11" s="242" customFormat="1" ht="17">
      <c r="A280" s="245">
        <v>271</v>
      </c>
      <c r="B280" s="152" t="s">
        <v>678</v>
      </c>
      <c r="C280" s="237" t="s">
        <v>730</v>
      </c>
      <c r="D280" s="238" t="e">
        <f>VLOOKUP(C280,#REF!,7,0)</f>
        <v>#REF!</v>
      </c>
      <c r="E280" s="192" t="e">
        <f>VLOOKUP(C280,#REF!,128,0)</f>
        <v>#REF!</v>
      </c>
      <c r="F280" s="192" t="e">
        <f>+VLOOKUP(C280,#REF!,150,0)</f>
        <v>#REF!</v>
      </c>
      <c r="G280" s="239" t="e">
        <f t="shared" si="18"/>
        <v>#REF!</v>
      </c>
      <c r="H280" s="240" t="e">
        <f t="shared" si="17"/>
        <v>#REF!</v>
      </c>
      <c r="I280" s="238" t="e">
        <v>#N/A</v>
      </c>
      <c r="J280" s="241" t="e">
        <f t="shared" si="19"/>
        <v>#REF!</v>
      </c>
      <c r="K280" s="238"/>
    </row>
    <row r="281" spans="1:11" s="242" customFormat="1" ht="17">
      <c r="A281" s="245">
        <v>272</v>
      </c>
      <c r="B281" s="152" t="s">
        <v>274</v>
      </c>
      <c r="C281" s="237">
        <v>8217909807</v>
      </c>
      <c r="D281" s="238" t="e">
        <f>VLOOKUP(C281,#REF!,7,0)</f>
        <v>#REF!</v>
      </c>
      <c r="E281" s="192" t="e">
        <f>VLOOKUP(C281,#REF!,128,0)</f>
        <v>#REF!</v>
      </c>
      <c r="F281" s="192" t="e">
        <f>+VLOOKUP(C281,#REF!,150,0)</f>
        <v>#REF!</v>
      </c>
      <c r="G281" s="239" t="e">
        <f t="shared" si="18"/>
        <v>#REF!</v>
      </c>
      <c r="H281" s="240" t="e">
        <f t="shared" si="17"/>
        <v>#REF!</v>
      </c>
      <c r="I281" s="238">
        <v>0</v>
      </c>
      <c r="J281" s="241" t="e">
        <f t="shared" si="19"/>
        <v>#REF!</v>
      </c>
      <c r="K281" s="238"/>
    </row>
    <row r="282" spans="1:11" s="242" customFormat="1" ht="17">
      <c r="A282" s="245">
        <v>273</v>
      </c>
      <c r="B282" s="152" t="s">
        <v>275</v>
      </c>
      <c r="C282" s="237">
        <v>8443239458</v>
      </c>
      <c r="D282" s="238" t="e">
        <f>VLOOKUP(C282,#REF!,7,0)</f>
        <v>#REF!</v>
      </c>
      <c r="E282" s="192" t="e">
        <f>VLOOKUP(C282,#REF!,128,0)</f>
        <v>#REF!</v>
      </c>
      <c r="F282" s="192" t="e">
        <f>+VLOOKUP(C282,#REF!,150,0)</f>
        <v>#REF!</v>
      </c>
      <c r="G282" s="239" t="e">
        <f t="shared" si="18"/>
        <v>#REF!</v>
      </c>
      <c r="H282" s="240" t="e">
        <f t="shared" si="17"/>
        <v>#REF!</v>
      </c>
      <c r="I282" s="238">
        <v>0</v>
      </c>
      <c r="J282" s="241" t="e">
        <f t="shared" si="19"/>
        <v>#REF!</v>
      </c>
      <c r="K282" s="238"/>
    </row>
    <row r="283" spans="1:11" s="242" customFormat="1" ht="17">
      <c r="A283" s="245">
        <v>274</v>
      </c>
      <c r="B283" s="152" t="s">
        <v>139</v>
      </c>
      <c r="C283" s="237" t="s">
        <v>171</v>
      </c>
      <c r="D283" s="238" t="e">
        <f>VLOOKUP(C283,#REF!,7,0)</f>
        <v>#REF!</v>
      </c>
      <c r="E283" s="192" t="e">
        <f>VLOOKUP(C283,#REF!,128,0)</f>
        <v>#REF!</v>
      </c>
      <c r="F283" s="192" t="e">
        <f>+VLOOKUP(C283,#REF!,150,0)</f>
        <v>#REF!</v>
      </c>
      <c r="G283" s="239" t="e">
        <f t="shared" si="18"/>
        <v>#REF!</v>
      </c>
      <c r="H283" s="240" t="e">
        <f t="shared" si="17"/>
        <v>#REF!</v>
      </c>
      <c r="I283" s="238">
        <v>0</v>
      </c>
      <c r="J283" s="241" t="e">
        <f t="shared" si="19"/>
        <v>#REF!</v>
      </c>
      <c r="K283" s="238"/>
    </row>
    <row r="284" spans="1:11" s="242" customFormat="1" ht="17">
      <c r="A284" s="245">
        <v>275</v>
      </c>
      <c r="B284" s="152" t="s">
        <v>442</v>
      </c>
      <c r="C284" s="237">
        <v>8938959184</v>
      </c>
      <c r="D284" s="238" t="e">
        <f>VLOOKUP(C284,#REF!,7,0)</f>
        <v>#REF!</v>
      </c>
      <c r="E284" s="192" t="e">
        <f>VLOOKUP(C284,#REF!,128,0)</f>
        <v>#REF!</v>
      </c>
      <c r="F284" s="192" t="e">
        <f>+VLOOKUP(C284,#REF!,150,0)</f>
        <v>#REF!</v>
      </c>
      <c r="G284" s="239" t="e">
        <f t="shared" si="18"/>
        <v>#REF!</v>
      </c>
      <c r="H284" s="240" t="e">
        <f t="shared" si="17"/>
        <v>#REF!</v>
      </c>
      <c r="I284" s="238">
        <v>0</v>
      </c>
      <c r="J284" s="241" t="e">
        <f t="shared" si="19"/>
        <v>#REF!</v>
      </c>
      <c r="K284" s="238"/>
    </row>
    <row r="285" spans="1:11" s="242" customFormat="1" ht="17">
      <c r="A285" s="245">
        <v>276</v>
      </c>
      <c r="B285" s="152" t="s">
        <v>313</v>
      </c>
      <c r="C285" s="237">
        <v>8147282710</v>
      </c>
      <c r="D285" s="238" t="e">
        <f>VLOOKUP(C285,#REF!,7,0)</f>
        <v>#REF!</v>
      </c>
      <c r="E285" s="192" t="e">
        <f>VLOOKUP(C285,#REF!,128,0)</f>
        <v>#REF!</v>
      </c>
      <c r="F285" s="192" t="e">
        <f>+VLOOKUP(C285,#REF!,150,0)</f>
        <v>#REF!</v>
      </c>
      <c r="G285" s="239" t="e">
        <f t="shared" si="18"/>
        <v>#REF!</v>
      </c>
      <c r="H285" s="240" t="e">
        <f t="shared" si="17"/>
        <v>#REF!</v>
      </c>
      <c r="I285" s="238">
        <v>0</v>
      </c>
      <c r="J285" s="241" t="e">
        <f t="shared" si="19"/>
        <v>#REF!</v>
      </c>
      <c r="K285" s="238"/>
    </row>
    <row r="286" spans="1:11" s="242" customFormat="1" ht="17">
      <c r="A286" s="245">
        <v>277</v>
      </c>
      <c r="B286" s="152" t="s">
        <v>336</v>
      </c>
      <c r="C286" s="237">
        <v>8098402758</v>
      </c>
      <c r="D286" s="238" t="e">
        <f>VLOOKUP(C286,#REF!,7,0)</f>
        <v>#REF!</v>
      </c>
      <c r="E286" s="192" t="e">
        <f>VLOOKUP(C286,#REF!,128,0)</f>
        <v>#REF!</v>
      </c>
      <c r="F286" s="192" t="e">
        <f>+VLOOKUP(C286,#REF!,150,0)</f>
        <v>#REF!</v>
      </c>
      <c r="G286" s="239" t="e">
        <f t="shared" si="18"/>
        <v>#REF!</v>
      </c>
      <c r="H286" s="240" t="e">
        <f t="shared" si="17"/>
        <v>#REF!</v>
      </c>
      <c r="I286" s="238">
        <v>0</v>
      </c>
      <c r="J286" s="241" t="e">
        <f t="shared" si="19"/>
        <v>#REF!</v>
      </c>
      <c r="K286" s="238"/>
    </row>
    <row r="287" spans="1:11" s="242" customFormat="1" ht="17">
      <c r="A287" s="245">
        <v>278</v>
      </c>
      <c r="B287" s="152" t="s">
        <v>57</v>
      </c>
      <c r="C287" s="237">
        <v>8843693320</v>
      </c>
      <c r="D287" s="238" t="e">
        <f>VLOOKUP(C287,#REF!,7,0)</f>
        <v>#REF!</v>
      </c>
      <c r="E287" s="192" t="e">
        <f>VLOOKUP(C287,#REF!,128,0)</f>
        <v>#REF!</v>
      </c>
      <c r="F287" s="192" t="e">
        <f>+VLOOKUP(C287,#REF!,150,0)</f>
        <v>#REF!</v>
      </c>
      <c r="G287" s="239" t="e">
        <f t="shared" si="18"/>
        <v>#REF!</v>
      </c>
      <c r="H287" s="240" t="e">
        <f t="shared" si="17"/>
        <v>#REF!</v>
      </c>
      <c r="I287" s="238">
        <v>0</v>
      </c>
      <c r="J287" s="241" t="e">
        <f t="shared" si="19"/>
        <v>#REF!</v>
      </c>
      <c r="K287" s="238"/>
    </row>
    <row r="288" spans="1:11" s="242" customFormat="1" ht="17">
      <c r="A288" s="245">
        <v>279</v>
      </c>
      <c r="B288" s="152" t="s">
        <v>126</v>
      </c>
      <c r="C288" s="237">
        <v>8051412817</v>
      </c>
      <c r="D288" s="238" t="e">
        <f>VLOOKUP(C288,#REF!,7,0)</f>
        <v>#REF!</v>
      </c>
      <c r="E288" s="192" t="e">
        <f>VLOOKUP(C288,#REF!,128,0)</f>
        <v>#REF!</v>
      </c>
      <c r="F288" s="192" t="e">
        <f>+VLOOKUP(C288,#REF!,150,0)</f>
        <v>#REF!</v>
      </c>
      <c r="G288" s="239" t="e">
        <f t="shared" si="18"/>
        <v>#REF!</v>
      </c>
      <c r="H288" s="240" t="e">
        <f t="shared" si="17"/>
        <v>#REF!</v>
      </c>
      <c r="I288" s="238">
        <v>0</v>
      </c>
      <c r="J288" s="241" t="e">
        <f t="shared" si="19"/>
        <v>#REF!</v>
      </c>
      <c r="K288" s="238"/>
    </row>
    <row r="289" spans="1:11" s="242" customFormat="1" ht="17">
      <c r="A289" s="245">
        <v>280</v>
      </c>
      <c r="B289" s="152" t="s">
        <v>127</v>
      </c>
      <c r="C289" s="237">
        <v>8808606798</v>
      </c>
      <c r="D289" s="238" t="e">
        <f>VLOOKUP(C289,#REF!,7,0)</f>
        <v>#REF!</v>
      </c>
      <c r="E289" s="192" t="e">
        <f>VLOOKUP(C289,#REF!,128,0)</f>
        <v>#REF!</v>
      </c>
      <c r="F289" s="192" t="e">
        <f>+VLOOKUP(C289,#REF!,150,0)</f>
        <v>#REF!</v>
      </c>
      <c r="G289" s="239" t="e">
        <f t="shared" si="18"/>
        <v>#REF!</v>
      </c>
      <c r="H289" s="240" t="e">
        <f t="shared" si="17"/>
        <v>#REF!</v>
      </c>
      <c r="I289" s="238">
        <v>0</v>
      </c>
      <c r="J289" s="241" t="e">
        <f t="shared" si="19"/>
        <v>#REF!</v>
      </c>
      <c r="K289" s="238"/>
    </row>
    <row r="290" spans="1:11" s="242" customFormat="1" ht="17">
      <c r="A290" s="245">
        <v>281</v>
      </c>
      <c r="B290" s="152" t="s">
        <v>128</v>
      </c>
      <c r="C290" s="237">
        <v>8410844717</v>
      </c>
      <c r="D290" s="238" t="e">
        <f>VLOOKUP(C290,#REF!,7,0)</f>
        <v>#REF!</v>
      </c>
      <c r="E290" s="192" t="e">
        <f>VLOOKUP(C290,#REF!,128,0)</f>
        <v>#REF!</v>
      </c>
      <c r="F290" s="192" t="e">
        <f>+VLOOKUP(C290,#REF!,150,0)</f>
        <v>#REF!</v>
      </c>
      <c r="G290" s="239" t="e">
        <f t="shared" si="18"/>
        <v>#REF!</v>
      </c>
      <c r="H290" s="240" t="e">
        <f t="shared" si="17"/>
        <v>#REF!</v>
      </c>
      <c r="I290" s="238">
        <v>0</v>
      </c>
      <c r="J290" s="241" t="e">
        <f t="shared" si="19"/>
        <v>#REF!</v>
      </c>
      <c r="K290" s="238"/>
    </row>
    <row r="291" spans="1:11" s="242" customFormat="1" ht="17">
      <c r="A291" s="245">
        <v>282</v>
      </c>
      <c r="B291" s="152" t="s">
        <v>280</v>
      </c>
      <c r="C291" s="237">
        <v>8332959468</v>
      </c>
      <c r="D291" s="238" t="e">
        <f>VLOOKUP(C291,#REF!,7,0)</f>
        <v>#REF!</v>
      </c>
      <c r="E291" s="192" t="e">
        <f>VLOOKUP(C291,#REF!,128,0)</f>
        <v>#REF!</v>
      </c>
      <c r="F291" s="192" t="e">
        <f>+VLOOKUP(C291,#REF!,150,0)</f>
        <v>#REF!</v>
      </c>
      <c r="G291" s="239" t="e">
        <f t="shared" si="18"/>
        <v>#REF!</v>
      </c>
      <c r="H291" s="240" t="e">
        <f t="shared" si="17"/>
        <v>#REF!</v>
      </c>
      <c r="I291" s="238">
        <v>0</v>
      </c>
      <c r="J291" s="241" t="e">
        <f t="shared" si="19"/>
        <v>#REF!</v>
      </c>
      <c r="K291" s="238"/>
    </row>
    <row r="292" spans="1:11" s="242" customFormat="1" ht="17">
      <c r="A292" s="245">
        <v>283</v>
      </c>
      <c r="B292" s="152" t="s">
        <v>277</v>
      </c>
      <c r="C292" s="237">
        <v>8308955617</v>
      </c>
      <c r="D292" s="238" t="e">
        <f>VLOOKUP(C292,#REF!,7,0)</f>
        <v>#REF!</v>
      </c>
      <c r="E292" s="192" t="e">
        <f>VLOOKUP(C292,#REF!,128,0)</f>
        <v>#REF!</v>
      </c>
      <c r="F292" s="192" t="e">
        <f>+VLOOKUP(C292,#REF!,150,0)</f>
        <v>#REF!</v>
      </c>
      <c r="G292" s="239" t="e">
        <f t="shared" si="18"/>
        <v>#REF!</v>
      </c>
      <c r="H292" s="240" t="e">
        <f t="shared" si="17"/>
        <v>#REF!</v>
      </c>
      <c r="I292" s="238">
        <v>0</v>
      </c>
      <c r="J292" s="241" t="e">
        <f t="shared" si="19"/>
        <v>#REF!</v>
      </c>
      <c r="K292" s="238"/>
    </row>
    <row r="293" spans="1:11" s="242" customFormat="1" ht="17">
      <c r="A293" s="245">
        <v>284</v>
      </c>
      <c r="B293" s="152" t="s">
        <v>340</v>
      </c>
      <c r="C293" s="237">
        <v>8532127072</v>
      </c>
      <c r="D293" s="238" t="e">
        <f>VLOOKUP(C293,#REF!,7,0)</f>
        <v>#REF!</v>
      </c>
      <c r="E293" s="192" t="e">
        <f>VLOOKUP(C293,#REF!,128,0)</f>
        <v>#REF!</v>
      </c>
      <c r="F293" s="192" t="e">
        <f>+VLOOKUP(C293,#REF!,150,0)</f>
        <v>#REF!</v>
      </c>
      <c r="G293" s="239" t="e">
        <f t="shared" si="18"/>
        <v>#REF!</v>
      </c>
      <c r="H293" s="240" t="e">
        <f t="shared" si="17"/>
        <v>#REF!</v>
      </c>
      <c r="I293" s="238">
        <v>0</v>
      </c>
      <c r="J293" s="241" t="e">
        <f t="shared" si="19"/>
        <v>#REF!</v>
      </c>
      <c r="K293" s="238"/>
    </row>
    <row r="294" spans="1:11" s="242" customFormat="1" ht="17">
      <c r="A294" s="245">
        <v>285</v>
      </c>
      <c r="B294" s="152" t="s">
        <v>451</v>
      </c>
      <c r="C294" s="237">
        <v>8197176161</v>
      </c>
      <c r="D294" s="238" t="e">
        <f>VLOOKUP(C294,#REF!,7,0)</f>
        <v>#REF!</v>
      </c>
      <c r="E294" s="192" t="e">
        <f>VLOOKUP(C294,#REF!,128,0)</f>
        <v>#REF!</v>
      </c>
      <c r="F294" s="192" t="e">
        <f>+VLOOKUP(C294,#REF!,150,0)</f>
        <v>#REF!</v>
      </c>
      <c r="G294" s="239" t="e">
        <f t="shared" si="18"/>
        <v>#REF!</v>
      </c>
      <c r="H294" s="240" t="e">
        <f t="shared" si="17"/>
        <v>#REF!</v>
      </c>
      <c r="I294" s="238">
        <v>0</v>
      </c>
      <c r="J294" s="241" t="e">
        <f t="shared" si="19"/>
        <v>#REF!</v>
      </c>
      <c r="K294" s="238"/>
    </row>
    <row r="295" spans="1:11" s="242" customFormat="1" ht="17">
      <c r="A295" s="245">
        <v>286</v>
      </c>
      <c r="B295" s="152" t="s">
        <v>452</v>
      </c>
      <c r="C295" s="237">
        <v>8771118110</v>
      </c>
      <c r="D295" s="238" t="e">
        <f>VLOOKUP(C295,#REF!,7,0)</f>
        <v>#REF!</v>
      </c>
      <c r="E295" s="192" t="e">
        <f>VLOOKUP(C295,#REF!,128,0)</f>
        <v>#REF!</v>
      </c>
      <c r="F295" s="192" t="e">
        <f>+VLOOKUP(C295,#REF!,150,0)</f>
        <v>#REF!</v>
      </c>
      <c r="G295" s="239" t="e">
        <f t="shared" si="18"/>
        <v>#REF!</v>
      </c>
      <c r="H295" s="240" t="e">
        <f t="shared" si="17"/>
        <v>#REF!</v>
      </c>
      <c r="I295" s="238">
        <v>0</v>
      </c>
      <c r="J295" s="241" t="e">
        <f t="shared" si="19"/>
        <v>#REF!</v>
      </c>
      <c r="K295" s="238"/>
    </row>
    <row r="296" spans="1:11" s="242" customFormat="1" ht="17">
      <c r="A296" s="245">
        <v>287</v>
      </c>
      <c r="B296" s="152" t="s">
        <v>453</v>
      </c>
      <c r="C296" s="237">
        <v>8091330198</v>
      </c>
      <c r="D296" s="238" t="e">
        <f>VLOOKUP(C296,#REF!,7,0)</f>
        <v>#REF!</v>
      </c>
      <c r="E296" s="192" t="e">
        <f>VLOOKUP(C296,#REF!,128,0)</f>
        <v>#REF!</v>
      </c>
      <c r="F296" s="192" t="e">
        <f>+VLOOKUP(C296,#REF!,150,0)</f>
        <v>#REF!</v>
      </c>
      <c r="G296" s="239" t="e">
        <f t="shared" si="18"/>
        <v>#REF!</v>
      </c>
      <c r="H296" s="240" t="e">
        <f t="shared" si="17"/>
        <v>#REF!</v>
      </c>
      <c r="I296" s="238">
        <v>0</v>
      </c>
      <c r="J296" s="241" t="e">
        <f t="shared" si="19"/>
        <v>#REF!</v>
      </c>
      <c r="K296" s="238"/>
    </row>
    <row r="297" spans="1:11" s="242" customFormat="1" ht="17">
      <c r="A297" s="245">
        <v>288</v>
      </c>
      <c r="B297" s="152" t="s">
        <v>80</v>
      </c>
      <c r="C297" s="237">
        <v>8652629998</v>
      </c>
      <c r="D297" s="238" t="e">
        <f>VLOOKUP(C297,#REF!,7,0)</f>
        <v>#REF!</v>
      </c>
      <c r="E297" s="192" t="e">
        <f>VLOOKUP(C297,#REF!,128,0)</f>
        <v>#REF!</v>
      </c>
      <c r="F297" s="192" t="e">
        <f>+VLOOKUP(C297,#REF!,150,0)</f>
        <v>#REF!</v>
      </c>
      <c r="G297" s="239" t="e">
        <f t="shared" si="18"/>
        <v>#REF!</v>
      </c>
      <c r="H297" s="240" t="e">
        <f t="shared" si="17"/>
        <v>#REF!</v>
      </c>
      <c r="I297" s="238">
        <v>0</v>
      </c>
      <c r="J297" s="241" t="e">
        <f t="shared" si="19"/>
        <v>#REF!</v>
      </c>
      <c r="K297" s="238"/>
    </row>
    <row r="298" spans="1:11" s="242" customFormat="1" ht="17">
      <c r="A298" s="245">
        <v>289</v>
      </c>
      <c r="B298" s="152" t="s">
        <v>424</v>
      </c>
      <c r="C298" s="237">
        <v>8729341274</v>
      </c>
      <c r="D298" s="238" t="e">
        <f>VLOOKUP(C298,#REF!,7,0)</f>
        <v>#REF!</v>
      </c>
      <c r="E298" s="192" t="e">
        <f>VLOOKUP(C298,#REF!,128,0)</f>
        <v>#REF!</v>
      </c>
      <c r="F298" s="192" t="e">
        <f>+VLOOKUP(C298,#REF!,150,0)</f>
        <v>#REF!</v>
      </c>
      <c r="G298" s="239" t="e">
        <f t="shared" si="18"/>
        <v>#REF!</v>
      </c>
      <c r="H298" s="240" t="e">
        <f t="shared" si="17"/>
        <v>#REF!</v>
      </c>
      <c r="I298" s="238">
        <v>0</v>
      </c>
      <c r="J298" s="241" t="e">
        <f t="shared" si="19"/>
        <v>#REF!</v>
      </c>
      <c r="K298" s="238"/>
    </row>
    <row r="299" spans="1:11" s="242" customFormat="1" ht="17">
      <c r="A299" s="245">
        <v>290</v>
      </c>
      <c r="B299" s="152" t="s">
        <v>207</v>
      </c>
      <c r="C299" s="237">
        <v>8395702916</v>
      </c>
      <c r="D299" s="238" t="e">
        <f>VLOOKUP(C299,#REF!,7,0)</f>
        <v>#REF!</v>
      </c>
      <c r="E299" s="192" t="e">
        <f>VLOOKUP(C299,#REF!,128,0)</f>
        <v>#REF!</v>
      </c>
      <c r="F299" s="192" t="e">
        <f>+VLOOKUP(C299,#REF!,150,0)</f>
        <v>#REF!</v>
      </c>
      <c r="G299" s="239" t="e">
        <f t="shared" si="18"/>
        <v>#REF!</v>
      </c>
      <c r="H299" s="240" t="e">
        <f t="shared" si="17"/>
        <v>#REF!</v>
      </c>
      <c r="I299" s="238">
        <v>0</v>
      </c>
      <c r="J299" s="241" t="e">
        <f t="shared" si="19"/>
        <v>#REF!</v>
      </c>
      <c r="K299" s="238"/>
    </row>
    <row r="300" spans="1:11" s="242" customFormat="1" ht="17">
      <c r="A300" s="245">
        <v>291</v>
      </c>
      <c r="B300" s="152" t="s">
        <v>282</v>
      </c>
      <c r="C300" s="237">
        <v>8420061987</v>
      </c>
      <c r="D300" s="238" t="e">
        <f>VLOOKUP(C300,#REF!,7,0)</f>
        <v>#REF!</v>
      </c>
      <c r="E300" s="192" t="e">
        <f>VLOOKUP(C300,#REF!,128,0)</f>
        <v>#REF!</v>
      </c>
      <c r="F300" s="192" t="e">
        <f>+VLOOKUP(C300,#REF!,150,0)</f>
        <v>#REF!</v>
      </c>
      <c r="G300" s="239" t="e">
        <f t="shared" si="18"/>
        <v>#REF!</v>
      </c>
      <c r="H300" s="240" t="e">
        <f t="shared" si="17"/>
        <v>#REF!</v>
      </c>
      <c r="I300" s="238">
        <v>0</v>
      </c>
      <c r="J300" s="241" t="e">
        <f t="shared" si="19"/>
        <v>#REF!</v>
      </c>
      <c r="K300" s="238"/>
    </row>
    <row r="301" spans="1:11" s="242" customFormat="1" ht="17">
      <c r="A301" s="245">
        <v>292</v>
      </c>
      <c r="B301" s="152" t="s">
        <v>330</v>
      </c>
      <c r="C301" s="237">
        <v>8083817485</v>
      </c>
      <c r="D301" s="238" t="e">
        <f>VLOOKUP(C301,#REF!,7,0)</f>
        <v>#REF!</v>
      </c>
      <c r="E301" s="192" t="e">
        <f>VLOOKUP(C301,#REF!,128,0)</f>
        <v>#REF!</v>
      </c>
      <c r="F301" s="192" t="e">
        <f>+VLOOKUP(C301,#REF!,150,0)</f>
        <v>#REF!</v>
      </c>
      <c r="G301" s="239" t="e">
        <f t="shared" si="18"/>
        <v>#REF!</v>
      </c>
      <c r="H301" s="240" t="e">
        <f t="shared" si="17"/>
        <v>#REF!</v>
      </c>
      <c r="I301" s="238">
        <v>0</v>
      </c>
      <c r="J301" s="241" t="e">
        <f t="shared" si="19"/>
        <v>#REF!</v>
      </c>
      <c r="K301" s="238"/>
    </row>
    <row r="302" spans="1:11" s="242" customFormat="1" ht="17">
      <c r="A302" s="245">
        <v>293</v>
      </c>
      <c r="B302" s="152" t="s">
        <v>425</v>
      </c>
      <c r="C302" s="237">
        <v>8216287430</v>
      </c>
      <c r="D302" s="238" t="e">
        <f>VLOOKUP(C302,#REF!,7,0)</f>
        <v>#REF!</v>
      </c>
      <c r="E302" s="192" t="e">
        <f>VLOOKUP(C302,#REF!,128,0)</f>
        <v>#REF!</v>
      </c>
      <c r="F302" s="192" t="e">
        <f>+VLOOKUP(C302,#REF!,150,0)</f>
        <v>#REF!</v>
      </c>
      <c r="G302" s="239" t="e">
        <f t="shared" si="18"/>
        <v>#REF!</v>
      </c>
      <c r="H302" s="240" t="e">
        <f t="shared" si="17"/>
        <v>#REF!</v>
      </c>
      <c r="I302" s="238">
        <v>0</v>
      </c>
      <c r="J302" s="241" t="e">
        <f t="shared" si="19"/>
        <v>#REF!</v>
      </c>
      <c r="K302" s="238"/>
    </row>
    <row r="303" spans="1:11" s="242" customFormat="1" ht="17">
      <c r="A303" s="245">
        <v>294</v>
      </c>
      <c r="B303" s="152" t="s">
        <v>457</v>
      </c>
      <c r="C303" s="237">
        <v>8639390453</v>
      </c>
      <c r="D303" s="238" t="e">
        <f>VLOOKUP(C303,#REF!,7,0)</f>
        <v>#REF!</v>
      </c>
      <c r="E303" s="192" t="e">
        <f>VLOOKUP(C303,#REF!,128,0)</f>
        <v>#REF!</v>
      </c>
      <c r="F303" s="192" t="e">
        <f>+VLOOKUP(C303,#REF!,150,0)</f>
        <v>#REF!</v>
      </c>
      <c r="G303" s="239" t="e">
        <f t="shared" si="18"/>
        <v>#REF!</v>
      </c>
      <c r="H303" s="240" t="e">
        <f t="shared" si="17"/>
        <v>#REF!</v>
      </c>
      <c r="I303" s="238">
        <v>0</v>
      </c>
      <c r="J303" s="241" t="e">
        <f t="shared" si="19"/>
        <v>#REF!</v>
      </c>
      <c r="K303" s="238"/>
    </row>
    <row r="304" spans="1:11" s="242" customFormat="1" ht="17">
      <c r="A304" s="245">
        <v>295</v>
      </c>
      <c r="B304" s="152" t="s">
        <v>136</v>
      </c>
      <c r="C304" s="237">
        <v>8642024400</v>
      </c>
      <c r="D304" s="238" t="e">
        <f>VLOOKUP(C304,#REF!,7,0)</f>
        <v>#REF!</v>
      </c>
      <c r="E304" s="192" t="e">
        <f>VLOOKUP(C304,#REF!,128,0)</f>
        <v>#REF!</v>
      </c>
      <c r="F304" s="192" t="e">
        <f>+VLOOKUP(C304,#REF!,150,0)</f>
        <v>#REF!</v>
      </c>
      <c r="G304" s="239" t="e">
        <f t="shared" si="18"/>
        <v>#REF!</v>
      </c>
      <c r="H304" s="240" t="e">
        <f t="shared" si="17"/>
        <v>#REF!</v>
      </c>
      <c r="I304" s="238">
        <v>0</v>
      </c>
      <c r="J304" s="241" t="e">
        <f t="shared" si="19"/>
        <v>#REF!</v>
      </c>
      <c r="K304" s="238"/>
    </row>
    <row r="305" spans="1:11" s="242" customFormat="1" ht="17">
      <c r="A305" s="245">
        <v>296</v>
      </c>
      <c r="B305" s="152" t="s">
        <v>138</v>
      </c>
      <c r="C305" s="237">
        <v>8183412450</v>
      </c>
      <c r="D305" s="238" t="e">
        <f>VLOOKUP(C305,#REF!,7,0)</f>
        <v>#REF!</v>
      </c>
      <c r="E305" s="192" t="e">
        <f>VLOOKUP(C305,#REF!,128,0)</f>
        <v>#REF!</v>
      </c>
      <c r="F305" s="192" t="e">
        <f>+VLOOKUP(C305,#REF!,150,0)</f>
        <v>#REF!</v>
      </c>
      <c r="G305" s="239" t="e">
        <f t="shared" si="18"/>
        <v>#REF!</v>
      </c>
      <c r="H305" s="240" t="e">
        <f t="shared" si="17"/>
        <v>#REF!</v>
      </c>
      <c r="I305" s="238">
        <v>0</v>
      </c>
      <c r="J305" s="241" t="e">
        <f t="shared" si="19"/>
        <v>#REF!</v>
      </c>
      <c r="K305" s="238"/>
    </row>
    <row r="306" spans="1:11" s="242" customFormat="1" ht="17">
      <c r="A306" s="245">
        <v>297</v>
      </c>
      <c r="B306" s="152" t="s">
        <v>142</v>
      </c>
      <c r="C306" s="237">
        <v>8085728294</v>
      </c>
      <c r="D306" s="238" t="e">
        <f>VLOOKUP(C306,#REF!,7,0)</f>
        <v>#REF!</v>
      </c>
      <c r="E306" s="192" t="e">
        <f>VLOOKUP(C306,#REF!,128,0)</f>
        <v>#REF!</v>
      </c>
      <c r="F306" s="192" t="e">
        <f>+VLOOKUP(C306,#REF!,150,0)</f>
        <v>#REF!</v>
      </c>
      <c r="G306" s="239" t="e">
        <f t="shared" si="18"/>
        <v>#REF!</v>
      </c>
      <c r="H306" s="240" t="e">
        <f t="shared" si="17"/>
        <v>#REF!</v>
      </c>
      <c r="I306" s="238">
        <v>0</v>
      </c>
      <c r="J306" s="241" t="e">
        <f t="shared" si="19"/>
        <v>#REF!</v>
      </c>
      <c r="K306" s="238"/>
    </row>
    <row r="307" spans="1:11" s="242" customFormat="1" ht="17">
      <c r="A307" s="245">
        <v>298</v>
      </c>
      <c r="B307" s="152" t="s">
        <v>283</v>
      </c>
      <c r="C307" s="237" t="s">
        <v>284</v>
      </c>
      <c r="D307" s="238" t="e">
        <f>VLOOKUP(C307,#REF!,7,0)</f>
        <v>#REF!</v>
      </c>
      <c r="E307" s="192" t="e">
        <f>VLOOKUP(C307,#REF!,128,0)</f>
        <v>#REF!</v>
      </c>
      <c r="F307" s="192" t="e">
        <f>+VLOOKUP(C307,#REF!,150,0)</f>
        <v>#REF!</v>
      </c>
      <c r="G307" s="239" t="e">
        <f t="shared" si="18"/>
        <v>#REF!</v>
      </c>
      <c r="H307" s="240" t="e">
        <f t="shared" si="17"/>
        <v>#REF!</v>
      </c>
      <c r="I307" s="238">
        <v>0</v>
      </c>
      <c r="J307" s="241" t="e">
        <f t="shared" si="19"/>
        <v>#REF!</v>
      </c>
      <c r="K307" s="238"/>
    </row>
    <row r="308" spans="1:11" s="242" customFormat="1" ht="17">
      <c r="A308" s="245">
        <v>299</v>
      </c>
      <c r="B308" s="152" t="s">
        <v>308</v>
      </c>
      <c r="C308" s="237">
        <v>8116196941</v>
      </c>
      <c r="D308" s="238" t="e">
        <f>VLOOKUP(C308,#REF!,7,0)</f>
        <v>#REF!</v>
      </c>
      <c r="E308" s="192" t="e">
        <f>VLOOKUP(C308,#REF!,128,0)</f>
        <v>#REF!</v>
      </c>
      <c r="F308" s="192" t="e">
        <f>+VLOOKUP(C308,#REF!,150,0)</f>
        <v>#REF!</v>
      </c>
      <c r="G308" s="239" t="e">
        <f t="shared" si="18"/>
        <v>#REF!</v>
      </c>
      <c r="H308" s="240" t="e">
        <f t="shared" si="17"/>
        <v>#REF!</v>
      </c>
      <c r="I308" s="238">
        <v>0</v>
      </c>
      <c r="J308" s="241" t="e">
        <f t="shared" si="19"/>
        <v>#REF!</v>
      </c>
      <c r="K308" s="238"/>
    </row>
    <row r="309" spans="1:11" s="249" customFormat="1" ht="17">
      <c r="A309" s="245">
        <v>300</v>
      </c>
      <c r="B309" s="163" t="s">
        <v>412</v>
      </c>
      <c r="C309" s="252">
        <v>8099390791</v>
      </c>
      <c r="D309" s="238" t="e">
        <f>VLOOKUP(C309,#REF!,7,0)</f>
        <v>#REF!</v>
      </c>
      <c r="E309" s="192" t="e">
        <f>VLOOKUP(C309,#REF!,128,0)</f>
        <v>#REF!</v>
      </c>
      <c r="F309" s="192" t="e">
        <f>+VLOOKUP(C309,#REF!,150,0)</f>
        <v>#REF!</v>
      </c>
      <c r="G309" s="239" t="e">
        <f t="shared" si="18"/>
        <v>#REF!</v>
      </c>
      <c r="H309" s="247" t="e">
        <f t="shared" si="17"/>
        <v>#REF!</v>
      </c>
      <c r="I309" s="248">
        <v>0</v>
      </c>
      <c r="J309" s="253" t="e">
        <f t="shared" si="19"/>
        <v>#REF!</v>
      </c>
      <c r="K309" s="248"/>
    </row>
    <row r="310" spans="1:11" s="242" customFormat="1" ht="17">
      <c r="A310" s="245">
        <v>301</v>
      </c>
      <c r="B310" s="152" t="s">
        <v>413</v>
      </c>
      <c r="C310" s="237">
        <v>8930055130</v>
      </c>
      <c r="D310" s="238" t="e">
        <f>VLOOKUP(C310,#REF!,7,0)</f>
        <v>#REF!</v>
      </c>
      <c r="E310" s="192" t="e">
        <f>VLOOKUP(C310,#REF!,128,0)</f>
        <v>#REF!</v>
      </c>
      <c r="F310" s="192" t="e">
        <f>+VLOOKUP(C310,#REF!,150,0)</f>
        <v>#REF!</v>
      </c>
      <c r="G310" s="239" t="e">
        <f t="shared" si="18"/>
        <v>#REF!</v>
      </c>
      <c r="H310" s="240" t="e">
        <f t="shared" si="17"/>
        <v>#REF!</v>
      </c>
      <c r="I310" s="238">
        <v>0</v>
      </c>
      <c r="J310" s="241" t="e">
        <f t="shared" si="19"/>
        <v>#REF!</v>
      </c>
      <c r="K310" s="238"/>
    </row>
    <row r="311" spans="1:11" s="242" customFormat="1" ht="17">
      <c r="A311" s="245">
        <v>302</v>
      </c>
      <c r="B311" s="152" t="s">
        <v>432</v>
      </c>
      <c r="C311" s="237">
        <v>8934845524</v>
      </c>
      <c r="D311" s="238" t="e">
        <f>VLOOKUP(C311,#REF!,7,0)</f>
        <v>#REF!</v>
      </c>
      <c r="E311" s="192" t="e">
        <f>VLOOKUP(C311,#REF!,128,0)</f>
        <v>#REF!</v>
      </c>
      <c r="F311" s="192" t="e">
        <f>+VLOOKUP(C311,#REF!,150,0)</f>
        <v>#REF!</v>
      </c>
      <c r="G311" s="239" t="e">
        <f t="shared" si="18"/>
        <v>#REF!</v>
      </c>
      <c r="H311" s="240" t="e">
        <f t="shared" si="17"/>
        <v>#REF!</v>
      </c>
      <c r="I311" s="238">
        <v>0</v>
      </c>
      <c r="J311" s="241" t="e">
        <f t="shared" si="19"/>
        <v>#REF!</v>
      </c>
      <c r="K311" s="238"/>
    </row>
    <row r="312" spans="1:11" s="242" customFormat="1" ht="17">
      <c r="A312" s="245">
        <v>303</v>
      </c>
      <c r="B312" s="152" t="s">
        <v>694</v>
      </c>
      <c r="C312" s="237" t="s">
        <v>732</v>
      </c>
      <c r="D312" s="238" t="e">
        <f>VLOOKUP(C312,#REF!,7,0)</f>
        <v>#REF!</v>
      </c>
      <c r="E312" s="192" t="e">
        <f>VLOOKUP(C312,#REF!,128,0)</f>
        <v>#REF!</v>
      </c>
      <c r="F312" s="192" t="e">
        <f>+VLOOKUP(C312,#REF!,150,0)</f>
        <v>#REF!</v>
      </c>
      <c r="G312" s="239" t="e">
        <f t="shared" si="18"/>
        <v>#REF!</v>
      </c>
      <c r="H312" s="240" t="e">
        <f t="shared" si="17"/>
        <v>#REF!</v>
      </c>
      <c r="I312" s="238" t="e">
        <v>#N/A</v>
      </c>
      <c r="J312" s="241" t="e">
        <f t="shared" si="19"/>
        <v>#REF!</v>
      </c>
      <c r="K312" s="238"/>
    </row>
    <row r="313" spans="1:11" s="242" customFormat="1" ht="17">
      <c r="A313" s="245">
        <v>304</v>
      </c>
      <c r="B313" s="152" t="s">
        <v>146</v>
      </c>
      <c r="C313" s="237">
        <v>8106653010</v>
      </c>
      <c r="D313" s="238" t="e">
        <f>VLOOKUP(C313,#REF!,7,0)</f>
        <v>#REF!</v>
      </c>
      <c r="E313" s="192" t="e">
        <f>VLOOKUP(C313,#REF!,128,0)</f>
        <v>#REF!</v>
      </c>
      <c r="F313" s="192" t="e">
        <f>+VLOOKUP(C313,#REF!,150,0)</f>
        <v>#REF!</v>
      </c>
      <c r="G313" s="239" t="e">
        <f t="shared" si="18"/>
        <v>#REF!</v>
      </c>
      <c r="H313" s="240" t="e">
        <f t="shared" si="17"/>
        <v>#REF!</v>
      </c>
      <c r="I313" s="238">
        <v>0</v>
      </c>
      <c r="J313" s="241" t="e">
        <f t="shared" si="19"/>
        <v>#REF!</v>
      </c>
      <c r="K313" s="238"/>
    </row>
    <row r="314" spans="1:11" s="242" customFormat="1" ht="17">
      <c r="A314" s="245">
        <v>305</v>
      </c>
      <c r="B314" s="251" t="s">
        <v>261</v>
      </c>
      <c r="C314" s="237" t="s">
        <v>262</v>
      </c>
      <c r="D314" s="238" t="e">
        <f>VLOOKUP(C314,#REF!,7,0)</f>
        <v>#REF!</v>
      </c>
      <c r="E314" s="192" t="e">
        <f>VLOOKUP(C314,#REF!,128,0)</f>
        <v>#REF!</v>
      </c>
      <c r="F314" s="192" t="e">
        <f>+VLOOKUP(C314,#REF!,150,0)</f>
        <v>#REF!</v>
      </c>
      <c r="G314" s="239" t="e">
        <f t="shared" si="18"/>
        <v>#REF!</v>
      </c>
      <c r="H314" s="240" t="e">
        <f t="shared" si="17"/>
        <v>#REF!</v>
      </c>
      <c r="I314" s="238">
        <v>0</v>
      </c>
      <c r="J314" s="241" t="e">
        <f t="shared" si="19"/>
        <v>#REF!</v>
      </c>
      <c r="K314" s="238"/>
    </row>
    <row r="315" spans="1:11" s="242" customFormat="1" ht="17">
      <c r="A315" s="245">
        <v>306</v>
      </c>
      <c r="B315" s="251" t="s">
        <v>148</v>
      </c>
      <c r="C315" s="237">
        <v>8463342083</v>
      </c>
      <c r="D315" s="238" t="e">
        <f>VLOOKUP(C315,#REF!,7,0)</f>
        <v>#REF!</v>
      </c>
      <c r="E315" s="192" t="e">
        <f>VLOOKUP(C315,#REF!,128,0)</f>
        <v>#REF!</v>
      </c>
      <c r="F315" s="192" t="e">
        <f>+VLOOKUP(C315,#REF!,150,0)</f>
        <v>#REF!</v>
      </c>
      <c r="G315" s="239" t="e">
        <f t="shared" si="18"/>
        <v>#REF!</v>
      </c>
      <c r="H315" s="240" t="e">
        <f t="shared" si="17"/>
        <v>#REF!</v>
      </c>
      <c r="I315" s="238">
        <v>0</v>
      </c>
      <c r="J315" s="241" t="e">
        <f t="shared" si="19"/>
        <v>#REF!</v>
      </c>
      <c r="K315" s="238"/>
    </row>
    <row r="316" spans="1:11" s="242" customFormat="1" ht="17">
      <c r="A316" s="245">
        <v>307</v>
      </c>
      <c r="B316" s="152" t="s">
        <v>147</v>
      </c>
      <c r="C316" s="237">
        <v>8817112033</v>
      </c>
      <c r="D316" s="238" t="e">
        <f>VLOOKUP(C316,#REF!,7,0)</f>
        <v>#REF!</v>
      </c>
      <c r="E316" s="192" t="e">
        <f>VLOOKUP(C316,#REF!,128,0)</f>
        <v>#REF!</v>
      </c>
      <c r="F316" s="192" t="e">
        <f>+VLOOKUP(C316,#REF!,150,0)</f>
        <v>#REF!</v>
      </c>
      <c r="G316" s="239" t="e">
        <f t="shared" si="18"/>
        <v>#REF!</v>
      </c>
      <c r="H316" s="240" t="e">
        <f t="shared" si="17"/>
        <v>#REF!</v>
      </c>
      <c r="I316" s="238">
        <v>0</v>
      </c>
      <c r="J316" s="241" t="e">
        <f t="shared" si="19"/>
        <v>#REF!</v>
      </c>
      <c r="K316" s="238"/>
    </row>
    <row r="317" spans="1:11" s="242" customFormat="1" ht="17">
      <c r="A317" s="245">
        <v>308</v>
      </c>
      <c r="B317" s="152" t="s">
        <v>173</v>
      </c>
      <c r="C317" s="237">
        <v>8174679680</v>
      </c>
      <c r="D317" s="238" t="e">
        <f>VLOOKUP(C317,#REF!,7,0)</f>
        <v>#REF!</v>
      </c>
      <c r="E317" s="192" t="e">
        <f>VLOOKUP(C317,#REF!,128,0)</f>
        <v>#REF!</v>
      </c>
      <c r="F317" s="192" t="e">
        <f>+VLOOKUP(C317,#REF!,150,0)</f>
        <v>#REF!</v>
      </c>
      <c r="G317" s="239" t="e">
        <f t="shared" si="18"/>
        <v>#REF!</v>
      </c>
      <c r="H317" s="240" t="e">
        <f t="shared" si="17"/>
        <v>#REF!</v>
      </c>
      <c r="I317" s="238">
        <v>0</v>
      </c>
      <c r="J317" s="241" t="e">
        <f t="shared" si="19"/>
        <v>#REF!</v>
      </c>
      <c r="K317" s="238"/>
    </row>
    <row r="318" spans="1:11" s="242" customFormat="1" ht="17">
      <c r="A318" s="245">
        <v>309</v>
      </c>
      <c r="B318" s="152" t="s">
        <v>150</v>
      </c>
      <c r="C318" s="237">
        <v>8256402337</v>
      </c>
      <c r="D318" s="238" t="e">
        <f>VLOOKUP(C318,#REF!,7,0)</f>
        <v>#REF!</v>
      </c>
      <c r="E318" s="192" t="e">
        <f>VLOOKUP(C318,#REF!,128,0)</f>
        <v>#REF!</v>
      </c>
      <c r="F318" s="192" t="e">
        <f>+VLOOKUP(C318,#REF!,150,0)</f>
        <v>#REF!</v>
      </c>
      <c r="G318" s="239" t="e">
        <f t="shared" si="18"/>
        <v>#REF!</v>
      </c>
      <c r="H318" s="240" t="e">
        <f t="shared" si="17"/>
        <v>#REF!</v>
      </c>
      <c r="I318" s="238">
        <v>0</v>
      </c>
      <c r="J318" s="241" t="e">
        <f t="shared" si="19"/>
        <v>#REF!</v>
      </c>
      <c r="K318" s="238"/>
    </row>
    <row r="319" spans="1:11" s="242" customFormat="1" ht="17">
      <c r="A319" s="245">
        <v>310</v>
      </c>
      <c r="B319" s="152" t="s">
        <v>153</v>
      </c>
      <c r="C319" s="237">
        <v>8825806211</v>
      </c>
      <c r="D319" s="238" t="e">
        <f>VLOOKUP(C319,#REF!,7,0)</f>
        <v>#REF!</v>
      </c>
      <c r="E319" s="192" t="e">
        <f>VLOOKUP(C319,#REF!,128,0)</f>
        <v>#REF!</v>
      </c>
      <c r="F319" s="192" t="e">
        <f>+VLOOKUP(C319,#REF!,150,0)</f>
        <v>#REF!</v>
      </c>
      <c r="G319" s="239" t="e">
        <f t="shared" si="18"/>
        <v>#REF!</v>
      </c>
      <c r="H319" s="240" t="e">
        <f t="shared" ref="H319:H342" si="20">+ROUND(G319*50,0)</f>
        <v>#REF!</v>
      </c>
      <c r="I319" s="238">
        <v>0</v>
      </c>
      <c r="J319" s="241" t="e">
        <f t="shared" si="19"/>
        <v>#REF!</v>
      </c>
      <c r="K319" s="238"/>
    </row>
    <row r="320" spans="1:11" s="242" customFormat="1" ht="17">
      <c r="A320" s="245">
        <v>311</v>
      </c>
      <c r="B320" s="152" t="s">
        <v>152</v>
      </c>
      <c r="C320" s="237">
        <v>8566382176</v>
      </c>
      <c r="D320" s="238" t="e">
        <f>VLOOKUP(C320,#REF!,7,0)</f>
        <v>#REF!</v>
      </c>
      <c r="E320" s="192" t="e">
        <f>VLOOKUP(C320,#REF!,128,0)</f>
        <v>#REF!</v>
      </c>
      <c r="F320" s="192" t="e">
        <f>+VLOOKUP(C320,#REF!,150,0)</f>
        <v>#REF!</v>
      </c>
      <c r="G320" s="239" t="e">
        <f t="shared" ref="G320:G345" si="21">+F320/E320</f>
        <v>#REF!</v>
      </c>
      <c r="H320" s="240" t="e">
        <f t="shared" si="20"/>
        <v>#REF!</v>
      </c>
      <c r="I320" s="238">
        <v>0</v>
      </c>
      <c r="J320" s="241" t="e">
        <f t="shared" si="19"/>
        <v>#REF!</v>
      </c>
      <c r="K320" s="238"/>
    </row>
    <row r="321" spans="1:11" s="242" customFormat="1" ht="17">
      <c r="A321" s="245">
        <v>312</v>
      </c>
      <c r="B321" s="152" t="s">
        <v>211</v>
      </c>
      <c r="C321" s="237" t="s">
        <v>226</v>
      </c>
      <c r="D321" s="238" t="e">
        <f>VLOOKUP(C321,#REF!,7,0)</f>
        <v>#REF!</v>
      </c>
      <c r="E321" s="192" t="e">
        <f>VLOOKUP(C321,#REF!,128,0)</f>
        <v>#REF!</v>
      </c>
      <c r="F321" s="192" t="e">
        <f>+VLOOKUP(C321,#REF!,150,0)</f>
        <v>#REF!</v>
      </c>
      <c r="G321" s="239" t="e">
        <f t="shared" si="21"/>
        <v>#REF!</v>
      </c>
      <c r="H321" s="240" t="e">
        <f t="shared" si="20"/>
        <v>#REF!</v>
      </c>
      <c r="I321" s="238">
        <v>0</v>
      </c>
      <c r="J321" s="241" t="e">
        <f t="shared" si="19"/>
        <v>#REF!</v>
      </c>
      <c r="K321" s="238"/>
    </row>
    <row r="322" spans="1:11" s="242" customFormat="1" ht="17">
      <c r="A322" s="245">
        <v>313</v>
      </c>
      <c r="B322" s="152" t="s">
        <v>154</v>
      </c>
      <c r="C322" s="237">
        <v>8178125563</v>
      </c>
      <c r="D322" s="238" t="e">
        <f>VLOOKUP(C322,#REF!,7,0)</f>
        <v>#REF!</v>
      </c>
      <c r="E322" s="192" t="e">
        <f>VLOOKUP(C322,#REF!,128,0)</f>
        <v>#REF!</v>
      </c>
      <c r="F322" s="192" t="e">
        <f>+VLOOKUP(C322,#REF!,150,0)</f>
        <v>#REF!</v>
      </c>
      <c r="G322" s="239" t="e">
        <f t="shared" si="21"/>
        <v>#REF!</v>
      </c>
      <c r="H322" s="240" t="e">
        <f t="shared" si="20"/>
        <v>#REF!</v>
      </c>
      <c r="I322" s="238">
        <v>0</v>
      </c>
      <c r="J322" s="241" t="e">
        <f t="shared" si="19"/>
        <v>#REF!</v>
      </c>
      <c r="K322" s="238"/>
    </row>
    <row r="323" spans="1:11" s="242" customFormat="1" ht="17">
      <c r="A323" s="245">
        <v>314</v>
      </c>
      <c r="B323" s="152" t="s">
        <v>220</v>
      </c>
      <c r="C323" s="237">
        <v>8406235141</v>
      </c>
      <c r="D323" s="238" t="e">
        <f>VLOOKUP(C323,#REF!,7,0)</f>
        <v>#REF!</v>
      </c>
      <c r="E323" s="192" t="e">
        <f>VLOOKUP(C323,#REF!,128,0)</f>
        <v>#REF!</v>
      </c>
      <c r="F323" s="192" t="e">
        <f>+VLOOKUP(C323,#REF!,150,0)</f>
        <v>#REF!</v>
      </c>
      <c r="G323" s="239" t="e">
        <f t="shared" si="21"/>
        <v>#REF!</v>
      </c>
      <c r="H323" s="240" t="e">
        <f t="shared" si="20"/>
        <v>#REF!</v>
      </c>
      <c r="I323" s="238">
        <v>0</v>
      </c>
      <c r="J323" s="241" t="e">
        <f t="shared" si="19"/>
        <v>#REF!</v>
      </c>
      <c r="K323" s="238"/>
    </row>
    <row r="324" spans="1:11" s="242" customFormat="1" ht="17">
      <c r="A324" s="245">
        <v>315</v>
      </c>
      <c r="B324" s="152" t="s">
        <v>221</v>
      </c>
      <c r="C324" s="237">
        <v>8639101542</v>
      </c>
      <c r="D324" s="238" t="e">
        <f>VLOOKUP(C324,#REF!,7,0)</f>
        <v>#REF!</v>
      </c>
      <c r="E324" s="192" t="e">
        <f>VLOOKUP(C324,#REF!,128,0)</f>
        <v>#REF!</v>
      </c>
      <c r="F324" s="192" t="e">
        <f>+VLOOKUP(C324,#REF!,150,0)</f>
        <v>#REF!</v>
      </c>
      <c r="G324" s="239" t="e">
        <f t="shared" si="21"/>
        <v>#REF!</v>
      </c>
      <c r="H324" s="240" t="e">
        <f t="shared" si="20"/>
        <v>#REF!</v>
      </c>
      <c r="I324" s="238">
        <v>0</v>
      </c>
      <c r="J324" s="241" t="e">
        <f t="shared" si="19"/>
        <v>#REF!</v>
      </c>
      <c r="K324" s="238"/>
    </row>
    <row r="325" spans="1:11" s="242" customFormat="1" ht="17">
      <c r="A325" s="245">
        <v>316</v>
      </c>
      <c r="B325" s="152" t="s">
        <v>222</v>
      </c>
      <c r="C325" s="237">
        <v>8332845703</v>
      </c>
      <c r="D325" s="238" t="e">
        <f>VLOOKUP(C325,#REF!,7,0)</f>
        <v>#REF!</v>
      </c>
      <c r="E325" s="192" t="e">
        <f>VLOOKUP(C325,#REF!,128,0)</f>
        <v>#REF!</v>
      </c>
      <c r="F325" s="192" t="e">
        <f>+VLOOKUP(C325,#REF!,150,0)</f>
        <v>#REF!</v>
      </c>
      <c r="G325" s="239" t="e">
        <f t="shared" si="21"/>
        <v>#REF!</v>
      </c>
      <c r="H325" s="240" t="e">
        <f t="shared" si="20"/>
        <v>#REF!</v>
      </c>
      <c r="I325" s="238">
        <v>0</v>
      </c>
      <c r="J325" s="241" t="e">
        <f t="shared" si="19"/>
        <v>#REF!</v>
      </c>
      <c r="K325" s="238"/>
    </row>
    <row r="326" spans="1:11" s="242" customFormat="1" ht="17">
      <c r="A326" s="245">
        <v>317</v>
      </c>
      <c r="B326" s="152" t="s">
        <v>223</v>
      </c>
      <c r="C326" s="237">
        <v>8034586323</v>
      </c>
      <c r="D326" s="238" t="e">
        <f>VLOOKUP(C326,#REF!,7,0)</f>
        <v>#REF!</v>
      </c>
      <c r="E326" s="192" t="e">
        <f>VLOOKUP(C326,#REF!,128,0)</f>
        <v>#REF!</v>
      </c>
      <c r="F326" s="192" t="e">
        <f>+VLOOKUP(C326,#REF!,150,0)</f>
        <v>#REF!</v>
      </c>
      <c r="G326" s="239" t="e">
        <f t="shared" si="21"/>
        <v>#REF!</v>
      </c>
      <c r="H326" s="240" t="e">
        <f t="shared" si="20"/>
        <v>#REF!</v>
      </c>
      <c r="I326" s="238">
        <v>0</v>
      </c>
      <c r="J326" s="241" t="e">
        <f t="shared" si="19"/>
        <v>#REF!</v>
      </c>
      <c r="K326" s="238"/>
    </row>
    <row r="327" spans="1:11" s="242" customFormat="1" ht="17">
      <c r="A327" s="245">
        <v>318</v>
      </c>
      <c r="B327" s="152" t="s">
        <v>149</v>
      </c>
      <c r="C327" s="237">
        <v>8367721265</v>
      </c>
      <c r="D327" s="238" t="e">
        <f>VLOOKUP(C327,#REF!,7,0)</f>
        <v>#REF!</v>
      </c>
      <c r="E327" s="192" t="e">
        <f>VLOOKUP(C327,#REF!,128,0)</f>
        <v>#REF!</v>
      </c>
      <c r="F327" s="192" t="e">
        <f>+VLOOKUP(C327,#REF!,150,0)</f>
        <v>#REF!</v>
      </c>
      <c r="G327" s="239" t="e">
        <f t="shared" si="21"/>
        <v>#REF!</v>
      </c>
      <c r="H327" s="240" t="e">
        <f t="shared" si="20"/>
        <v>#REF!</v>
      </c>
      <c r="I327" s="238">
        <v>0</v>
      </c>
      <c r="J327" s="241" t="e">
        <f t="shared" si="19"/>
        <v>#REF!</v>
      </c>
      <c r="K327" s="238"/>
    </row>
    <row r="328" spans="1:11" s="242" customFormat="1" ht="17">
      <c r="A328" s="245">
        <v>319</v>
      </c>
      <c r="B328" s="152" t="s">
        <v>217</v>
      </c>
      <c r="C328" s="237">
        <v>8465366442</v>
      </c>
      <c r="D328" s="238" t="e">
        <f>VLOOKUP(C328,#REF!,7,0)</f>
        <v>#REF!</v>
      </c>
      <c r="E328" s="192" t="e">
        <f>VLOOKUP(C328,#REF!,128,0)</f>
        <v>#REF!</v>
      </c>
      <c r="F328" s="192" t="e">
        <f>+VLOOKUP(C328,#REF!,150,0)</f>
        <v>#REF!</v>
      </c>
      <c r="G328" s="239" t="e">
        <f t="shared" si="21"/>
        <v>#REF!</v>
      </c>
      <c r="H328" s="240" t="e">
        <f t="shared" si="20"/>
        <v>#REF!</v>
      </c>
      <c r="I328" s="238">
        <v>0</v>
      </c>
      <c r="J328" s="241" t="e">
        <f t="shared" si="19"/>
        <v>#REF!</v>
      </c>
      <c r="K328" s="238"/>
    </row>
    <row r="329" spans="1:11" s="242" customFormat="1" ht="17">
      <c r="A329" s="245">
        <v>320</v>
      </c>
      <c r="B329" s="152" t="s">
        <v>210</v>
      </c>
      <c r="C329" s="237">
        <v>8778941877</v>
      </c>
      <c r="D329" s="238" t="e">
        <f>VLOOKUP(C329,#REF!,7,0)</f>
        <v>#REF!</v>
      </c>
      <c r="E329" s="192" t="e">
        <f>VLOOKUP(C329,#REF!,128,0)</f>
        <v>#REF!</v>
      </c>
      <c r="F329" s="192" t="e">
        <f>+VLOOKUP(C329,#REF!,150,0)</f>
        <v>#REF!</v>
      </c>
      <c r="G329" s="239" t="e">
        <f t="shared" si="21"/>
        <v>#REF!</v>
      </c>
      <c r="H329" s="240" t="e">
        <f t="shared" si="20"/>
        <v>#REF!</v>
      </c>
      <c r="I329" s="238">
        <v>0</v>
      </c>
      <c r="J329" s="241" t="e">
        <f>+F329-E329+I329</f>
        <v>#REF!</v>
      </c>
      <c r="K329" s="238"/>
    </row>
    <row r="330" spans="1:11" s="242" customFormat="1" ht="17">
      <c r="A330" s="245">
        <v>321</v>
      </c>
      <c r="B330" s="152" t="s">
        <v>156</v>
      </c>
      <c r="C330" s="237">
        <v>8524695593</v>
      </c>
      <c r="D330" s="238" t="e">
        <f>VLOOKUP(C330,#REF!,7,0)</f>
        <v>#REF!</v>
      </c>
      <c r="E330" s="192" t="e">
        <f>VLOOKUP(C330,#REF!,128,0)</f>
        <v>#REF!</v>
      </c>
      <c r="F330" s="192" t="e">
        <f>+VLOOKUP(C330,#REF!,150,0)</f>
        <v>#REF!</v>
      </c>
      <c r="G330" s="239" t="e">
        <f t="shared" si="21"/>
        <v>#REF!</v>
      </c>
      <c r="H330" s="240" t="e">
        <f t="shared" si="20"/>
        <v>#REF!</v>
      </c>
      <c r="I330" s="238">
        <v>0</v>
      </c>
      <c r="J330" s="241" t="e">
        <f t="shared" ref="J330:J342" si="22">+F330-E330+I330</f>
        <v>#REF!</v>
      </c>
      <c r="K330" s="238"/>
    </row>
    <row r="331" spans="1:11" s="242" customFormat="1" ht="17">
      <c r="A331" s="245">
        <v>322</v>
      </c>
      <c r="B331" s="152" t="s">
        <v>287</v>
      </c>
      <c r="C331" s="237">
        <v>8825228497</v>
      </c>
      <c r="D331" s="238" t="e">
        <f>VLOOKUP(C331,#REF!,7,0)</f>
        <v>#REF!</v>
      </c>
      <c r="E331" s="192" t="e">
        <f>VLOOKUP(C331,#REF!,128,0)</f>
        <v>#REF!</v>
      </c>
      <c r="F331" s="192" t="e">
        <f>+VLOOKUP(C331,#REF!,150,0)</f>
        <v>#REF!</v>
      </c>
      <c r="G331" s="239" t="e">
        <f t="shared" si="21"/>
        <v>#REF!</v>
      </c>
      <c r="H331" s="240" t="e">
        <f t="shared" si="20"/>
        <v>#REF!</v>
      </c>
      <c r="I331" s="238">
        <v>0</v>
      </c>
      <c r="J331" s="241" t="e">
        <f t="shared" si="22"/>
        <v>#REF!</v>
      </c>
      <c r="K331" s="238"/>
    </row>
    <row r="332" spans="1:11" s="242" customFormat="1" ht="17">
      <c r="A332" s="245">
        <v>323</v>
      </c>
      <c r="B332" s="152" t="s">
        <v>323</v>
      </c>
      <c r="C332" s="237">
        <v>8890155714</v>
      </c>
      <c r="D332" s="238" t="e">
        <f>VLOOKUP(C332,#REF!,7,0)</f>
        <v>#REF!</v>
      </c>
      <c r="E332" s="192" t="e">
        <f>VLOOKUP(C332,#REF!,128,0)</f>
        <v>#REF!</v>
      </c>
      <c r="F332" s="192" t="e">
        <f>+VLOOKUP(C332,#REF!,150,0)</f>
        <v>#REF!</v>
      </c>
      <c r="G332" s="239" t="e">
        <f t="shared" si="21"/>
        <v>#REF!</v>
      </c>
      <c r="H332" s="240" t="e">
        <f t="shared" si="20"/>
        <v>#REF!</v>
      </c>
      <c r="I332" s="238">
        <v>0</v>
      </c>
      <c r="J332" s="241" t="e">
        <f t="shared" si="22"/>
        <v>#REF!</v>
      </c>
      <c r="K332" s="238"/>
    </row>
    <row r="333" spans="1:11" s="242" customFormat="1" ht="17">
      <c r="A333" s="245">
        <v>324</v>
      </c>
      <c r="B333" s="152" t="s">
        <v>322</v>
      </c>
      <c r="C333" s="237">
        <v>8890155802</v>
      </c>
      <c r="D333" s="238" t="e">
        <f>VLOOKUP(C333,#REF!,7,0)</f>
        <v>#REF!</v>
      </c>
      <c r="E333" s="192" t="e">
        <f>VLOOKUP(C333,#REF!,128,0)</f>
        <v>#REF!</v>
      </c>
      <c r="F333" s="192" t="e">
        <f>+VLOOKUP(C333,#REF!,150,0)</f>
        <v>#REF!</v>
      </c>
      <c r="G333" s="239" t="e">
        <f t="shared" si="21"/>
        <v>#REF!</v>
      </c>
      <c r="H333" s="240" t="e">
        <f t="shared" si="20"/>
        <v>#REF!</v>
      </c>
      <c r="I333" s="238">
        <v>0</v>
      </c>
      <c r="J333" s="241" t="e">
        <f t="shared" si="22"/>
        <v>#REF!</v>
      </c>
      <c r="K333" s="238"/>
    </row>
    <row r="334" spans="1:11" s="242" customFormat="1" ht="17">
      <c r="A334" s="245">
        <v>325</v>
      </c>
      <c r="B334" s="152" t="s">
        <v>160</v>
      </c>
      <c r="C334" s="237">
        <v>8082782374</v>
      </c>
      <c r="D334" s="238" t="e">
        <f>VLOOKUP(C334,#REF!,7,0)</f>
        <v>#REF!</v>
      </c>
      <c r="E334" s="192" t="e">
        <f>VLOOKUP(C334,#REF!,128,0)</f>
        <v>#REF!</v>
      </c>
      <c r="F334" s="192" t="e">
        <f>+VLOOKUP(C334,#REF!,150,0)</f>
        <v>#REF!</v>
      </c>
      <c r="G334" s="239" t="e">
        <f t="shared" si="21"/>
        <v>#REF!</v>
      </c>
      <c r="H334" s="240" t="e">
        <f t="shared" si="20"/>
        <v>#REF!</v>
      </c>
      <c r="I334" s="238">
        <v>0</v>
      </c>
      <c r="J334" s="241" t="e">
        <f t="shared" si="22"/>
        <v>#REF!</v>
      </c>
      <c r="K334" s="238"/>
    </row>
    <row r="335" spans="1:11" s="242" customFormat="1" ht="17">
      <c r="A335" s="245">
        <v>326</v>
      </c>
      <c r="B335" s="152" t="s">
        <v>286</v>
      </c>
      <c r="C335" s="237">
        <v>8308954934</v>
      </c>
      <c r="D335" s="238" t="e">
        <f>VLOOKUP(C335,#REF!,7,0)</f>
        <v>#REF!</v>
      </c>
      <c r="E335" s="192" t="e">
        <f>VLOOKUP(C335,#REF!,128,0)</f>
        <v>#REF!</v>
      </c>
      <c r="F335" s="192" t="e">
        <f>+VLOOKUP(C335,#REF!,150,0)</f>
        <v>#REF!</v>
      </c>
      <c r="G335" s="239" t="e">
        <f t="shared" si="21"/>
        <v>#REF!</v>
      </c>
      <c r="H335" s="240" t="e">
        <f t="shared" si="20"/>
        <v>#REF!</v>
      </c>
      <c r="I335" s="238">
        <v>0</v>
      </c>
      <c r="J335" s="241" t="e">
        <f t="shared" si="22"/>
        <v>#REF!</v>
      </c>
      <c r="K335" s="238"/>
    </row>
    <row r="336" spans="1:11" s="242" customFormat="1" ht="17">
      <c r="A336" s="245">
        <v>327</v>
      </c>
      <c r="B336" s="152" t="s">
        <v>733</v>
      </c>
      <c r="C336" s="237">
        <v>8011450598</v>
      </c>
      <c r="D336" s="238" t="e">
        <f>VLOOKUP(C336,#REF!,7,0)</f>
        <v>#REF!</v>
      </c>
      <c r="E336" s="192" t="e">
        <f>VLOOKUP(C336,#REF!,128,0)</f>
        <v>#REF!</v>
      </c>
      <c r="F336" s="192" t="e">
        <f>+VLOOKUP(C336,#REF!,150,0)</f>
        <v>#REF!</v>
      </c>
      <c r="G336" s="239" t="e">
        <f t="shared" si="21"/>
        <v>#REF!</v>
      </c>
      <c r="H336" s="240" t="e">
        <f t="shared" si="20"/>
        <v>#REF!</v>
      </c>
      <c r="I336" s="238" t="e">
        <v>#N/A</v>
      </c>
      <c r="J336" s="241" t="e">
        <f t="shared" si="22"/>
        <v>#REF!</v>
      </c>
      <c r="K336" s="238"/>
    </row>
    <row r="337" spans="1:11" s="264" customFormat="1" ht="17">
      <c r="A337" s="256">
        <v>328</v>
      </c>
      <c r="B337" s="257" t="s">
        <v>734</v>
      </c>
      <c r="C337" s="258">
        <v>8355854415</v>
      </c>
      <c r="D337" s="259" t="e">
        <f>VLOOKUP(C337,#REF!,7,0)</f>
        <v>#REF!</v>
      </c>
      <c r="E337" s="260" t="e">
        <f>VLOOKUP(C337,#REF!,128,0)</f>
        <v>#REF!</v>
      </c>
      <c r="F337" s="260" t="e">
        <f>+VLOOKUP(C337,#REF!,150,0)</f>
        <v>#REF!</v>
      </c>
      <c r="G337" s="261" t="e">
        <f t="shared" si="21"/>
        <v>#REF!</v>
      </c>
      <c r="H337" s="262" t="e">
        <f t="shared" si="20"/>
        <v>#REF!</v>
      </c>
      <c r="I337" s="259" t="e">
        <v>#N/A</v>
      </c>
      <c r="J337" s="263" t="e">
        <f t="shared" si="22"/>
        <v>#REF!</v>
      </c>
      <c r="K337" s="259"/>
    </row>
    <row r="338" spans="1:11" s="264" customFormat="1" ht="17">
      <c r="A338" s="256">
        <v>329</v>
      </c>
      <c r="B338" s="257" t="s">
        <v>735</v>
      </c>
      <c r="C338" s="258" t="s">
        <v>739</v>
      </c>
      <c r="D338" s="259" t="e">
        <f>VLOOKUP(C338,#REF!,7,0)</f>
        <v>#REF!</v>
      </c>
      <c r="E338" s="260" t="e">
        <f>VLOOKUP(C338,#REF!,128,0)</f>
        <v>#REF!</v>
      </c>
      <c r="F338" s="260" t="e">
        <f>+VLOOKUP(C338,#REF!,150,0)</f>
        <v>#REF!</v>
      </c>
      <c r="G338" s="261" t="e">
        <f t="shared" si="21"/>
        <v>#REF!</v>
      </c>
      <c r="H338" s="262" t="e">
        <f t="shared" si="20"/>
        <v>#REF!</v>
      </c>
      <c r="I338" s="259" t="e">
        <v>#N/A</v>
      </c>
      <c r="J338" s="263" t="e">
        <f t="shared" si="22"/>
        <v>#REF!</v>
      </c>
      <c r="K338" s="259"/>
    </row>
    <row r="339" spans="1:11" s="242" customFormat="1" ht="17">
      <c r="A339" s="245">
        <v>330</v>
      </c>
      <c r="B339" s="152" t="s">
        <v>736</v>
      </c>
      <c r="C339" s="237" t="s">
        <v>740</v>
      </c>
      <c r="D339" s="238" t="e">
        <f>VLOOKUP(C339,#REF!,7,0)</f>
        <v>#REF!</v>
      </c>
      <c r="E339" s="192" t="e">
        <f>VLOOKUP(C339,#REF!,128,0)</f>
        <v>#REF!</v>
      </c>
      <c r="F339" s="192" t="e">
        <f>+VLOOKUP(C339,#REF!,150,0)</f>
        <v>#REF!</v>
      </c>
      <c r="G339" s="239" t="e">
        <f t="shared" si="21"/>
        <v>#REF!</v>
      </c>
      <c r="H339" s="240" t="e">
        <f t="shared" si="20"/>
        <v>#REF!</v>
      </c>
      <c r="I339" s="238" t="e">
        <v>#N/A</v>
      </c>
      <c r="J339" s="241" t="e">
        <f t="shared" si="22"/>
        <v>#REF!</v>
      </c>
      <c r="K339" s="238"/>
    </row>
    <row r="340" spans="1:11" s="242" customFormat="1" ht="17">
      <c r="A340" s="245">
        <v>331</v>
      </c>
      <c r="B340" s="152" t="s">
        <v>737</v>
      </c>
      <c r="C340" s="237" t="s">
        <v>741</v>
      </c>
      <c r="D340" s="238" t="e">
        <f>VLOOKUP(C340,#REF!,7,0)</f>
        <v>#REF!</v>
      </c>
      <c r="E340" s="192" t="e">
        <f>VLOOKUP(C340,#REF!,128,0)</f>
        <v>#REF!</v>
      </c>
      <c r="F340" s="192" t="e">
        <f>+VLOOKUP(C340,#REF!,150,0)</f>
        <v>#REF!</v>
      </c>
      <c r="G340" s="239" t="e">
        <f t="shared" si="21"/>
        <v>#REF!</v>
      </c>
      <c r="H340" s="240" t="e">
        <f t="shared" si="20"/>
        <v>#REF!</v>
      </c>
      <c r="I340" s="238" t="e">
        <v>#N/A</v>
      </c>
      <c r="J340" s="241" t="e">
        <f t="shared" si="22"/>
        <v>#REF!</v>
      </c>
      <c r="K340" s="238"/>
    </row>
    <row r="341" spans="1:11" s="242" customFormat="1" ht="17">
      <c r="A341" s="245">
        <v>332</v>
      </c>
      <c r="B341" s="152" t="s">
        <v>738</v>
      </c>
      <c r="C341" s="237" t="s">
        <v>742</v>
      </c>
      <c r="D341" s="238" t="e">
        <f>VLOOKUP(C341,#REF!,7,0)</f>
        <v>#REF!</v>
      </c>
      <c r="E341" s="192" t="e">
        <f>VLOOKUP(C341,#REF!,128,0)</f>
        <v>#REF!</v>
      </c>
      <c r="F341" s="192" t="e">
        <f>+VLOOKUP(C341,#REF!,150,0)</f>
        <v>#REF!</v>
      </c>
      <c r="G341" s="239" t="e">
        <f t="shared" si="21"/>
        <v>#REF!</v>
      </c>
      <c r="H341" s="240" t="e">
        <f t="shared" si="20"/>
        <v>#REF!</v>
      </c>
      <c r="I341" s="238" t="e">
        <v>#N/A</v>
      </c>
      <c r="J341" s="241" t="e">
        <f t="shared" si="22"/>
        <v>#REF!</v>
      </c>
      <c r="K341" s="238"/>
    </row>
    <row r="342" spans="1:11" s="242" customFormat="1" ht="17">
      <c r="A342" s="245">
        <v>333</v>
      </c>
      <c r="B342" s="152" t="s">
        <v>437</v>
      </c>
      <c r="C342" s="237">
        <v>8938959071</v>
      </c>
      <c r="D342" s="238" t="e">
        <f>VLOOKUP(C342,#REF!,7,0)</f>
        <v>#REF!</v>
      </c>
      <c r="E342" s="192" t="e">
        <f>VLOOKUP(C342,#REF!,128,0)</f>
        <v>#REF!</v>
      </c>
      <c r="F342" s="192" t="e">
        <f>+VLOOKUP(C342,#REF!,150,0)</f>
        <v>#REF!</v>
      </c>
      <c r="G342" s="239" t="e">
        <f t="shared" si="21"/>
        <v>#REF!</v>
      </c>
      <c r="H342" s="240" t="e">
        <f t="shared" si="20"/>
        <v>#REF!</v>
      </c>
      <c r="I342" s="238" t="e">
        <v>#N/A</v>
      </c>
      <c r="J342" s="241" t="e">
        <f t="shared" si="22"/>
        <v>#REF!</v>
      </c>
      <c r="K342" s="238"/>
    </row>
    <row r="343" spans="1:11" s="254" customFormat="1" ht="17">
      <c r="A343" s="245">
        <v>334</v>
      </c>
      <c r="B343" s="255" t="s">
        <v>157</v>
      </c>
      <c r="C343" s="237">
        <v>8451524434</v>
      </c>
      <c r="D343" s="238" t="e">
        <f>VLOOKUP(C343,#REF!,7,0)</f>
        <v>#REF!</v>
      </c>
      <c r="E343" s="192" t="e">
        <f>VLOOKUP(C343,#REF!,128,0)</f>
        <v>#REF!</v>
      </c>
      <c r="F343" s="192" t="e">
        <f>+VLOOKUP(C343,#REF!,150,0)</f>
        <v>#REF!</v>
      </c>
      <c r="G343" s="239" t="e">
        <f t="shared" si="21"/>
        <v>#REF!</v>
      </c>
      <c r="H343" s="238"/>
      <c r="I343" s="255"/>
      <c r="J343" s="255"/>
      <c r="K343" s="255"/>
    </row>
    <row r="344" spans="1:11" s="254" customFormat="1" ht="17">
      <c r="A344" s="245">
        <v>335</v>
      </c>
      <c r="B344" s="255" t="s">
        <v>189</v>
      </c>
      <c r="C344" s="237">
        <v>8114259635</v>
      </c>
      <c r="D344" s="238" t="e">
        <f>VLOOKUP(C344,#REF!,7,0)</f>
        <v>#REF!</v>
      </c>
      <c r="E344" s="192" t="e">
        <f>VLOOKUP(C344,#REF!,128,0)</f>
        <v>#REF!</v>
      </c>
      <c r="F344" s="192" t="e">
        <f>+VLOOKUP(C344,#REF!,150,0)</f>
        <v>#REF!</v>
      </c>
      <c r="G344" s="239" t="e">
        <f t="shared" si="21"/>
        <v>#REF!</v>
      </c>
      <c r="H344" s="238"/>
      <c r="I344" s="255"/>
      <c r="J344" s="255"/>
      <c r="K344" s="255"/>
    </row>
    <row r="345" spans="1:11" s="254" customFormat="1" ht="17">
      <c r="A345" s="245">
        <v>336</v>
      </c>
      <c r="B345" s="255" t="s">
        <v>190</v>
      </c>
      <c r="C345" s="237">
        <v>8187639149</v>
      </c>
      <c r="D345" s="238" t="e">
        <f>VLOOKUP(C345,#REF!,7,0)</f>
        <v>#REF!</v>
      </c>
      <c r="E345" s="192" t="e">
        <f>VLOOKUP(C345,#REF!,128,0)</f>
        <v>#REF!</v>
      </c>
      <c r="F345" s="192" t="e">
        <f>+VLOOKUP(C345,#REF!,150,0)</f>
        <v>#REF!</v>
      </c>
      <c r="G345" s="239" t="e">
        <f t="shared" si="21"/>
        <v>#REF!</v>
      </c>
      <c r="H345" s="238"/>
      <c r="I345" s="255"/>
      <c r="J345" s="255"/>
      <c r="K345" s="255"/>
    </row>
  </sheetData>
  <autoFilter ref="A2:N345" xr:uid="{5C7F67F6-A1DB-4523-A6F7-D78D510F41D8}"/>
  <mergeCells count="1">
    <mergeCell ref="A1:K1"/>
  </mergeCells>
  <conditionalFormatting sqref="A11:A20 A22:A345">
    <cfRule type="duplicateValues" dxfId="8" priority="10476"/>
  </conditionalFormatting>
  <conditionalFormatting sqref="B3">
    <cfRule type="duplicateValues" dxfId="7" priority="5"/>
    <cfRule type="duplicateValues" dxfId="6" priority="6" stopIfTrue="1"/>
  </conditionalFormatting>
  <conditionalFormatting sqref="B3:B10">
    <cfRule type="duplicateValues" dxfId="5" priority="10463"/>
  </conditionalFormatting>
  <conditionalFormatting sqref="B4:B10">
    <cfRule type="duplicateValues" dxfId="4" priority="10464"/>
    <cfRule type="duplicateValues" dxfId="3" priority="10465" stopIfTrue="1"/>
  </conditionalFormatting>
  <conditionalFormatting sqref="B11:B342">
    <cfRule type="duplicateValues" dxfId="2" priority="10479"/>
    <cfRule type="duplicateValues" dxfId="1" priority="10480"/>
    <cfRule type="duplicateValues" dxfId="0" priority="10481" stopIfTrue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1BFF-F30D-46DE-B93E-C33BB8687C95}">
  <dimension ref="A1:F15"/>
  <sheetViews>
    <sheetView workbookViewId="0">
      <selection activeCell="O12" sqref="O12"/>
    </sheetView>
  </sheetViews>
  <sheetFormatPr baseColWidth="10" defaultColWidth="9.19921875" defaultRowHeight="15"/>
  <cols>
    <col min="1" max="1" width="4.796875" style="139" customWidth="1"/>
    <col min="2" max="2" width="27.19921875" style="139" customWidth="1"/>
    <col min="3" max="3" width="47.796875" style="139" customWidth="1"/>
    <col min="4" max="4" width="17.3984375" style="139" customWidth="1"/>
    <col min="5" max="5" width="30.796875" style="139" customWidth="1"/>
    <col min="6" max="6" width="14.19921875" style="139" customWidth="1"/>
    <col min="7" max="16384" width="9.19921875" style="139"/>
  </cols>
  <sheetData>
    <row r="1" spans="1:6" ht="32">
      <c r="A1" s="140" t="s">
        <v>0</v>
      </c>
      <c r="B1" s="140" t="s">
        <v>482</v>
      </c>
      <c r="C1" s="140" t="s">
        <v>483</v>
      </c>
      <c r="D1" s="140" t="s">
        <v>484</v>
      </c>
      <c r="E1" s="140" t="s">
        <v>485</v>
      </c>
      <c r="F1" s="140" t="s">
        <v>486</v>
      </c>
    </row>
    <row r="2" spans="1:6" ht="47.25" customHeight="1">
      <c r="A2" s="141">
        <v>1</v>
      </c>
      <c r="B2" s="141" t="s">
        <v>487</v>
      </c>
      <c r="C2" s="187" t="s">
        <v>488</v>
      </c>
      <c r="D2" s="187">
        <v>40</v>
      </c>
      <c r="E2" s="187" t="s">
        <v>489</v>
      </c>
      <c r="F2" s="187" t="s">
        <v>490</v>
      </c>
    </row>
    <row r="3" spans="1:6" ht="47.25" customHeight="1">
      <c r="A3" s="141">
        <v>2</v>
      </c>
      <c r="B3" s="141" t="s">
        <v>491</v>
      </c>
      <c r="C3" s="187" t="s">
        <v>492</v>
      </c>
      <c r="D3" s="187">
        <v>25</v>
      </c>
      <c r="E3" s="187" t="s">
        <v>493</v>
      </c>
      <c r="F3" s="187" t="s">
        <v>490</v>
      </c>
    </row>
    <row r="4" spans="1:6" ht="47.25" customHeight="1">
      <c r="A4" s="141">
        <v>3</v>
      </c>
      <c r="B4" s="141" t="s">
        <v>494</v>
      </c>
      <c r="C4" s="187" t="s">
        <v>495</v>
      </c>
      <c r="D4" s="187">
        <v>15</v>
      </c>
      <c r="E4" s="187" t="s">
        <v>496</v>
      </c>
      <c r="F4" s="187" t="s">
        <v>490</v>
      </c>
    </row>
    <row r="5" spans="1:6" ht="47.25" customHeight="1">
      <c r="A5" s="141">
        <v>4</v>
      </c>
      <c r="B5" s="141" t="s">
        <v>497</v>
      </c>
      <c r="C5" s="187" t="s">
        <v>498</v>
      </c>
      <c r="D5" s="187">
        <v>10</v>
      </c>
      <c r="E5" s="187" t="s">
        <v>499</v>
      </c>
      <c r="F5" s="187" t="s">
        <v>490</v>
      </c>
    </row>
    <row r="6" spans="1:6" ht="47.25" customHeight="1">
      <c r="A6" s="141">
        <v>5</v>
      </c>
      <c r="B6" s="141" t="s">
        <v>500</v>
      </c>
      <c r="C6" s="187" t="s">
        <v>501</v>
      </c>
      <c r="D6" s="187">
        <v>10</v>
      </c>
      <c r="E6" s="187" t="s">
        <v>502</v>
      </c>
      <c r="F6" s="187" t="s">
        <v>490</v>
      </c>
    </row>
    <row r="7" spans="1:6">
      <c r="A7" s="328" t="s">
        <v>39</v>
      </c>
      <c r="B7" s="328"/>
      <c r="C7" s="328"/>
      <c r="D7" s="188">
        <f>SUM(D2:D6)</f>
        <v>100</v>
      </c>
      <c r="E7" s="188"/>
      <c r="F7" s="188"/>
    </row>
    <row r="10" spans="1:6" ht="16">
      <c r="B10" s="189" t="s">
        <v>503</v>
      </c>
      <c r="C10" s="189" t="s">
        <v>504</v>
      </c>
      <c r="D10" s="189" t="s">
        <v>505</v>
      </c>
      <c r="E10" s="189"/>
    </row>
    <row r="11" spans="1:6" ht="30.75" customHeight="1">
      <c r="B11" s="190" t="s">
        <v>506</v>
      </c>
      <c r="C11" s="190" t="s">
        <v>507</v>
      </c>
      <c r="D11" s="190" t="s">
        <v>508</v>
      </c>
      <c r="E11" s="190"/>
    </row>
    <row r="12" spans="1:6" ht="30.75" customHeight="1">
      <c r="B12" s="190" t="s">
        <v>509</v>
      </c>
      <c r="C12" s="190" t="s">
        <v>510</v>
      </c>
      <c r="D12" s="190" t="s">
        <v>511</v>
      </c>
      <c r="E12" s="190"/>
    </row>
    <row r="13" spans="1:6" ht="30.75" customHeight="1">
      <c r="B13" s="190" t="s">
        <v>512</v>
      </c>
      <c r="C13" s="190" t="s">
        <v>513</v>
      </c>
      <c r="D13" s="190" t="s">
        <v>514</v>
      </c>
      <c r="E13" s="190"/>
    </row>
    <row r="14" spans="1:6" ht="30.75" customHeight="1">
      <c r="B14" s="190" t="s">
        <v>515</v>
      </c>
      <c r="C14" s="190" t="s">
        <v>516</v>
      </c>
      <c r="D14" s="190" t="s">
        <v>517</v>
      </c>
      <c r="E14" s="191" t="s">
        <v>518</v>
      </c>
    </row>
    <row r="15" spans="1:6" ht="30.75" customHeight="1">
      <c r="B15" s="190" t="s">
        <v>519</v>
      </c>
      <c r="C15" s="190" t="s">
        <v>520</v>
      </c>
      <c r="D15" s="190" t="s">
        <v>521</v>
      </c>
      <c r="E15" s="190"/>
    </row>
  </sheetData>
  <mergeCells count="1">
    <mergeCell ref="A7:C7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 1</vt:lpstr>
      <vt:lpstr>thực tế</vt:lpstr>
      <vt:lpstr>thực tế (2)</vt:lpstr>
      <vt:lpstr>KPI_1</vt:lpstr>
      <vt:lpstr>KPI_1 T10</vt:lpstr>
      <vt:lpstr>Thang 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1Password Viet Nam</cp:lastModifiedBy>
  <cp:lastPrinted>2025-02-20T04:08:45Z</cp:lastPrinted>
  <dcterms:created xsi:type="dcterms:W3CDTF">2024-07-18T08:08:15Z</dcterms:created>
  <dcterms:modified xsi:type="dcterms:W3CDTF">2026-04-27T08:17:23Z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2026-04-27T02:47:53Z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e8a2bad9-222f-472c-845a-bb6fcaa75e45</vt:lpwstr>
  </property>
  <property fmtid="{D5CDD505-2E9C-101B-9397-08002B2CF9AE}" pid="7" name="MSIP_Label_defa4170-0d19-0005-0004-bc88714345d2_ActionId">
    <vt:lpwstr>cd5d5934-d80b-4f24-b129-77a30817db29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