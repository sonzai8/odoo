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7"/>
  <workbookPr updateLinks="never"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/Users/sonzai/dev/odoo 19/odoo/my_custom_addons/dl_salary_kpi/static/src/templates/"/>
    </mc:Choice>
  </mc:AlternateContent>
  <xr:revisionPtr revIDLastSave="0" documentId="13_ncr:1_{20A8277D-3347-5D4C-B21E-0616A791625C}" xr6:coauthVersionLast="47" xr6:coauthVersionMax="47" xr10:uidLastSave="{00000000-0000-0000-0000-000000000000}"/>
  <bookViews>
    <workbookView xWindow="-38400" yWindow="480" windowWidth="38400" windowHeight="21120" activeTab="1" xr2:uid="{00000000-000D-0000-FFFF-FFFF00000000}"/>
  </bookViews>
  <sheets>
    <sheet name="Kangatang" sheetId="43" state="veryHidden" r:id="rId1"/>
    <sheet name="T 3" sheetId="83" r:id="rId2"/>
    <sheet name="Calendar" sheetId="3" r:id="rId3"/>
  </sheets>
  <externalReferences>
    <externalReference r:id="rId4"/>
    <externalReference r:id="rId5"/>
  </externalReferences>
  <definedNames>
    <definedName name="_Fill" localSheetId="2">#REF!</definedName>
    <definedName name="_Fill" localSheetId="1" hidden="1">#REF!</definedName>
    <definedName name="_Fill" hidden="1">#REF!</definedName>
    <definedName name="_xlnm._FilterDatabase" localSheetId="1" hidden="1">'T 3'!$A$6:$ER$8</definedName>
    <definedName name="_Key1" localSheetId="1">#REF!</definedName>
    <definedName name="_Key1">#REF!</definedName>
    <definedName name="_Key2" localSheetId="1">#REF!</definedName>
    <definedName name="_Key2">#REF!</definedName>
    <definedName name="_Sort" localSheetId="2">#REF!</definedName>
    <definedName name="_Sort" localSheetId="1">#REF!</definedName>
    <definedName name="_Sort">#REF!</definedName>
    <definedName name="acc.accountNo">'[1]DANH SACH TAI KHOAN'!$B$11</definedName>
    <definedName name="acc.aliasName">'[1]DANH SACH TAI KHOAN'!$C$11</definedName>
    <definedName name="acc.availableBalance">'[1]DANH SACH TAI KHOAN'!$G$11</definedName>
    <definedName name="acc.currency">'[1]DANH SACH TAI KHOAN'!$F$11</definedName>
    <definedName name="acc.interestRate">'[1]DANH SACH TAI KHOAN'!$E$11</definedName>
    <definedName name="acc.openDate">'[1]DANH SACH TAI KHOAN'!$D$11</definedName>
    <definedName name="acc.statusname">'[1]DANH SACH TAI KHOAN'!$H$11</definedName>
    <definedName name="ll" localSheetId="1">#REF!</definedName>
    <definedName name="ll">#REF!</definedName>
    <definedName name="NGÂN_HÀNG_TMCP_CÔNG_THƯƠNG_VIỆT_NAM">'[1]DANH SACH TAI KHOAN'!$A$2</definedName>
    <definedName name="ngay1">'[2]Thong tin'!$C$10</definedName>
    <definedName name="ngay2">'[2]Thong tin'!$C$11</definedName>
    <definedName name="ROW___ROW_A10">'[1]DANH SACH TAI KHOAN'!$A$11</definedName>
    <definedName name="ROW___ROW_A25">'[1]DANH SACH TAI KHOAN'!$A$11</definedName>
    <definedName name="T2.2024" localSheetId="1">#REF!</definedName>
    <definedName name="T2.2024">#REF!</definedName>
    <definedName name="wrn.chi._.tiÆt." localSheetId="2">#REF!</definedName>
    <definedName name="wrn.chi._.tiÆt." localSheetId="1">#REF!</definedName>
    <definedName name="wrn.chi._.tiÆt.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N8" i="83" l="1"/>
  <c r="DW8" i="83"/>
  <c r="AS8" i="83"/>
  <c r="AP8" i="83"/>
  <c r="CJ8" i="83" s="1"/>
  <c r="CQ8" i="83"/>
  <c r="DB8" i="83"/>
  <c r="BQ8" i="83"/>
  <c r="CB8" i="83"/>
  <c r="EE8" i="83"/>
  <c r="AZ4" i="83"/>
  <c r="EC8" i="83"/>
  <c r="AO8" i="83"/>
  <c r="CF8" i="83" s="1"/>
  <c r="AR8" i="83"/>
  <c r="AT8" i="83"/>
  <c r="AU8" i="83"/>
  <c r="AV8" i="83"/>
  <c r="AW8" i="83"/>
  <c r="AX8" i="83"/>
  <c r="AY8" i="83"/>
  <c r="AZ8" i="83"/>
  <c r="CD8" i="83" s="1"/>
  <c r="BA8" i="83"/>
  <c r="BB8" i="83"/>
  <c r="BC8" i="83"/>
  <c r="BD8" i="83"/>
  <c r="BE8" i="83"/>
  <c r="BF8" i="83"/>
  <c r="BG8" i="83"/>
  <c r="BH8" i="83"/>
  <c r="BI8" i="83"/>
  <c r="BJ8" i="83"/>
  <c r="BK8" i="83"/>
  <c r="BL8" i="83"/>
  <c r="BM8" i="83"/>
  <c r="BN8" i="83"/>
  <c r="BO8" i="83"/>
  <c r="BP8" i="83"/>
  <c r="BR8" i="83"/>
  <c r="BS8" i="83"/>
  <c r="BT8" i="83"/>
  <c r="BU8" i="83"/>
  <c r="BV8" i="83"/>
  <c r="BW8" i="83"/>
  <c r="BX8" i="83"/>
  <c r="CY8" i="83"/>
  <c r="DL8" i="83"/>
  <c r="DX8" i="83" l="1"/>
  <c r="CO8" i="83"/>
  <c r="CG8" i="83"/>
  <c r="DD8" i="83" s="1"/>
  <c r="DV8" i="83"/>
  <c r="DO8" i="83"/>
  <c r="EA8" i="83" s="1"/>
  <c r="DU8" i="83"/>
  <c r="CA8" i="83"/>
  <c r="CI8" i="83" s="1"/>
  <c r="CV8" i="83" s="1"/>
  <c r="DZ8" i="83"/>
  <c r="DM8" i="83"/>
  <c r="AQ8" i="83"/>
  <c r="BZ8" i="83"/>
  <c r="CK8" i="83" s="1"/>
  <c r="CW8" i="83"/>
  <c r="CE8" i="83"/>
  <c r="CN8" i="83"/>
  <c r="DA8" i="83" s="1"/>
  <c r="CC8" i="83"/>
  <c r="CP8" i="83" s="1"/>
  <c r="DJ8" i="83" l="1"/>
  <c r="EK8" i="83"/>
  <c r="EJ8" i="83"/>
  <c r="BY8" i="83"/>
  <c r="DI8" i="83"/>
  <c r="DR8" i="83"/>
  <c r="DY8" i="83"/>
  <c r="EB8" i="83" s="1"/>
  <c r="CH8" i="83"/>
  <c r="CU8" i="83" s="1"/>
  <c r="CM8" i="83"/>
  <c r="CT8" i="83"/>
  <c r="CX8" i="83"/>
  <c r="DC8" i="83"/>
  <c r="DF8" i="83"/>
  <c r="CZ8" i="83" l="1"/>
  <c r="DH8" i="83" l="1"/>
  <c r="DK8" i="83" s="1"/>
  <c r="ED8" i="83" l="1"/>
  <c r="EG8" i="83" s="1"/>
  <c r="EH8" i="83" s="1"/>
  <c r="EI8" i="83" s="1"/>
  <c r="DP8" i="83" s="1"/>
  <c r="DQ8" i="83" s="1"/>
  <c r="DS8" i="83" s="1"/>
  <c r="EL8" i="83"/>
  <c r="AV4" i="83" l="1"/>
  <c r="J5" i="83"/>
  <c r="K5" i="83" s="1"/>
  <c r="J6" i="83" l="1"/>
  <c r="AT6" i="83" s="1"/>
  <c r="AT5" i="83"/>
  <c r="AU5" i="83" s="1"/>
  <c r="AV5" i="83" s="1"/>
  <c r="AW5" i="83" s="1"/>
  <c r="AX5" i="83" s="1"/>
  <c r="AY5" i="83" s="1"/>
  <c r="AZ5" i="83" s="1"/>
  <c r="BA5" i="83" s="1"/>
  <c r="BB5" i="83" s="1"/>
  <c r="BC5" i="83" s="1"/>
  <c r="BD5" i="83" s="1"/>
  <c r="BE5" i="83" s="1"/>
  <c r="BF5" i="83" s="1"/>
  <c r="BG5" i="83" s="1"/>
  <c r="BH5" i="83" s="1"/>
  <c r="BI5" i="83" s="1"/>
  <c r="BJ5" i="83" s="1"/>
  <c r="BK5" i="83" s="1"/>
  <c r="BL5" i="83" s="1"/>
  <c r="BM5" i="83" s="1"/>
  <c r="BN5" i="83" s="1"/>
  <c r="BO5" i="83" s="1"/>
  <c r="BP5" i="83" s="1"/>
  <c r="BQ5" i="83" s="1"/>
  <c r="BR5" i="83" s="1"/>
  <c r="BS5" i="83" s="1"/>
  <c r="BT5" i="83" s="1"/>
  <c r="BU5" i="83" s="1"/>
  <c r="BU4" i="83" s="1"/>
  <c r="L5" i="83"/>
  <c r="K6" i="83"/>
  <c r="AU6" i="83" s="1"/>
  <c r="BV5" i="83" l="1"/>
  <c r="M5" i="83"/>
  <c r="L6" i="83"/>
  <c r="AV6" i="83" s="1"/>
  <c r="BW5" i="83" l="1"/>
  <c r="BX5" i="83" s="1"/>
  <c r="BX4" i="83" s="1"/>
  <c r="N5" i="83"/>
  <c r="M6" i="83"/>
  <c r="AW6" i="83" s="1"/>
  <c r="O5" i="83" l="1"/>
  <c r="N6" i="83"/>
  <c r="AX6" i="83" s="1"/>
  <c r="O6" i="83" l="1"/>
  <c r="AY6" i="83" s="1"/>
  <c r="P5" i="83"/>
  <c r="Q5" i="83" l="1"/>
  <c r="P6" i="83"/>
  <c r="AZ6" i="83" s="1"/>
  <c r="Q6" i="83" l="1"/>
  <c r="BA6" i="83" s="1"/>
  <c r="R5" i="83"/>
  <c r="S5" i="83" l="1"/>
  <c r="R6" i="83"/>
  <c r="BB6" i="83" s="1"/>
  <c r="T5" i="83" l="1"/>
  <c r="S6" i="83"/>
  <c r="BC6" i="83" s="1"/>
  <c r="U5" i="83" l="1"/>
  <c r="T6" i="83"/>
  <c r="BD6" i="83" s="1"/>
  <c r="V5" i="83" l="1"/>
  <c r="U6" i="83"/>
  <c r="BE6" i="83" s="1"/>
  <c r="W5" i="83" l="1"/>
  <c r="V6" i="83"/>
  <c r="BF6" i="83" s="1"/>
  <c r="X5" i="83" l="1"/>
  <c r="W6" i="83"/>
  <c r="BG6" i="83" s="1"/>
  <c r="Y5" i="83" l="1"/>
  <c r="X6" i="83"/>
  <c r="BH6" i="83" s="1"/>
  <c r="Z5" i="83" l="1"/>
  <c r="Y6" i="83"/>
  <c r="BI6" i="83" s="1"/>
  <c r="AA5" i="83" l="1"/>
  <c r="Z6" i="83"/>
  <c r="BJ6" i="83" s="1"/>
  <c r="AA6" i="83" l="1"/>
  <c r="BK6" i="83" s="1"/>
  <c r="AB5" i="83"/>
  <c r="AC5" i="83" l="1"/>
  <c r="AB6" i="83"/>
  <c r="BL6" i="83" s="1"/>
  <c r="AC6" i="83" l="1"/>
  <c r="BM6" i="83" s="1"/>
  <c r="AD5" i="83"/>
  <c r="AE5" i="83" l="1"/>
  <c r="AD6" i="83"/>
  <c r="BN6" i="83" s="1"/>
  <c r="AF5" i="83" l="1"/>
  <c r="AE6" i="83"/>
  <c r="BO6" i="83" s="1"/>
  <c r="AG5" i="83" l="1"/>
  <c r="AF6" i="83"/>
  <c r="BP6" i="83" s="1"/>
  <c r="AH5" i="83" l="1"/>
  <c r="AG6" i="83"/>
  <c r="BQ6" i="83" s="1"/>
  <c r="AI5" i="83" l="1"/>
  <c r="AH6" i="83"/>
  <c r="BR6" i="83" s="1"/>
  <c r="AJ5" i="83" l="1"/>
  <c r="AI6" i="83"/>
  <c r="BS6" i="83" s="1"/>
  <c r="AK5" i="83" l="1"/>
  <c r="AJ6" i="83"/>
  <c r="BT6" i="83" s="1"/>
  <c r="AL5" i="83" l="1"/>
  <c r="AK6" i="83"/>
  <c r="BU6" i="83" s="1"/>
  <c r="AM5" i="83" l="1"/>
  <c r="AL6" i="83"/>
  <c r="BV6" i="83" s="1"/>
  <c r="AM6" i="83" l="1"/>
  <c r="BW6" i="83" s="1"/>
  <c r="AN5" i="83"/>
  <c r="AN6" i="83" s="1"/>
  <c r="BX6" i="83" s="1"/>
  <c r="O29" i="3" l="1"/>
  <c r="B24" i="3"/>
  <c r="B25" i="3" s="1"/>
  <c r="B26" i="3" s="1"/>
  <c r="B27" i="3" s="1"/>
  <c r="P12" i="3"/>
  <c r="C2" i="3"/>
  <c r="I3" i="3" s="1"/>
  <c r="D3" i="3" l="1"/>
  <c r="E3" i="3"/>
  <c r="L2" i="3"/>
  <c r="P29" i="3" s="1"/>
  <c r="Q29" i="3" s="1"/>
  <c r="R29" i="3" s="1"/>
  <c r="F3" i="3"/>
  <c r="M2" i="3"/>
  <c r="G3" i="3"/>
  <c r="G23" i="3" s="1"/>
  <c r="H3" i="3"/>
  <c r="H23" i="3" s="1"/>
  <c r="I23" i="3" s="1"/>
  <c r="C24" i="3" s="1"/>
  <c r="D24" i="3" s="1"/>
  <c r="E24" i="3" s="1"/>
  <c r="F24" i="3" s="1"/>
  <c r="G24" i="3" s="1"/>
  <c r="H24" i="3" s="1"/>
  <c r="I24" i="3" s="1"/>
  <c r="C25" i="3" s="1"/>
  <c r="D25" i="3" s="1"/>
  <c r="E25" i="3" s="1"/>
  <c r="F25" i="3" s="1"/>
  <c r="G25" i="3" s="1"/>
  <c r="H25" i="3" s="1"/>
  <c r="I25" i="3" s="1"/>
  <c r="C26" i="3" s="1"/>
  <c r="D26" i="3" s="1"/>
  <c r="E26" i="3" s="1"/>
  <c r="F26" i="3" s="1"/>
  <c r="G26" i="3" s="1"/>
  <c r="H26" i="3" s="1"/>
  <c r="I26" i="3" s="1"/>
  <c r="C27" i="3" s="1"/>
  <c r="D27" i="3" s="1"/>
  <c r="E27" i="3" s="1"/>
  <c r="F27" i="3" s="1"/>
  <c r="G27" i="3" s="1"/>
  <c r="H27" i="3" s="1"/>
  <c r="I27" i="3" s="1"/>
  <c r="C28" i="3" s="1"/>
  <c r="C3" i="3"/>
  <c r="C23" i="3" s="1"/>
  <c r="B28" i="3" l="1"/>
  <c r="K23" i="3" s="1"/>
  <c r="K24" i="3" s="1"/>
  <c r="K25" i="3" s="1"/>
  <c r="K26" i="3" s="1"/>
  <c r="K27" i="3" s="1"/>
  <c r="D28" i="3"/>
  <c r="E28" i="3" s="1"/>
  <c r="F28" i="3" s="1"/>
  <c r="G28" i="3" s="1"/>
  <c r="H28" i="3" s="1"/>
  <c r="I28" i="3" s="1"/>
  <c r="P3" i="3"/>
  <c r="O3" i="3"/>
  <c r="N3" i="3"/>
  <c r="M3" i="3"/>
  <c r="U2" i="3"/>
  <c r="L3" i="3"/>
  <c r="L23" i="3" s="1"/>
  <c r="Q3" i="3"/>
  <c r="R3" i="3"/>
  <c r="E23" i="3"/>
  <c r="F23" i="3" s="1"/>
  <c r="D23" i="3"/>
  <c r="AA3" i="3" l="1"/>
  <c r="Z3" i="3"/>
  <c r="Y3" i="3"/>
  <c r="X3" i="3"/>
  <c r="D2" i="3"/>
  <c r="W3" i="3"/>
  <c r="V3" i="3"/>
  <c r="U3" i="3"/>
  <c r="U23" i="3" s="1"/>
  <c r="M23" i="3"/>
  <c r="N23" i="3" s="1"/>
  <c r="O23" i="3" s="1"/>
  <c r="P23" i="3" s="1"/>
  <c r="Q23" i="3" s="1"/>
  <c r="R23" i="3" s="1"/>
  <c r="L24" i="3" s="1"/>
  <c r="M24" i="3" s="1"/>
  <c r="N24" i="3" s="1"/>
  <c r="O24" i="3" s="1"/>
  <c r="P24" i="3" s="1"/>
  <c r="Q24" i="3" s="1"/>
  <c r="R24" i="3" s="1"/>
  <c r="L25" i="3" s="1"/>
  <c r="M25" i="3" s="1"/>
  <c r="N25" i="3" s="1"/>
  <c r="O25" i="3" s="1"/>
  <c r="P25" i="3" s="1"/>
  <c r="Q25" i="3" s="1"/>
  <c r="R25" i="3" s="1"/>
  <c r="L26" i="3" s="1"/>
  <c r="M26" i="3" s="1"/>
  <c r="N26" i="3" s="1"/>
  <c r="O26" i="3" s="1"/>
  <c r="P26" i="3" s="1"/>
  <c r="Q26" i="3" s="1"/>
  <c r="R26" i="3" s="1"/>
  <c r="L27" i="3" s="1"/>
  <c r="M27" i="3" s="1"/>
  <c r="N27" i="3" s="1"/>
  <c r="O27" i="3" s="1"/>
  <c r="P27" i="3" s="1"/>
  <c r="Q27" i="3" s="1"/>
  <c r="R27" i="3" s="1"/>
  <c r="L28" i="3" s="1"/>
  <c r="M28" i="3" l="1"/>
  <c r="N28" i="3" s="1"/>
  <c r="O28" i="3" s="1"/>
  <c r="P28" i="3" s="1"/>
  <c r="Q28" i="3" s="1"/>
  <c r="R28" i="3" s="1"/>
  <c r="K28" i="3"/>
  <c r="T23" i="3" s="1"/>
  <c r="T24" i="3" s="1"/>
  <c r="T25" i="3" s="1"/>
  <c r="T26" i="3" s="1"/>
  <c r="T27" i="3" s="1"/>
  <c r="V23" i="3"/>
  <c r="W23" i="3"/>
  <c r="E4" i="3"/>
  <c r="D4" i="3"/>
  <c r="C4" i="3"/>
  <c r="C37" i="3" s="1"/>
  <c r="N2" i="3"/>
  <c r="I4" i="3"/>
  <c r="H4" i="3"/>
  <c r="G4" i="3"/>
  <c r="G37" i="3" s="1"/>
  <c r="F4" i="3"/>
  <c r="F37" i="3" s="1"/>
  <c r="X23" i="3"/>
  <c r="Y23" i="3" s="1"/>
  <c r="Z23" i="3" s="1"/>
  <c r="AA23" i="3" s="1"/>
  <c r="U24" i="3" s="1"/>
  <c r="V24" i="3" s="1"/>
  <c r="W24" i="3" s="1"/>
  <c r="X24" i="3" s="1"/>
  <c r="Y24" i="3" s="1"/>
  <c r="Z24" i="3" s="1"/>
  <c r="AA24" i="3" s="1"/>
  <c r="U25" i="3" s="1"/>
  <c r="V25" i="3" s="1"/>
  <c r="W25" i="3" s="1"/>
  <c r="X25" i="3" s="1"/>
  <c r="Y25" i="3" s="1"/>
  <c r="Z25" i="3" s="1"/>
  <c r="AA25" i="3" s="1"/>
  <c r="U26" i="3" s="1"/>
  <c r="V26" i="3" s="1"/>
  <c r="W26" i="3" s="1"/>
  <c r="X26" i="3" s="1"/>
  <c r="Y26" i="3" s="1"/>
  <c r="Z26" i="3" s="1"/>
  <c r="AA26" i="3" s="1"/>
  <c r="U27" i="3" s="1"/>
  <c r="V27" i="3" s="1"/>
  <c r="W27" i="3" s="1"/>
  <c r="X27" i="3" s="1"/>
  <c r="Y27" i="3" s="1"/>
  <c r="Z27" i="3" s="1"/>
  <c r="AA27" i="3" s="1"/>
  <c r="U28" i="3" s="1"/>
  <c r="V28" i="3" l="1"/>
  <c r="W28" i="3" s="1"/>
  <c r="X28" i="3" s="1"/>
  <c r="Y28" i="3" s="1"/>
  <c r="Z28" i="3" s="1"/>
  <c r="AA28" i="3" s="1"/>
  <c r="T28" i="3"/>
  <c r="B37" i="3" s="1"/>
  <c r="B38" i="3" s="1"/>
  <c r="B39" i="3" s="1"/>
  <c r="B40" i="3" s="1"/>
  <c r="B41" i="3" s="1"/>
  <c r="H37" i="3"/>
  <c r="I37" i="3"/>
  <c r="C38" i="3" s="1"/>
  <c r="D38" i="3" s="1"/>
  <c r="E38" i="3" s="1"/>
  <c r="F38" i="3" s="1"/>
  <c r="G38" i="3" s="1"/>
  <c r="H38" i="3" s="1"/>
  <c r="I38" i="3" s="1"/>
  <c r="C39" i="3" s="1"/>
  <c r="D39" i="3" s="1"/>
  <c r="E39" i="3" s="1"/>
  <c r="F39" i="3" s="1"/>
  <c r="G39" i="3" s="1"/>
  <c r="H39" i="3" s="1"/>
  <c r="I39" i="3" s="1"/>
  <c r="C40" i="3" s="1"/>
  <c r="D40" i="3" s="1"/>
  <c r="E40" i="3" s="1"/>
  <c r="F40" i="3" s="1"/>
  <c r="G40" i="3" s="1"/>
  <c r="H40" i="3" s="1"/>
  <c r="I40" i="3" s="1"/>
  <c r="C41" i="3" s="1"/>
  <c r="D41" i="3" s="1"/>
  <c r="E41" i="3" s="1"/>
  <c r="F41" i="3" s="1"/>
  <c r="G41" i="3" s="1"/>
  <c r="H41" i="3" s="1"/>
  <c r="I41" i="3" s="1"/>
  <c r="C42" i="3" s="1"/>
  <c r="R4" i="3"/>
  <c r="Q4" i="3"/>
  <c r="Q37" i="3" s="1"/>
  <c r="V2" i="3"/>
  <c r="P4" i="3"/>
  <c r="O4" i="3"/>
  <c r="N4" i="3"/>
  <c r="M4" i="3"/>
  <c r="L4" i="3"/>
  <c r="L37" i="3" s="1"/>
  <c r="D37" i="3"/>
  <c r="E37" i="3" s="1"/>
  <c r="M37" i="3" l="1"/>
  <c r="N37" i="3"/>
  <c r="O37" i="3" s="1"/>
  <c r="P37" i="3" s="1"/>
  <c r="U4" i="3"/>
  <c r="U37" i="3" s="1"/>
  <c r="V4" i="3"/>
  <c r="V37" i="3" s="1"/>
  <c r="AA4" i="3"/>
  <c r="Z4" i="3"/>
  <c r="Y4" i="3"/>
  <c r="X4" i="3"/>
  <c r="W4" i="3"/>
  <c r="W37" i="3" s="1"/>
  <c r="E2" i="3"/>
  <c r="R37" i="3"/>
  <c r="L38" i="3" s="1"/>
  <c r="M38" i="3" s="1"/>
  <c r="N38" i="3" s="1"/>
  <c r="O38" i="3" s="1"/>
  <c r="P38" i="3" s="1"/>
  <c r="Q38" i="3" s="1"/>
  <c r="R38" i="3" s="1"/>
  <c r="L39" i="3" s="1"/>
  <c r="M39" i="3" s="1"/>
  <c r="N39" i="3" s="1"/>
  <c r="O39" i="3" s="1"/>
  <c r="P39" i="3" s="1"/>
  <c r="Q39" i="3" s="1"/>
  <c r="R39" i="3" s="1"/>
  <c r="L40" i="3" s="1"/>
  <c r="M40" i="3" s="1"/>
  <c r="N40" i="3" s="1"/>
  <c r="O40" i="3" s="1"/>
  <c r="P40" i="3" s="1"/>
  <c r="Q40" i="3" s="1"/>
  <c r="R40" i="3" s="1"/>
  <c r="L41" i="3" s="1"/>
  <c r="M41" i="3" s="1"/>
  <c r="N41" i="3" s="1"/>
  <c r="O41" i="3" s="1"/>
  <c r="P41" i="3" s="1"/>
  <c r="Q41" i="3" s="1"/>
  <c r="R41" i="3" s="1"/>
  <c r="L42" i="3" s="1"/>
  <c r="D42" i="3"/>
  <c r="E42" i="3" s="1"/>
  <c r="F42" i="3" s="1"/>
  <c r="G42" i="3" s="1"/>
  <c r="H42" i="3" s="1"/>
  <c r="I42" i="3" s="1"/>
  <c r="B42" i="3"/>
  <c r="K37" i="3" s="1"/>
  <c r="K38" i="3" s="1"/>
  <c r="K39" i="3" s="1"/>
  <c r="K40" i="3" s="1"/>
  <c r="K41" i="3" s="1"/>
  <c r="H5" i="3" l="1"/>
  <c r="G5" i="3"/>
  <c r="I5" i="3"/>
  <c r="F5" i="3"/>
  <c r="F51" i="3" s="1"/>
  <c r="E5" i="3"/>
  <c r="D5" i="3"/>
  <c r="D51" i="3" s="1"/>
  <c r="C5" i="3"/>
  <c r="C51" i="3" s="1"/>
  <c r="O2" i="3"/>
  <c r="X37" i="3"/>
  <c r="Y37" i="3" s="1"/>
  <c r="Z37" i="3" s="1"/>
  <c r="AA37" i="3" s="1"/>
  <c r="U38" i="3" s="1"/>
  <c r="V38" i="3" s="1"/>
  <c r="W38" i="3" s="1"/>
  <c r="X38" i="3" s="1"/>
  <c r="Y38" i="3" s="1"/>
  <c r="Z38" i="3" s="1"/>
  <c r="AA38" i="3" s="1"/>
  <c r="U39" i="3" s="1"/>
  <c r="V39" i="3" s="1"/>
  <c r="W39" i="3" s="1"/>
  <c r="X39" i="3" s="1"/>
  <c r="Y39" i="3" s="1"/>
  <c r="Z39" i="3" s="1"/>
  <c r="AA39" i="3" s="1"/>
  <c r="U40" i="3" s="1"/>
  <c r="V40" i="3" s="1"/>
  <c r="W40" i="3" s="1"/>
  <c r="X40" i="3" s="1"/>
  <c r="Y40" i="3" s="1"/>
  <c r="Z40" i="3" s="1"/>
  <c r="AA40" i="3" s="1"/>
  <c r="U41" i="3" s="1"/>
  <c r="V41" i="3" s="1"/>
  <c r="W41" i="3" s="1"/>
  <c r="X41" i="3" s="1"/>
  <c r="Y41" i="3" s="1"/>
  <c r="Z41" i="3" s="1"/>
  <c r="AA41" i="3" s="1"/>
  <c r="U42" i="3" s="1"/>
  <c r="M42" i="3"/>
  <c r="N42" i="3" s="1"/>
  <c r="O42" i="3" s="1"/>
  <c r="P42" i="3" s="1"/>
  <c r="Q42" i="3" s="1"/>
  <c r="R42" i="3" s="1"/>
  <c r="K42" i="3"/>
  <c r="T37" i="3" s="1"/>
  <c r="T38" i="3" s="1"/>
  <c r="T39" i="3" s="1"/>
  <c r="T40" i="3" s="1"/>
  <c r="T41" i="3" s="1"/>
  <c r="V42" i="3" l="1"/>
  <c r="W42" i="3" s="1"/>
  <c r="X42" i="3" s="1"/>
  <c r="Y42" i="3" s="1"/>
  <c r="Z42" i="3" s="1"/>
  <c r="AA42" i="3" s="1"/>
  <c r="T42" i="3"/>
  <c r="B51" i="3" s="1"/>
  <c r="B52" i="3" s="1"/>
  <c r="B53" i="3" s="1"/>
  <c r="B54" i="3" s="1"/>
  <c r="B55" i="3" s="1"/>
  <c r="E51" i="3"/>
  <c r="W2" i="3"/>
  <c r="R5" i="3"/>
  <c r="R51" i="3" s="1"/>
  <c r="L52" i="3" s="1"/>
  <c r="M52" i="3" s="1"/>
  <c r="N52" i="3" s="1"/>
  <c r="O52" i="3" s="1"/>
  <c r="P52" i="3" s="1"/>
  <c r="Q52" i="3" s="1"/>
  <c r="R52" i="3" s="1"/>
  <c r="L53" i="3" s="1"/>
  <c r="M53" i="3" s="1"/>
  <c r="N53" i="3" s="1"/>
  <c r="O53" i="3" s="1"/>
  <c r="P53" i="3" s="1"/>
  <c r="Q53" i="3" s="1"/>
  <c r="R53" i="3" s="1"/>
  <c r="L54" i="3" s="1"/>
  <c r="M54" i="3" s="1"/>
  <c r="N54" i="3" s="1"/>
  <c r="O54" i="3" s="1"/>
  <c r="P54" i="3" s="1"/>
  <c r="Q54" i="3" s="1"/>
  <c r="R54" i="3" s="1"/>
  <c r="L55" i="3" s="1"/>
  <c r="M55" i="3" s="1"/>
  <c r="N55" i="3" s="1"/>
  <c r="O55" i="3" s="1"/>
  <c r="P55" i="3" s="1"/>
  <c r="Q55" i="3" s="1"/>
  <c r="R55" i="3" s="1"/>
  <c r="L56" i="3" s="1"/>
  <c r="Q5" i="3"/>
  <c r="P5" i="3"/>
  <c r="O5" i="3"/>
  <c r="N5" i="3"/>
  <c r="M5" i="3"/>
  <c r="L5" i="3"/>
  <c r="L51" i="3" s="1"/>
  <c r="G51" i="3"/>
  <c r="H51" i="3" s="1"/>
  <c r="I51" i="3" s="1"/>
  <c r="C52" i="3" s="1"/>
  <c r="D52" i="3" s="1"/>
  <c r="E52" i="3" s="1"/>
  <c r="F52" i="3" s="1"/>
  <c r="G52" i="3" s="1"/>
  <c r="H52" i="3" s="1"/>
  <c r="I52" i="3" s="1"/>
  <c r="C53" i="3" s="1"/>
  <c r="D53" i="3" s="1"/>
  <c r="E53" i="3" s="1"/>
  <c r="F53" i="3" s="1"/>
  <c r="G53" i="3" s="1"/>
  <c r="H53" i="3" s="1"/>
  <c r="I53" i="3" s="1"/>
  <c r="C54" i="3" s="1"/>
  <c r="D54" i="3" s="1"/>
  <c r="E54" i="3" s="1"/>
  <c r="F54" i="3" s="1"/>
  <c r="G54" i="3" s="1"/>
  <c r="H54" i="3" s="1"/>
  <c r="I54" i="3" s="1"/>
  <c r="C55" i="3" s="1"/>
  <c r="D55" i="3" s="1"/>
  <c r="E55" i="3" s="1"/>
  <c r="F55" i="3" s="1"/>
  <c r="G55" i="3" s="1"/>
  <c r="H55" i="3" s="1"/>
  <c r="I55" i="3" s="1"/>
  <c r="C56" i="3" s="1"/>
  <c r="M51" i="3" l="1"/>
  <c r="D56" i="3"/>
  <c r="E56" i="3" s="1"/>
  <c r="F56" i="3" s="1"/>
  <c r="G56" i="3" s="1"/>
  <c r="H56" i="3" s="1"/>
  <c r="I56" i="3" s="1"/>
  <c r="B56" i="3"/>
  <c r="K51" i="3" s="1"/>
  <c r="K52" i="3" s="1"/>
  <c r="K53" i="3" s="1"/>
  <c r="K54" i="3" s="1"/>
  <c r="K55" i="3" s="1"/>
  <c r="N51" i="3"/>
  <c r="O51" i="3"/>
  <c r="P51" i="3" s="1"/>
  <c r="Q51" i="3" s="1"/>
  <c r="X5" i="3"/>
  <c r="W5" i="3"/>
  <c r="W51" i="3" s="1"/>
  <c r="V5" i="3"/>
  <c r="Y5" i="3"/>
  <c r="U5" i="3"/>
  <c r="U51" i="3" s="1"/>
  <c r="AA5" i="3"/>
  <c r="F2" i="3"/>
  <c r="Z5" i="3"/>
  <c r="M56" i="3"/>
  <c r="N56" i="3" s="1"/>
  <c r="O56" i="3" s="1"/>
  <c r="P56" i="3" s="1"/>
  <c r="Q56" i="3" s="1"/>
  <c r="R56" i="3" s="1"/>
  <c r="K56" i="3"/>
  <c r="T51" i="3" s="1"/>
  <c r="T52" i="3" s="1"/>
  <c r="T53" i="3" s="1"/>
  <c r="T54" i="3" s="1"/>
  <c r="T55" i="3" s="1"/>
  <c r="X51" i="3" l="1"/>
  <c r="Y51" i="3" s="1"/>
  <c r="Z51" i="3" s="1"/>
  <c r="AA51" i="3" s="1"/>
  <c r="U52" i="3" s="1"/>
  <c r="V52" i="3" s="1"/>
  <c r="W52" i="3" s="1"/>
  <c r="X52" i="3" s="1"/>
  <c r="Y52" i="3" s="1"/>
  <c r="Z52" i="3" s="1"/>
  <c r="AA52" i="3" s="1"/>
  <c r="U53" i="3" s="1"/>
  <c r="V53" i="3" s="1"/>
  <c r="W53" i="3" s="1"/>
  <c r="X53" i="3" s="1"/>
  <c r="Y53" i="3" s="1"/>
  <c r="Z53" i="3" s="1"/>
  <c r="AA53" i="3" s="1"/>
  <c r="U54" i="3" s="1"/>
  <c r="V54" i="3" s="1"/>
  <c r="W54" i="3" s="1"/>
  <c r="X54" i="3" s="1"/>
  <c r="Y54" i="3" s="1"/>
  <c r="Z54" i="3" s="1"/>
  <c r="AA54" i="3" s="1"/>
  <c r="U55" i="3" s="1"/>
  <c r="V55" i="3" s="1"/>
  <c r="W55" i="3" s="1"/>
  <c r="X55" i="3" s="1"/>
  <c r="Y55" i="3" s="1"/>
  <c r="Z55" i="3" s="1"/>
  <c r="AA55" i="3" s="1"/>
  <c r="U56" i="3" s="1"/>
  <c r="I6" i="3"/>
  <c r="H6" i="3"/>
  <c r="G6" i="3"/>
  <c r="G65" i="3" s="1"/>
  <c r="P2" i="3"/>
  <c r="F6" i="3"/>
  <c r="E6" i="3"/>
  <c r="D6" i="3"/>
  <c r="C6" i="3"/>
  <c r="C65" i="3" s="1"/>
  <c r="V51" i="3"/>
  <c r="V56" i="3" l="1"/>
  <c r="W56" i="3" s="1"/>
  <c r="X56" i="3" s="1"/>
  <c r="Y56" i="3" s="1"/>
  <c r="Z56" i="3" s="1"/>
  <c r="AA56" i="3" s="1"/>
  <c r="T56" i="3"/>
  <c r="B65" i="3" s="1"/>
  <c r="B66" i="3" s="1"/>
  <c r="B67" i="3" s="1"/>
  <c r="B68" i="3" s="1"/>
  <c r="B69" i="3" s="1"/>
  <c r="M6" i="3"/>
  <c r="X2" i="3"/>
  <c r="L6" i="3"/>
  <c r="L65" i="3" s="1"/>
  <c r="R6" i="3"/>
  <c r="Q6" i="3"/>
  <c r="N6" i="3"/>
  <c r="P6" i="3"/>
  <c r="O6" i="3"/>
  <c r="H65" i="3"/>
  <c r="I65" i="3" s="1"/>
  <c r="C66" i="3" s="1"/>
  <c r="D66" i="3" s="1"/>
  <c r="E66" i="3" s="1"/>
  <c r="F66" i="3" s="1"/>
  <c r="G66" i="3" s="1"/>
  <c r="H66" i="3" s="1"/>
  <c r="I66" i="3" s="1"/>
  <c r="C67" i="3" s="1"/>
  <c r="D67" i="3" s="1"/>
  <c r="E67" i="3" s="1"/>
  <c r="F67" i="3" s="1"/>
  <c r="G67" i="3" s="1"/>
  <c r="H67" i="3" s="1"/>
  <c r="I67" i="3" s="1"/>
  <c r="C68" i="3" s="1"/>
  <c r="D68" i="3" s="1"/>
  <c r="E68" i="3" s="1"/>
  <c r="F68" i="3" s="1"/>
  <c r="G68" i="3" s="1"/>
  <c r="H68" i="3" s="1"/>
  <c r="I68" i="3" s="1"/>
  <c r="C69" i="3" s="1"/>
  <c r="D69" i="3" s="1"/>
  <c r="E69" i="3" s="1"/>
  <c r="F69" i="3" s="1"/>
  <c r="G69" i="3" s="1"/>
  <c r="H69" i="3" s="1"/>
  <c r="I69" i="3" s="1"/>
  <c r="C70" i="3" s="1"/>
  <c r="D65" i="3"/>
  <c r="E65" i="3" s="1"/>
  <c r="F65" i="3" s="1"/>
  <c r="D70" i="3" l="1"/>
  <c r="E70" i="3" s="1"/>
  <c r="F70" i="3" s="1"/>
  <c r="G70" i="3" s="1"/>
  <c r="H70" i="3" s="1"/>
  <c r="I70" i="3" s="1"/>
  <c r="B70" i="3"/>
  <c r="K65" i="3" s="1"/>
  <c r="K66" i="3" s="1"/>
  <c r="K67" i="3" s="1"/>
  <c r="K68" i="3" s="1"/>
  <c r="K69" i="3" s="1"/>
  <c r="M65" i="3"/>
  <c r="N65" i="3" s="1"/>
  <c r="O65" i="3" s="1"/>
  <c r="P65" i="3" s="1"/>
  <c r="Q65" i="3" s="1"/>
  <c r="R65" i="3" s="1"/>
  <c r="L66" i="3" s="1"/>
  <c r="M66" i="3" s="1"/>
  <c r="N66" i="3" s="1"/>
  <c r="O66" i="3" s="1"/>
  <c r="P66" i="3" s="1"/>
  <c r="Q66" i="3" s="1"/>
  <c r="R66" i="3" s="1"/>
  <c r="L67" i="3" s="1"/>
  <c r="M67" i="3" s="1"/>
  <c r="N67" i="3" s="1"/>
  <c r="O67" i="3" s="1"/>
  <c r="P67" i="3" s="1"/>
  <c r="Q67" i="3" s="1"/>
  <c r="R67" i="3" s="1"/>
  <c r="L68" i="3" s="1"/>
  <c r="M68" i="3" s="1"/>
  <c r="N68" i="3" s="1"/>
  <c r="O68" i="3" s="1"/>
  <c r="P68" i="3" s="1"/>
  <c r="Q68" i="3" s="1"/>
  <c r="R68" i="3" s="1"/>
  <c r="L69" i="3" s="1"/>
  <c r="M69" i="3" s="1"/>
  <c r="N69" i="3" s="1"/>
  <c r="O69" i="3" s="1"/>
  <c r="P69" i="3" s="1"/>
  <c r="Q69" i="3" s="1"/>
  <c r="R69" i="3" s="1"/>
  <c r="L70" i="3" s="1"/>
  <c r="AA6" i="3"/>
  <c r="Z6" i="3"/>
  <c r="Y6" i="3"/>
  <c r="X6" i="3"/>
  <c r="W6" i="3"/>
  <c r="W65" i="3" s="1"/>
  <c r="V6" i="3"/>
  <c r="V65" i="3" s="1"/>
  <c r="U6" i="3"/>
  <c r="U65" i="3" s="1"/>
  <c r="X65" i="3" l="1"/>
  <c r="M70" i="3"/>
  <c r="N70" i="3" s="1"/>
  <c r="O70" i="3" s="1"/>
  <c r="P70" i="3" s="1"/>
  <c r="Q70" i="3" s="1"/>
  <c r="R70" i="3" s="1"/>
  <c r="K70" i="3"/>
  <c r="T65" i="3" s="1"/>
  <c r="T66" i="3" s="1"/>
  <c r="T67" i="3" s="1"/>
  <c r="T68" i="3" s="1"/>
  <c r="T69" i="3" s="1"/>
  <c r="Y65" i="3"/>
  <c r="Z65" i="3" s="1"/>
  <c r="AA65" i="3" s="1"/>
  <c r="U66" i="3" s="1"/>
  <c r="V66" i="3" s="1"/>
  <c r="W66" i="3" s="1"/>
  <c r="X66" i="3" s="1"/>
  <c r="Y66" i="3" s="1"/>
  <c r="Z66" i="3" s="1"/>
  <c r="AA66" i="3" s="1"/>
  <c r="U67" i="3" s="1"/>
  <c r="V67" i="3" s="1"/>
  <c r="W67" i="3" s="1"/>
  <c r="X67" i="3" s="1"/>
  <c r="Y67" i="3" s="1"/>
  <c r="Z67" i="3" s="1"/>
  <c r="AA67" i="3" s="1"/>
  <c r="U68" i="3" s="1"/>
  <c r="V68" i="3" s="1"/>
  <c r="W68" i="3" s="1"/>
  <c r="X68" i="3" s="1"/>
  <c r="Y68" i="3" s="1"/>
  <c r="Z68" i="3" s="1"/>
  <c r="AA68" i="3" s="1"/>
  <c r="U69" i="3" s="1"/>
  <c r="V69" i="3" s="1"/>
  <c r="W69" i="3" s="1"/>
  <c r="X69" i="3" s="1"/>
  <c r="Y69" i="3" s="1"/>
  <c r="Z69" i="3" s="1"/>
  <c r="AA69" i="3" s="1"/>
  <c r="U70" i="3" s="1"/>
  <c r="V70" i="3" l="1"/>
  <c r="W70" i="3" s="1"/>
  <c r="X70" i="3" s="1"/>
  <c r="Y70" i="3" s="1"/>
  <c r="Z70" i="3" s="1"/>
  <c r="AA70" i="3" s="1"/>
  <c r="T70" i="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</author>
    <author>sonzai</author>
  </authors>
  <commentList>
    <comment ref="DK5" authorId="0" shapeId="0" xr:uid="{00000000-0006-0000-0900-000001000000}">
      <text>
        <r>
          <rPr>
            <b/>
            <sz val="12"/>
            <color rgb="FF000000"/>
            <rFont val="Tahoma"/>
            <family val="2"/>
          </rPr>
          <t>Hạch toán lương NVK</t>
        </r>
        <r>
          <rPr>
            <sz val="9"/>
            <color rgb="FF000000"/>
            <rFont val="Tahoma"/>
            <family val="2"/>
          </rPr>
          <t xml:space="preserve">
</t>
        </r>
      </text>
    </comment>
    <comment ref="DS5" authorId="0" shapeId="0" xr:uid="{00000000-0006-0000-0900-000002000000}">
      <text>
        <r>
          <rPr>
            <b/>
            <sz val="12"/>
            <color indexed="81"/>
            <rFont val="Tahoma"/>
            <family val="2"/>
          </rPr>
          <t>Phiếu chi lương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ES5" authorId="1" shapeId="0" xr:uid="{875C98E4-B4B6-8648-88B7-D03E21863E5B}">
      <text>
        <r>
          <rPr>
            <b/>
            <sz val="10"/>
            <color rgb="FF000000"/>
            <rFont val="Tahoma"/>
            <family val="2"/>
          </rPr>
          <t>sonzai: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 xml:space="preserve">0: không cần truy thu
</t>
        </r>
        <r>
          <rPr>
            <sz val="10"/>
            <color rgb="FF000000"/>
            <rFont val="Tahoma"/>
            <family val="2"/>
          </rPr>
          <t xml:space="preserve">1: Truy thu vào doanh nghiệp
</t>
        </r>
        <r>
          <rPr>
            <sz val="10"/>
            <color rgb="FF000000"/>
            <rFont val="Tahoma"/>
            <family val="2"/>
          </rPr>
          <t>2:: Truy thu vào người lao động</t>
        </r>
      </text>
    </comment>
  </commentList>
</comments>
</file>

<file path=xl/sharedStrings.xml><?xml version="1.0" encoding="utf-8"?>
<sst xmlns="http://schemas.openxmlformats.org/spreadsheetml/2006/main" count="238" uniqueCount="132">
  <si>
    <t>STT</t>
  </si>
  <si>
    <t>Họ và tên</t>
  </si>
  <si>
    <t>Mã Số Thuế</t>
  </si>
  <si>
    <t>Chức vụ</t>
  </si>
  <si>
    <t>Lương cơ bản</t>
  </si>
  <si>
    <t>Ngày lễ</t>
  </si>
  <si>
    <t>Phép</t>
  </si>
  <si>
    <t>Lương QTTNCN</t>
  </si>
  <si>
    <t>Lương BH</t>
  </si>
  <si>
    <t>BHXH
8%</t>
  </si>
  <si>
    <t>BHYT
1,5%</t>
  </si>
  <si>
    <t>BHTN
1%</t>
  </si>
  <si>
    <t>Thực lĩnh</t>
  </si>
  <si>
    <t>Phí công đoàn
2%</t>
  </si>
  <si>
    <t>Phụ nữ</t>
  </si>
  <si>
    <t>Ăn ca</t>
  </si>
  <si>
    <t>BHXH</t>
  </si>
  <si>
    <t>BHYT</t>
  </si>
  <si>
    <t>BHTN</t>
  </si>
  <si>
    <t>Tổng hợp công</t>
  </si>
  <si>
    <t>Jan</t>
  </si>
  <si>
    <t>Apr</t>
  </si>
  <si>
    <t>Jul</t>
  </si>
  <si>
    <t>Oct</t>
  </si>
  <si>
    <t>Feb</t>
  </si>
  <si>
    <t>May</t>
  </si>
  <si>
    <t>Aug</t>
  </si>
  <si>
    <t>Nov</t>
  </si>
  <si>
    <t>Mar</t>
  </si>
  <si>
    <t>Jun</t>
  </si>
  <si>
    <t>Sep</t>
  </si>
  <si>
    <t>Dec</t>
  </si>
  <si>
    <t>Enter year for calendar:</t>
  </si>
  <si>
    <t>Bạn thay đổi năm vào đây</t>
  </si>
  <si>
    <t>(1900  -  2078)</t>
  </si>
  <si>
    <t>LỊCH NĂM</t>
  </si>
  <si>
    <t>THÁNG 1</t>
  </si>
  <si>
    <t>THÁNG 2</t>
  </si>
  <si>
    <t>THÁNG 3</t>
  </si>
  <si>
    <t>WK</t>
  </si>
  <si>
    <t>SUN</t>
  </si>
  <si>
    <t>MON</t>
  </si>
  <si>
    <t>TUE</t>
  </si>
  <si>
    <t>WED</t>
  </si>
  <si>
    <t>THU</t>
  </si>
  <si>
    <t>FRI</t>
  </si>
  <si>
    <t>SAT</t>
  </si>
  <si>
    <t>THÁNG 4</t>
  </si>
  <si>
    <t>THÁNG 5</t>
  </si>
  <si>
    <t>THÁNG 6</t>
  </si>
  <si>
    <t>THÁNG 7</t>
  </si>
  <si>
    <t>THÁNG 8</t>
  </si>
  <si>
    <t>THÁNG 9</t>
  </si>
  <si>
    <t>THÁNG 10</t>
  </si>
  <si>
    <t>THÁNG 11</t>
  </si>
  <si>
    <t>THÁNG 12</t>
  </si>
  <si>
    <t>Happy New Year :)</t>
  </si>
  <si>
    <t>Ngày nghỉ 100% lương</t>
  </si>
  <si>
    <t>Thưởng doanh thu</t>
  </si>
  <si>
    <t>Các khoản hỗ trợ theo chế độ</t>
  </si>
  <si>
    <t>Tổng thu nhập theo chế độ</t>
  </si>
  <si>
    <t>Tổng thu nhập thực tế</t>
  </si>
  <si>
    <t>Tổng</t>
  </si>
  <si>
    <t xml:space="preserve">Cộng tổng BHXH các khoản nộp </t>
  </si>
  <si>
    <t>Trích vào CP DN</t>
  </si>
  <si>
    <t xml:space="preserve">Giảm trừ gia </t>
  </si>
  <si>
    <t>TNTT TNCN</t>
  </si>
  <si>
    <t>Thuế 
TNCN gốc</t>
  </si>
  <si>
    <t xml:space="preserve">Tháng </t>
  </si>
  <si>
    <t xml:space="preserve">năm </t>
  </si>
  <si>
    <t>Bộ phận thực tế</t>
  </si>
  <si>
    <t>Trích trừ BH vào lương</t>
  </si>
  <si>
    <t xml:space="preserve">Thuế 
TNCN chuẩn </t>
  </si>
  <si>
    <t>Tổng giảm trừ</t>
  </si>
  <si>
    <t>Người PT</t>
  </si>
  <si>
    <t>Giới tính</t>
  </si>
  <si>
    <t>Doanh Thu:</t>
  </si>
  <si>
    <t>Ngày sinh</t>
  </si>
  <si>
    <t xml:space="preserve">Lương Phép </t>
  </si>
  <si>
    <t>Tổng Lương Phép + Thưởng Lương T13</t>
  </si>
  <si>
    <t>Thưởng Lương T13</t>
  </si>
  <si>
    <t>CÁC KHOẢN HỖ TRỢ</t>
  </si>
  <si>
    <t>Ngày Công
Ca Ngày</t>
  </si>
  <si>
    <t>Ngày Công
Ca Đêm</t>
  </si>
  <si>
    <t>TỔNG CÔNG</t>
  </si>
  <si>
    <t>Tổng công tăng ca</t>
  </si>
  <si>
    <t>Tăng ca đêm</t>
  </si>
  <si>
    <t>Tăng ca ngày</t>
  </si>
  <si>
    <t>Tăng ca lễ ngày</t>
  </si>
  <si>
    <t>Tăng ca lễ đêm</t>
  </si>
  <si>
    <t>Tăng ca CN ngày</t>
  </si>
  <si>
    <t>Tăng ca CN Đêm</t>
  </si>
  <si>
    <t>Công thường ca ngày</t>
  </si>
  <si>
    <t>Số giờ ca đêm tính giờ ban ngày (100%)</t>
  </si>
  <si>
    <t>Số giờ tăng ca ngày (150%)</t>
  </si>
  <si>
    <t>Số giờ làm ca đêm thường (130%)</t>
  </si>
  <si>
    <t>Số giờ làm thêm ca đêm không làm ca ngày (200%)</t>
  </si>
  <si>
    <t>Số giờ làm thêm ca đêm có làm ca ngày (210%)</t>
  </si>
  <si>
    <t>Số giờ làm thêm ca đêm  CN (270%)</t>
  </si>
  <si>
    <t>Công làm thêm CN ca ngày (200%)</t>
  </si>
  <si>
    <t>Công đi làm ngày lễ ca ngày (300%)</t>
  </si>
  <si>
    <t>Công đi làm ngày lễ ca đêm (390%)</t>
  </si>
  <si>
    <t>Các khoản lương/thưởng</t>
  </si>
  <si>
    <t>Lương giờ ngày+ ngày nghỉ hưởng 100% lương</t>
  </si>
  <si>
    <t>Lương làm thêm ca ngày, ngày thường (150%)</t>
  </si>
  <si>
    <t>Lương ca đêm thường (130%)</t>
  </si>
  <si>
    <t>Lương làm thêm ca đêm Không làm ngày (200%)</t>
  </si>
  <si>
    <t>Lương làm thêm ca đêm có làm ngày (210%)</t>
  </si>
  <si>
    <t>Làm thêm ca đêm CN (270%)</t>
  </si>
  <si>
    <t>Lương làm chủ nhật ca ngày (200%)</t>
  </si>
  <si>
    <t>Lương làm  ngày lễ Ca ngày (300%)</t>
  </si>
  <si>
    <t>Làm thêm ca đêm ngày lễ (390%)</t>
  </si>
  <si>
    <t>Tổng lương</t>
  </si>
  <si>
    <t xml:space="preserve">Thuế TNCN </t>
  </si>
  <si>
    <t>Tổng các khoản Trừ</t>
  </si>
  <si>
    <t>Tổng cộng trừ BH</t>
  </si>
  <si>
    <t>Thưởng năng suất</t>
  </si>
  <si>
    <t>Lương KPI</t>
  </si>
  <si>
    <t>LƯƠNG CHUYỂN KHOẢN</t>
  </si>
  <si>
    <t>Ghi chú Giảm trừ gia cảnh</t>
  </si>
  <si>
    <t>SỐ CCCD</t>
  </si>
  <si>
    <t>NGÂN HÀNG</t>
  </si>
  <si>
    <t>SỐ TÀI KHOẢN NGÂN HÀNG</t>
  </si>
  <si>
    <t>Tháng 03 năm 2026</t>
  </si>
  <si>
    <t>LƯƠNG THỰC LĨNH</t>
  </si>
  <si>
    <t>Lương tính KPI</t>
  </si>
  <si>
    <t>Ẩn</t>
  </si>
  <si>
    <t>In</t>
  </si>
  <si>
    <t>Thưởng doanh thu/Thưởng năng suất</t>
  </si>
  <si>
    <t>LƯƠNG CHI TIỀN MẶT</t>
  </si>
  <si>
    <t>Truy thu BHYT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</si>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</sst>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3">
    <numFmt numFmtId="43" formatCode="_(* #,##0.00_);_(* \(#,##0.00\);_(* &quot;-&quot;??_);_(@_)"/>
    <numFmt numFmtId="164" formatCode="#,##0\ &quot;₫&quot;;\-#,##0\ &quot;₫&quot;"/>
    <numFmt numFmtId="165" formatCode="_-* #,##0_-;\-* #,##0_-;_-* &quot;-&quot;_-;_-@_-"/>
    <numFmt numFmtId="166" formatCode="_-* #,##0.00\ _₫_-;\-* #,##0.00\ _₫_-;_-* &quot;-&quot;??\ _₫_-;_-@_-"/>
    <numFmt numFmtId="167" formatCode="_-* #,##0.00\ _s_o_'_m_-;\-* #,##0.00\ _s_o_'_m_-;_-* &quot;-&quot;??\ _s_o_'_m_-;_-@_-"/>
    <numFmt numFmtId="168" formatCode="_(* #,##0.0_);_(* \(#,##0.0\);_(* &quot;-&quot;??_);_(@_)"/>
    <numFmt numFmtId="169" formatCode="_(* #,##0_);_(* \(#,##0\);_(* &quot;-&quot;??_);_(@_)"/>
    <numFmt numFmtId="170" formatCode="0.0%"/>
    <numFmt numFmtId="171" formatCode="_-* #,##0\ _₫_-;\-* #,##0\ _₫_-;_-* &quot;-&quot;??\ _₫_-;_-@_-"/>
    <numFmt numFmtId="172" formatCode="#,##0_ ;\-#,##0\ "/>
    <numFmt numFmtId="173" formatCode="dd"/>
    <numFmt numFmtId="174" formatCode="\TGeneral"/>
    <numFmt numFmtId="175" formatCode="_-* #,##0.0\ _₫_-;\-* #,##0.0\ _₫_-;_-* &quot;-&quot;??\ _₫_-;_-@_-"/>
  </numFmts>
  <fonts count="88">
    <font>
      <sz val="10"/>
      <name val="Encysoft Times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Encysoft Times"/>
    </font>
    <font>
      <sz val="12"/>
      <name val="Times New Roman"/>
      <family val="1"/>
    </font>
    <font>
      <sz val="11"/>
      <color indexed="8"/>
      <name val="Calibri"/>
      <family val="2"/>
    </font>
    <font>
      <sz val="10"/>
      <color rgb="FFFF0000"/>
      <name val="Times New Roman"/>
      <family val="1"/>
    </font>
    <font>
      <sz val="14"/>
      <name val="Times New Roman"/>
      <family val="1"/>
    </font>
    <font>
      <sz val="14"/>
      <color theme="1"/>
      <name val="Times New Roman"/>
      <family val="1"/>
    </font>
    <font>
      <b/>
      <sz val="16"/>
      <color rgb="FFFF0000"/>
      <name val="Times New Roman"/>
      <family val="1"/>
    </font>
    <font>
      <b/>
      <sz val="12"/>
      <color indexed="81"/>
      <name val="Tahoma"/>
      <family val="2"/>
    </font>
    <font>
      <sz val="9"/>
      <color indexed="81"/>
      <name val="Tahoma"/>
      <family val="2"/>
    </font>
    <font>
      <sz val="12"/>
      <color rgb="FF000000"/>
      <name val="Times New Roman"/>
      <family val="1"/>
    </font>
    <font>
      <sz val="10"/>
      <color theme="1"/>
      <name val="Open Sans"/>
      <family val="2"/>
    </font>
    <font>
      <sz val="8"/>
      <color theme="1"/>
      <name val="Open Sans"/>
      <family val="2"/>
    </font>
    <font>
      <b/>
      <sz val="10"/>
      <color theme="1"/>
      <name val="Open Sans"/>
      <family val="2"/>
    </font>
    <font>
      <sz val="12"/>
      <color theme="1"/>
      <name val="Open Sans"/>
      <family val="2"/>
    </font>
    <font>
      <sz val="12"/>
      <color rgb="FF00FF00"/>
      <name val="Comic Sans MS"/>
      <family val="4"/>
    </font>
    <font>
      <sz val="12"/>
      <color theme="1"/>
      <name val="Comic Sans MS"/>
      <family val="4"/>
    </font>
    <font>
      <sz val="10"/>
      <color theme="1"/>
      <name val="Comic Sans MS"/>
      <family val="4"/>
    </font>
    <font>
      <b/>
      <sz val="10"/>
      <color rgb="FF33CCCC"/>
      <name val="Comic Sans MS"/>
      <family val="4"/>
    </font>
    <font>
      <b/>
      <sz val="16"/>
      <color rgb="FF00CCFF"/>
      <name val="Times New Roman"/>
      <family val="1"/>
    </font>
    <font>
      <b/>
      <sz val="16"/>
      <color rgb="FF00CCFF"/>
      <name val="Comic Sans MS"/>
      <family val="4"/>
    </font>
    <font>
      <b/>
      <sz val="16"/>
      <color rgb="FF00CCFF"/>
      <name val=".VnFreeH"/>
      <family val="2"/>
    </font>
    <font>
      <b/>
      <sz val="13"/>
      <color rgb="FF339966"/>
      <name val="Comic Sans MS"/>
      <family val="4"/>
    </font>
    <font>
      <sz val="10"/>
      <color theme="1"/>
      <name val="Arial"/>
      <family val="2"/>
    </font>
    <font>
      <b/>
      <sz val="11"/>
      <color theme="1"/>
      <name val="Arial"/>
      <family val="2"/>
    </font>
    <font>
      <b/>
      <sz val="11"/>
      <color rgb="FFFF00FF"/>
      <name val="Times New Roman"/>
      <family val="1"/>
    </font>
    <font>
      <b/>
      <sz val="11"/>
      <color theme="1"/>
      <name val=".VnBahamasBH"/>
      <family val="2"/>
    </font>
    <font>
      <b/>
      <sz val="11"/>
      <color rgb="FF0000FF"/>
      <name val="Times New Roman"/>
      <family val="1"/>
    </font>
    <font>
      <b/>
      <sz val="11"/>
      <color rgb="FFFF0000"/>
      <name val="Times New Roman"/>
      <family val="1"/>
    </font>
    <font>
      <b/>
      <sz val="9"/>
      <color rgb="FF000080"/>
      <name val="Comic Sans MS"/>
      <family val="4"/>
    </font>
    <font>
      <b/>
      <sz val="8"/>
      <color rgb="FFFFFFFF"/>
      <name val="Open Sans"/>
      <family val="2"/>
    </font>
    <font>
      <b/>
      <sz val="10"/>
      <color rgb="FF333399"/>
      <name val="Comic Sans MS"/>
      <family val="4"/>
    </font>
    <font>
      <b/>
      <sz val="10"/>
      <color rgb="FFFF0000"/>
      <name val="Comic Sans MS"/>
      <family val="4"/>
    </font>
    <font>
      <b/>
      <sz val="10"/>
      <color rgb="FF000000"/>
      <name val="Comic Sans MS"/>
      <family val="4"/>
    </font>
    <font>
      <b/>
      <sz val="10"/>
      <color rgb="FF000000"/>
      <name val="Open Sans"/>
      <family val="2"/>
    </font>
    <font>
      <b/>
      <sz val="10"/>
      <color rgb="FFFF0000"/>
      <name val="Open Sans"/>
      <family val="2"/>
    </font>
    <font>
      <b/>
      <sz val="11"/>
      <color rgb="FF008000"/>
      <name val="Times New Roman"/>
      <family val="1"/>
    </font>
    <font>
      <b/>
      <sz val="11"/>
      <color rgb="FFCC99FF"/>
      <name val="Times New Roman"/>
      <family val="1"/>
    </font>
    <font>
      <sz val="10"/>
      <color rgb="FFFF0000"/>
      <name val="Comic Sans MS"/>
      <family val="4"/>
    </font>
    <font>
      <b/>
      <i/>
      <sz val="10"/>
      <color rgb="FFFF00FF"/>
      <name val="Times New Roman"/>
      <family val="1"/>
    </font>
    <font>
      <b/>
      <sz val="12"/>
      <color rgb="FFFF0000"/>
      <name val="Open Sans"/>
      <family val="2"/>
    </font>
    <font>
      <b/>
      <i/>
      <sz val="11"/>
      <color rgb="FF0000FF"/>
      <name val="Times New Roman"/>
      <family val="1"/>
    </font>
    <font>
      <b/>
      <sz val="12"/>
      <color rgb="FF0000FF"/>
      <name val="Newbrunswick"/>
    </font>
    <font>
      <u/>
      <sz val="16"/>
      <color rgb="FF0000FF"/>
      <name val="Arial"/>
      <family val="2"/>
    </font>
    <font>
      <sz val="5"/>
      <color theme="1"/>
      <name val="Open Sans"/>
      <family val="2"/>
    </font>
    <font>
      <sz val="10"/>
      <name val="Arial"/>
      <family val="2"/>
      <charset val="163"/>
    </font>
    <font>
      <sz val="10"/>
      <name val="Arial"/>
      <family val="2"/>
    </font>
    <font>
      <sz val="10"/>
      <name val="Arial"/>
      <family val="2"/>
    </font>
    <font>
      <b/>
      <sz val="16"/>
      <name val="Times New Roman"/>
      <family val="1"/>
    </font>
    <font>
      <sz val="16"/>
      <color rgb="FFFF0000"/>
      <name val="Times New Roman"/>
      <family val="1"/>
    </font>
    <font>
      <sz val="11"/>
      <color theme="1"/>
      <name val="Arial"/>
      <family val="2"/>
    </font>
    <font>
      <sz val="14"/>
      <color rgb="FFFF0000"/>
      <name val="Times New Roman"/>
      <family val="1"/>
    </font>
    <font>
      <b/>
      <sz val="18"/>
      <name val="Times New Roman"/>
      <family val="1"/>
    </font>
    <font>
      <sz val="18"/>
      <color theme="1"/>
      <name val="Times New Roman"/>
      <family val="1"/>
    </font>
    <font>
      <sz val="18"/>
      <name val="Times New Roman"/>
      <family val="1"/>
    </font>
    <font>
      <sz val="14.5"/>
      <name val="Times New Roman"/>
      <family val="1"/>
    </font>
    <font>
      <b/>
      <sz val="14.5"/>
      <name val="Times New Roman"/>
      <family val="1"/>
    </font>
    <font>
      <sz val="18"/>
      <name val="Encysoft Times"/>
    </font>
    <font>
      <b/>
      <sz val="18"/>
      <color theme="1"/>
      <name val="Times New Roman"/>
      <family val="1"/>
    </font>
    <font>
      <b/>
      <sz val="20"/>
      <color rgb="FFFF0000"/>
      <name val="Times New Roman"/>
      <family val="1"/>
    </font>
    <font>
      <b/>
      <sz val="18"/>
      <color rgb="FFFF0000"/>
      <name val="Times New Roman"/>
      <family val="1"/>
    </font>
    <font>
      <b/>
      <sz val="18"/>
      <color indexed="8"/>
      <name val="Times New Roman"/>
      <family val="1"/>
    </font>
    <font>
      <sz val="16"/>
      <name val="Times New Roman"/>
      <family val="1"/>
    </font>
    <font>
      <b/>
      <sz val="22"/>
      <name val="Times New Roman"/>
      <family val="1"/>
    </font>
    <font>
      <sz val="22"/>
      <color theme="1"/>
      <name val="Times New Roman"/>
      <family val="1"/>
    </font>
    <font>
      <sz val="22"/>
      <name val="Times New Roman"/>
      <family val="1"/>
    </font>
    <font>
      <sz val="22"/>
      <color rgb="FFFF0000"/>
      <name val="Times New Roman"/>
      <family val="1"/>
    </font>
    <font>
      <b/>
      <sz val="22"/>
      <color rgb="FFFF0000"/>
      <name val="Times New Roman"/>
      <family val="1"/>
    </font>
    <font>
      <sz val="12.5"/>
      <name val="Times New Roman"/>
      <family val="1"/>
    </font>
    <font>
      <b/>
      <sz val="12.5"/>
      <name val="Times New Roman"/>
      <family val="1"/>
    </font>
    <font>
      <b/>
      <sz val="16"/>
      <color theme="1"/>
      <name val="Times New Roman"/>
      <family val="1"/>
    </font>
    <font>
      <sz val="16"/>
      <color theme="1"/>
      <name val="Times New Roman"/>
      <family val="1"/>
    </font>
    <font>
      <sz val="16"/>
      <color theme="1" tint="4.9989318521683403E-2"/>
      <name val="Times New Roman"/>
      <family val="1"/>
    </font>
    <font>
      <b/>
      <sz val="16"/>
      <color indexed="8"/>
      <name val="Times New Roman"/>
      <family val="1"/>
    </font>
    <font>
      <b/>
      <sz val="16"/>
      <color rgb="FFFFFFFF"/>
      <name val="Times New Roman"/>
      <family val="1"/>
    </font>
    <font>
      <sz val="12"/>
      <color theme="1"/>
      <name val="Times New Roman"/>
      <family val="2"/>
    </font>
    <font>
      <b/>
      <sz val="22"/>
      <color theme="1"/>
      <name val="Times New Roman"/>
      <family val="1"/>
    </font>
    <font>
      <b/>
      <sz val="12"/>
      <color rgb="FF000000"/>
      <name val="Tahoma"/>
      <family val="2"/>
    </font>
    <font>
      <sz val="9"/>
      <color rgb="FF000000"/>
      <name val="Tahoma"/>
      <family val="2"/>
    </font>
    <font>
      <sz val="10"/>
      <color rgb="FF000000"/>
      <name val="Tahoma"/>
      <family val="2"/>
    </font>
    <font>
      <b/>
      <sz val="10"/>
      <color rgb="FF000000"/>
      <name val="Tahoma"/>
      <family val="2"/>
    </font>
  </fonts>
  <fills count="2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0FFFF"/>
        <bgColor rgb="FF00FFFF"/>
      </patternFill>
    </fill>
    <fill>
      <patternFill patternType="solid">
        <fgColor rgb="FFFFFF00"/>
        <bgColor rgb="FFFFFF00"/>
      </patternFill>
    </fill>
    <fill>
      <patternFill patternType="solid">
        <fgColor rgb="FFCCFFCC"/>
        <bgColor rgb="FFCCFFCC"/>
      </patternFill>
    </fill>
    <fill>
      <patternFill patternType="solid">
        <fgColor rgb="FF99CCFF"/>
        <bgColor rgb="FF99CCFF"/>
      </patternFill>
    </fill>
    <fill>
      <patternFill patternType="solid">
        <fgColor rgb="FFFFFFFF"/>
        <bgColor rgb="FFFFFFFF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9900"/>
        <bgColor indexed="64"/>
      </patternFill>
    </fill>
    <fill>
      <patternFill patternType="solid">
        <fgColor indexed="31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D9D6D3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59999389629810485"/>
        <bgColor indexed="64"/>
      </patternFill>
    </fill>
  </fills>
  <borders count="4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hair">
        <color rgb="FF000000"/>
      </right>
      <top style="thin">
        <color rgb="FF000000"/>
      </top>
      <bottom style="hair">
        <color rgb="FF000000"/>
      </bottom>
      <diagonal/>
    </border>
    <border>
      <left style="thin">
        <color rgb="FF000000"/>
      </left>
      <right style="hair">
        <color rgb="FF000000"/>
      </right>
      <top style="thin">
        <color rgb="FF000000"/>
      </top>
      <bottom style="hair">
        <color rgb="FF000000"/>
      </bottom>
      <diagonal/>
    </border>
    <border>
      <left/>
      <right style="hair">
        <color rgb="FF000000"/>
      </right>
      <top style="thin">
        <color rgb="FF000000"/>
      </top>
      <bottom style="hair">
        <color rgb="FF000000"/>
      </bottom>
      <diagonal/>
    </border>
    <border>
      <left/>
      <right style="medium">
        <color rgb="FF000000"/>
      </right>
      <top style="thin">
        <color rgb="FF000000"/>
      </top>
      <bottom style="hair">
        <color rgb="FF000000"/>
      </bottom>
      <diagonal/>
    </border>
    <border>
      <left style="medium">
        <color rgb="FF000000"/>
      </left>
      <right style="hair">
        <color rgb="FF000000"/>
      </right>
      <top/>
      <bottom style="hair">
        <color rgb="FF000000"/>
      </bottom>
      <diagonal/>
    </border>
    <border>
      <left style="thin">
        <color rgb="FF000000"/>
      </left>
      <right style="hair">
        <color rgb="FF000000"/>
      </right>
      <top/>
      <bottom style="hair">
        <color rgb="FF000000"/>
      </bottom>
      <diagonal/>
    </border>
    <border>
      <left/>
      <right style="hair">
        <color rgb="FF000000"/>
      </right>
      <top/>
      <bottom style="hair">
        <color rgb="FF000000"/>
      </bottom>
      <diagonal/>
    </border>
    <border>
      <left/>
      <right style="medium">
        <color rgb="FF000000"/>
      </right>
      <top/>
      <bottom style="hair">
        <color rgb="FF000000"/>
      </bottom>
      <diagonal/>
    </border>
    <border>
      <left style="medium">
        <color rgb="FF000000"/>
      </left>
      <right style="hair">
        <color rgb="FF000000"/>
      </right>
      <top/>
      <bottom style="medium">
        <color rgb="FF000000"/>
      </bottom>
      <diagonal/>
    </border>
    <border>
      <left style="thin">
        <color rgb="FF000000"/>
      </left>
      <right style="hair">
        <color rgb="FF000000"/>
      </right>
      <top/>
      <bottom style="medium">
        <color rgb="FF000000"/>
      </bottom>
      <diagonal/>
    </border>
    <border>
      <left/>
      <right style="hair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 style="thin">
        <color theme="0" tint="-0.499984740745262"/>
      </right>
      <top/>
      <bottom/>
      <diagonal/>
    </border>
  </borders>
  <cellStyleXfs count="32">
    <xf numFmtId="0" fontId="0" fillId="0" borderId="0"/>
    <xf numFmtId="166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10" fillId="0" borderId="0"/>
    <xf numFmtId="0" fontId="7" fillId="0" borderId="0"/>
    <xf numFmtId="0" fontId="17" fillId="0" borderId="0"/>
    <xf numFmtId="0" fontId="52" fillId="0" borderId="0"/>
    <xf numFmtId="164" fontId="8" fillId="0" borderId="0" applyFont="0" applyFill="0" applyBorder="0" applyAlignment="0" applyProtection="0"/>
    <xf numFmtId="0" fontId="53" fillId="0" borderId="0" applyAlignment="0">
      <alignment vertical="top" wrapText="1"/>
      <protection locked="0"/>
    </xf>
    <xf numFmtId="0" fontId="7" fillId="16" borderId="0" applyNumberFormat="0" applyBorder="0" applyAlignment="0" applyProtection="0"/>
    <xf numFmtId="166" fontId="54" fillId="0" borderId="0" applyFont="0" applyFill="0" applyBorder="0" applyAlignment="0" applyProtection="0"/>
    <xf numFmtId="0" fontId="57" fillId="0" borderId="0"/>
    <xf numFmtId="0" fontId="6" fillId="0" borderId="0"/>
    <xf numFmtId="43" fontId="6" fillId="0" borderId="0" applyFont="0" applyFill="0" applyBorder="0" applyAlignment="0" applyProtection="0"/>
    <xf numFmtId="0" fontId="5" fillId="0" borderId="0"/>
    <xf numFmtId="43" fontId="5" fillId="0" borderId="0" applyFont="0" applyFill="0" applyBorder="0" applyAlignment="0" applyProtection="0"/>
    <xf numFmtId="0" fontId="82" fillId="0" borderId="0"/>
    <xf numFmtId="0" fontId="4" fillId="0" borderId="0"/>
    <xf numFmtId="43" fontId="4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1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</cellStyleXfs>
  <cellXfs count="317">
    <xf numFmtId="0" fontId="0" fillId="0" borderId="0" xfId="0"/>
    <xf numFmtId="169" fontId="12" fillId="2" borderId="0" xfId="2" applyNumberFormat="1" applyFont="1" applyFill="1"/>
    <xf numFmtId="0" fontId="18" fillId="0" borderId="5" xfId="7" applyFont="1" applyBorder="1" applyAlignment="1">
      <alignment horizontal="center" vertical="center"/>
    </xf>
    <xf numFmtId="0" fontId="18" fillId="0" borderId="6" xfId="7" applyFont="1" applyBorder="1" applyAlignment="1">
      <alignment horizontal="center" vertical="center"/>
    </xf>
    <xf numFmtId="0" fontId="19" fillId="7" borderId="6" xfId="7" applyFont="1" applyFill="1" applyBorder="1" applyAlignment="1">
      <alignment horizontal="center" vertical="center"/>
    </xf>
    <xf numFmtId="0" fontId="19" fillId="0" borderId="6" xfId="7" applyFont="1" applyBorder="1" applyAlignment="1">
      <alignment horizontal="center" vertical="center"/>
    </xf>
    <xf numFmtId="0" fontId="19" fillId="0" borderId="7" xfId="7" applyFont="1" applyBorder="1" applyAlignment="1">
      <alignment horizontal="center" vertical="center"/>
    </xf>
    <xf numFmtId="0" fontId="19" fillId="0" borderId="0" xfId="7" applyFont="1" applyAlignment="1">
      <alignment horizontal="center" vertical="center"/>
    </xf>
    <xf numFmtId="0" fontId="18" fillId="0" borderId="0" xfId="7" applyFont="1" applyAlignment="1">
      <alignment horizontal="center" vertical="center"/>
    </xf>
    <xf numFmtId="0" fontId="17" fillId="0" borderId="0" xfId="7"/>
    <xf numFmtId="0" fontId="18" fillId="0" borderId="8" xfId="7" applyFont="1" applyBorder="1" applyAlignment="1">
      <alignment horizontal="center" vertical="center"/>
    </xf>
    <xf numFmtId="0" fontId="18" fillId="0" borderId="9" xfId="7" applyFont="1" applyBorder="1" applyAlignment="1">
      <alignment horizontal="center" vertical="center"/>
    </xf>
    <xf numFmtId="0" fontId="18" fillId="0" borderId="9" xfId="7" applyFont="1" applyBorder="1" applyAlignment="1">
      <alignment horizontal="right" vertical="center"/>
    </xf>
    <xf numFmtId="0" fontId="18" fillId="0" borderId="10" xfId="7" applyFont="1" applyBorder="1" applyAlignment="1">
      <alignment horizontal="center" vertical="center"/>
    </xf>
    <xf numFmtId="0" fontId="19" fillId="8" borderId="8" xfId="7" applyFont="1" applyFill="1" applyBorder="1" applyAlignment="1">
      <alignment horizontal="center" vertical="center"/>
    </xf>
    <xf numFmtId="0" fontId="19" fillId="8" borderId="9" xfId="7" applyFont="1" applyFill="1" applyBorder="1" applyAlignment="1">
      <alignment horizontal="center" vertical="center"/>
    </xf>
    <xf numFmtId="0" fontId="20" fillId="0" borderId="0" xfId="7" applyFont="1" applyAlignment="1">
      <alignment horizontal="left" vertical="center"/>
    </xf>
    <xf numFmtId="0" fontId="21" fillId="0" borderId="0" xfId="7" applyFont="1" applyAlignment="1">
      <alignment horizontal="left" vertical="center"/>
    </xf>
    <xf numFmtId="0" fontId="22" fillId="0" borderId="0" xfId="7" applyFont="1" applyAlignment="1">
      <alignment horizontal="left" vertical="center"/>
    </xf>
    <xf numFmtId="0" fontId="23" fillId="0" borderId="0" xfId="7" applyFont="1" applyAlignment="1">
      <alignment vertical="center"/>
    </xf>
    <xf numFmtId="0" fontId="18" fillId="0" borderId="0" xfId="7" applyFont="1" applyAlignment="1">
      <alignment vertical="center"/>
    </xf>
    <xf numFmtId="0" fontId="11" fillId="0" borderId="0" xfId="7" applyFont="1" applyAlignment="1">
      <alignment horizontal="left" vertical="center"/>
    </xf>
    <xf numFmtId="0" fontId="24" fillId="0" borderId="0" xfId="7" applyFont="1" applyAlignment="1">
      <alignment horizontal="center" vertical="center"/>
    </xf>
    <xf numFmtId="0" fontId="20" fillId="0" borderId="0" xfId="7" applyFont="1" applyAlignment="1">
      <alignment vertical="center"/>
    </xf>
    <xf numFmtId="0" fontId="20" fillId="0" borderId="0" xfId="7" applyFont="1" applyAlignment="1">
      <alignment horizontal="center" vertical="center"/>
    </xf>
    <xf numFmtId="0" fontId="18" fillId="0" borderId="11" xfId="7" applyFont="1" applyBorder="1" applyAlignment="1">
      <alignment horizontal="left" vertical="center"/>
    </xf>
    <xf numFmtId="0" fontId="18" fillId="0" borderId="12" xfId="7" applyFont="1" applyBorder="1" applyAlignment="1">
      <alignment horizontal="left" vertical="center"/>
    </xf>
    <xf numFmtId="0" fontId="18" fillId="0" borderId="12" xfId="7" applyFont="1" applyBorder="1" applyAlignment="1">
      <alignment horizontal="center" vertical="center"/>
    </xf>
    <xf numFmtId="0" fontId="18" fillId="0" borderId="13" xfId="7" applyFont="1" applyBorder="1" applyAlignment="1">
      <alignment horizontal="center" vertical="center"/>
    </xf>
    <xf numFmtId="0" fontId="18" fillId="0" borderId="14" xfId="7" applyFont="1" applyBorder="1" applyAlignment="1">
      <alignment horizontal="left" vertical="center"/>
    </xf>
    <xf numFmtId="0" fontId="18" fillId="0" borderId="0" xfId="7" applyFont="1" applyAlignment="1">
      <alignment horizontal="left" vertical="center"/>
    </xf>
    <xf numFmtId="0" fontId="18" fillId="0" borderId="15" xfId="7" applyFont="1" applyBorder="1" applyAlignment="1">
      <alignment horizontal="center" vertical="center"/>
    </xf>
    <xf numFmtId="0" fontId="20" fillId="0" borderId="14" xfId="7" applyFont="1" applyBorder="1" applyAlignment="1">
      <alignment vertical="center"/>
    </xf>
    <xf numFmtId="0" fontId="28" fillId="0" borderId="0" xfId="7" applyFont="1" applyAlignment="1">
      <alignment vertical="center"/>
    </xf>
    <xf numFmtId="0" fontId="28" fillId="0" borderId="0" xfId="7" applyFont="1" applyAlignment="1">
      <alignment horizontal="right" vertical="center"/>
    </xf>
    <xf numFmtId="0" fontId="18" fillId="0" borderId="15" xfId="7" applyFont="1" applyBorder="1" applyAlignment="1">
      <alignment vertical="center"/>
    </xf>
    <xf numFmtId="0" fontId="29" fillId="0" borderId="0" xfId="7" applyFont="1" applyAlignment="1">
      <alignment horizontal="right" vertical="center"/>
    </xf>
    <xf numFmtId="0" fontId="29" fillId="0" borderId="0" xfId="7" applyFont="1" applyAlignment="1">
      <alignment horizontal="left" vertical="center"/>
    </xf>
    <xf numFmtId="0" fontId="30" fillId="0" borderId="0" xfId="7" applyFont="1"/>
    <xf numFmtId="0" fontId="31" fillId="0" borderId="14" xfId="7" applyFont="1" applyBorder="1" applyAlignment="1">
      <alignment horizontal="center" vertical="center"/>
    </xf>
    <xf numFmtId="0" fontId="33" fillId="0" borderId="0" xfId="7" applyFont="1" applyAlignment="1">
      <alignment horizontal="center" vertical="center"/>
    </xf>
    <xf numFmtId="0" fontId="31" fillId="0" borderId="15" xfId="7" applyFont="1" applyBorder="1" applyAlignment="1">
      <alignment horizontal="center" vertical="center"/>
    </xf>
    <xf numFmtId="0" fontId="31" fillId="0" borderId="0" xfId="7" applyFont="1" applyAlignment="1">
      <alignment horizontal="center" vertical="center"/>
    </xf>
    <xf numFmtId="0" fontId="18" fillId="0" borderId="14" xfId="7" applyFont="1" applyBorder="1" applyAlignment="1">
      <alignment horizontal="center" vertical="center"/>
    </xf>
    <xf numFmtId="0" fontId="36" fillId="9" borderId="17" xfId="7" applyFont="1" applyFill="1" applyBorder="1" applyAlignment="1">
      <alignment horizontal="center" vertical="center"/>
    </xf>
    <xf numFmtId="0" fontId="36" fillId="10" borderId="18" xfId="7" applyFont="1" applyFill="1" applyBorder="1" applyAlignment="1">
      <alignment horizontal="center" vertical="center"/>
    </xf>
    <xf numFmtId="0" fontId="36" fillId="10" borderId="19" xfId="7" applyFont="1" applyFill="1" applyBorder="1" applyAlignment="1">
      <alignment horizontal="center" vertical="center"/>
    </xf>
    <xf numFmtId="0" fontId="36" fillId="10" borderId="20" xfId="7" applyFont="1" applyFill="1" applyBorder="1" applyAlignment="1">
      <alignment horizontal="center" vertical="center"/>
    </xf>
    <xf numFmtId="0" fontId="37" fillId="0" borderId="0" xfId="7" applyFont="1" applyAlignment="1">
      <alignment horizontal="center" vertical="center"/>
    </xf>
    <xf numFmtId="0" fontId="20" fillId="0" borderId="14" xfId="7" applyFont="1" applyBorder="1" applyAlignment="1">
      <alignment horizontal="center" vertical="center"/>
    </xf>
    <xf numFmtId="0" fontId="38" fillId="9" borderId="21" xfId="7" applyFont="1" applyFill="1" applyBorder="1" applyAlignment="1">
      <alignment horizontal="center" vertical="center"/>
    </xf>
    <xf numFmtId="0" fontId="39" fillId="0" borderId="22" xfId="7" applyFont="1" applyBorder="1" applyAlignment="1">
      <alignment horizontal="center" vertical="center"/>
    </xf>
    <xf numFmtId="0" fontId="24" fillId="0" borderId="23" xfId="7" applyFont="1" applyBorder="1" applyAlignment="1">
      <alignment horizontal="center" vertical="center"/>
    </xf>
    <xf numFmtId="0" fontId="39" fillId="0" borderId="24" xfId="7" applyFont="1" applyBorder="1" applyAlignment="1">
      <alignment horizontal="center" vertical="center"/>
    </xf>
    <xf numFmtId="0" fontId="40" fillId="9" borderId="25" xfId="7" applyFont="1" applyFill="1" applyBorder="1" applyAlignment="1">
      <alignment horizontal="center" vertical="center"/>
    </xf>
    <xf numFmtId="0" fontId="38" fillId="9" borderId="25" xfId="7" applyFont="1" applyFill="1" applyBorder="1" applyAlignment="1">
      <alignment horizontal="center" vertical="center"/>
    </xf>
    <xf numFmtId="0" fontId="39" fillId="11" borderId="26" xfId="7" applyFont="1" applyFill="1" applyBorder="1" applyAlignment="1">
      <alignment horizontal="center" vertical="center"/>
    </xf>
    <xf numFmtId="0" fontId="24" fillId="0" borderId="27" xfId="7" applyFont="1" applyBorder="1" applyAlignment="1">
      <alignment horizontal="center" vertical="center"/>
    </xf>
    <xf numFmtId="0" fontId="39" fillId="0" borderId="28" xfId="7" applyFont="1" applyBorder="1" applyAlignment="1">
      <alignment horizontal="center" vertical="center"/>
    </xf>
    <xf numFmtId="0" fontId="39" fillId="0" borderId="27" xfId="7" applyFont="1" applyBorder="1" applyAlignment="1">
      <alignment horizontal="center" vertical="center"/>
    </xf>
    <xf numFmtId="0" fontId="38" fillId="9" borderId="29" xfId="7" applyFont="1" applyFill="1" applyBorder="1" applyAlignment="1">
      <alignment horizontal="center" vertical="center"/>
    </xf>
    <xf numFmtId="0" fontId="39" fillId="11" borderId="30" xfId="7" applyFont="1" applyFill="1" applyBorder="1" applyAlignment="1">
      <alignment horizontal="center" vertical="center"/>
    </xf>
    <xf numFmtId="0" fontId="24" fillId="0" borderId="31" xfId="7" applyFont="1" applyBorder="1" applyAlignment="1">
      <alignment horizontal="center" vertical="center"/>
    </xf>
    <xf numFmtId="0" fontId="39" fillId="0" borderId="32" xfId="7" applyFont="1" applyBorder="1" applyAlignment="1">
      <alignment horizontal="center" vertical="center"/>
    </xf>
    <xf numFmtId="0" fontId="40" fillId="9" borderId="29" xfId="7" applyFont="1" applyFill="1" applyBorder="1" applyAlignment="1">
      <alignment horizontal="center" vertical="center"/>
    </xf>
    <xf numFmtId="0" fontId="39" fillId="0" borderId="30" xfId="7" applyFont="1" applyBorder="1" applyAlignment="1">
      <alignment horizontal="center" vertical="center"/>
    </xf>
    <xf numFmtId="0" fontId="41" fillId="0" borderId="0" xfId="7" applyFont="1" applyAlignment="1">
      <alignment horizontal="center" vertical="center"/>
    </xf>
    <xf numFmtId="0" fontId="42" fillId="11" borderId="0" xfId="7" applyFont="1" applyFill="1" applyAlignment="1">
      <alignment horizontal="center" vertical="center"/>
    </xf>
    <xf numFmtId="0" fontId="42" fillId="0" borderId="0" xfId="7" applyFont="1" applyAlignment="1">
      <alignment horizontal="center" vertical="center"/>
    </xf>
    <xf numFmtId="0" fontId="33" fillId="0" borderId="14" xfId="7" applyFont="1" applyBorder="1" applyAlignment="1">
      <alignment horizontal="center" vertical="center"/>
    </xf>
    <xf numFmtId="0" fontId="33" fillId="0" borderId="15" xfId="7" applyFont="1" applyBorder="1" applyAlignment="1">
      <alignment horizontal="center" vertical="center"/>
    </xf>
    <xf numFmtId="0" fontId="40" fillId="9" borderId="21" xfId="7" applyFont="1" applyFill="1" applyBorder="1" applyAlignment="1">
      <alignment horizontal="center" vertical="center"/>
    </xf>
    <xf numFmtId="0" fontId="40" fillId="0" borderId="0" xfId="7" applyFont="1" applyAlignment="1">
      <alignment horizontal="center" vertical="center"/>
    </xf>
    <xf numFmtId="0" fontId="39" fillId="11" borderId="0" xfId="7" applyFont="1" applyFill="1" applyAlignment="1">
      <alignment horizontal="center" vertical="center"/>
    </xf>
    <xf numFmtId="0" fontId="39" fillId="0" borderId="0" xfId="7" applyFont="1" applyAlignment="1">
      <alignment horizontal="center" vertical="center"/>
    </xf>
    <xf numFmtId="0" fontId="45" fillId="0" borderId="23" xfId="7" applyFont="1" applyBorder="1" applyAlignment="1">
      <alignment horizontal="center" vertical="center"/>
    </xf>
    <xf numFmtId="0" fontId="45" fillId="0" borderId="27" xfId="7" applyFont="1" applyBorder="1" applyAlignment="1">
      <alignment horizontal="center" vertical="center"/>
    </xf>
    <xf numFmtId="0" fontId="39" fillId="11" borderId="22" xfId="7" applyFont="1" applyFill="1" applyBorder="1" applyAlignment="1">
      <alignment horizontal="center" vertical="center"/>
    </xf>
    <xf numFmtId="0" fontId="24" fillId="11" borderId="23" xfId="7" applyFont="1" applyFill="1" applyBorder="1" applyAlignment="1">
      <alignment horizontal="center" vertical="center"/>
    </xf>
    <xf numFmtId="0" fontId="39" fillId="0" borderId="26" xfId="7" applyFont="1" applyBorder="1" applyAlignment="1">
      <alignment horizontal="center" vertical="center"/>
    </xf>
    <xf numFmtId="0" fontId="24" fillId="11" borderId="27" xfId="7" applyFont="1" applyFill="1" applyBorder="1" applyAlignment="1">
      <alignment horizontal="center" vertical="center"/>
    </xf>
    <xf numFmtId="0" fontId="18" fillId="0" borderId="33" xfId="7" applyFont="1" applyBorder="1" applyAlignment="1">
      <alignment horizontal="center" vertical="center"/>
    </xf>
    <xf numFmtId="0" fontId="18" fillId="0" borderId="16" xfId="7" applyFont="1" applyBorder="1" applyAlignment="1">
      <alignment horizontal="center" vertical="center"/>
    </xf>
    <xf numFmtId="0" fontId="46" fillId="0" borderId="16" xfId="7" applyFont="1" applyBorder="1" applyAlignment="1">
      <alignment horizontal="left" vertical="center"/>
    </xf>
    <xf numFmtId="0" fontId="18" fillId="0" borderId="16" xfId="7" applyFont="1" applyBorder="1" applyAlignment="1">
      <alignment horizontal="left" vertical="center"/>
    </xf>
    <xf numFmtId="0" fontId="47" fillId="0" borderId="16" xfId="7" applyFont="1" applyBorder="1" applyAlignment="1">
      <alignment horizontal="left" vertical="center"/>
    </xf>
    <xf numFmtId="0" fontId="48" fillId="0" borderId="16" xfId="7" applyFont="1" applyBorder="1" applyAlignment="1">
      <alignment horizontal="left" vertical="center"/>
    </xf>
    <xf numFmtId="0" fontId="49" fillId="0" borderId="16" xfId="7" applyFont="1" applyBorder="1" applyAlignment="1">
      <alignment horizontal="left" vertical="center"/>
    </xf>
    <xf numFmtId="0" fontId="50" fillId="0" borderId="16" xfId="7" applyFont="1" applyBorder="1" applyAlignment="1">
      <alignment horizontal="left" vertical="center"/>
    </xf>
    <xf numFmtId="0" fontId="50" fillId="0" borderId="16" xfId="7" applyFont="1" applyBorder="1" applyAlignment="1">
      <alignment horizontal="center" vertical="center"/>
    </xf>
    <xf numFmtId="0" fontId="51" fillId="0" borderId="16" xfId="7" applyFont="1" applyBorder="1" applyAlignment="1">
      <alignment horizontal="right" vertical="center"/>
    </xf>
    <xf numFmtId="0" fontId="51" fillId="0" borderId="32" xfId="7" applyFont="1" applyBorder="1" applyAlignment="1">
      <alignment horizontal="right" vertical="center"/>
    </xf>
    <xf numFmtId="175" fontId="13" fillId="2" borderId="0" xfId="1" applyNumberFormat="1" applyFont="1" applyFill="1"/>
    <xf numFmtId="0" fontId="12" fillId="2" borderId="0" xfId="0" applyFont="1" applyFill="1"/>
    <xf numFmtId="0" fontId="12" fillId="0" borderId="0" xfId="0" applyFont="1"/>
    <xf numFmtId="0" fontId="12" fillId="0" borderId="0" xfId="0" applyFont="1" applyAlignment="1">
      <alignment horizontal="center"/>
    </xf>
    <xf numFmtId="171" fontId="12" fillId="2" borderId="0" xfId="1" applyNumberFormat="1" applyFont="1" applyFill="1"/>
    <xf numFmtId="0" fontId="13" fillId="2" borderId="0" xfId="0" applyFont="1" applyFill="1" applyAlignment="1">
      <alignment horizontal="center"/>
    </xf>
    <xf numFmtId="0" fontId="12" fillId="2" borderId="0" xfId="0" applyFont="1" applyFill="1" applyAlignment="1">
      <alignment horizontal="center"/>
    </xf>
    <xf numFmtId="169" fontId="58" fillId="2" borderId="0" xfId="2" applyNumberFormat="1" applyFont="1" applyFill="1"/>
    <xf numFmtId="0" fontId="13" fillId="0" borderId="0" xfId="0" applyFont="1" applyAlignment="1">
      <alignment horizontal="center"/>
    </xf>
    <xf numFmtId="171" fontId="12" fillId="0" borderId="0" xfId="1" applyNumberFormat="1" applyFont="1" applyFill="1"/>
    <xf numFmtId="169" fontId="12" fillId="0" borderId="0" xfId="2" applyNumberFormat="1" applyFont="1" applyFill="1"/>
    <xf numFmtId="0" fontId="59" fillId="2" borderId="0" xfId="0" applyFont="1" applyFill="1"/>
    <xf numFmtId="169" fontId="61" fillId="2" borderId="0" xfId="2" applyNumberFormat="1" applyFont="1" applyFill="1" applyBorder="1"/>
    <xf numFmtId="0" fontId="61" fillId="2" borderId="0" xfId="0" applyFont="1" applyFill="1"/>
    <xf numFmtId="0" fontId="63" fillId="0" borderId="0" xfId="0" applyFont="1" applyAlignment="1">
      <alignment horizontal="center" vertical="center" wrapText="1"/>
    </xf>
    <xf numFmtId="14" fontId="59" fillId="2" borderId="0" xfId="2" applyNumberFormat="1" applyFont="1" applyFill="1" applyBorder="1" applyAlignment="1">
      <alignment horizontal="center"/>
    </xf>
    <xf numFmtId="169" fontId="60" fillId="2" borderId="0" xfId="1" applyNumberFormat="1" applyFont="1" applyFill="1" applyBorder="1" applyAlignment="1">
      <alignment horizontal="center"/>
    </xf>
    <xf numFmtId="0" fontId="68" fillId="2" borderId="0" xfId="3" applyNumberFormat="1" applyFont="1" applyFill="1" applyBorder="1" applyAlignment="1">
      <alignment horizontal="center" vertical="center" wrapText="1"/>
    </xf>
    <xf numFmtId="0" fontId="68" fillId="2" borderId="0" xfId="3" applyNumberFormat="1" applyFont="1" applyFill="1" applyBorder="1" applyAlignment="1">
      <alignment vertical="center" wrapText="1"/>
    </xf>
    <xf numFmtId="0" fontId="65" fillId="2" borderId="0" xfId="0" applyFont="1" applyFill="1" applyAlignment="1">
      <alignment horizontal="center" vertical="center" wrapText="1"/>
    </xf>
    <xf numFmtId="0" fontId="59" fillId="2" borderId="0" xfId="0" applyFont="1" applyFill="1" applyAlignment="1">
      <alignment horizontal="center" vertical="center" wrapText="1"/>
    </xf>
    <xf numFmtId="175" fontId="59" fillId="2" borderId="0" xfId="1" applyNumberFormat="1" applyFont="1" applyFill="1" applyBorder="1" applyAlignment="1">
      <alignment horizontal="center"/>
    </xf>
    <xf numFmtId="0" fontId="64" fillId="2" borderId="0" xfId="0" applyFont="1" applyFill="1"/>
    <xf numFmtId="169" fontId="59" fillId="2" borderId="0" xfId="2" applyNumberFormat="1" applyFont="1" applyFill="1" applyBorder="1" applyAlignment="1"/>
    <xf numFmtId="169" fontId="61" fillId="2" borderId="0" xfId="3" applyNumberFormat="1" applyFont="1" applyFill="1" applyBorder="1"/>
    <xf numFmtId="1" fontId="59" fillId="2" borderId="0" xfId="0" applyNumberFormat="1" applyFont="1" applyFill="1"/>
    <xf numFmtId="0" fontId="70" fillId="2" borderId="0" xfId="0" applyFont="1" applyFill="1" applyAlignment="1">
      <alignment horizontal="left"/>
    </xf>
    <xf numFmtId="0" fontId="70" fillId="2" borderId="0" xfId="0" applyFont="1" applyFill="1"/>
    <xf numFmtId="169" fontId="72" fillId="2" borderId="0" xfId="2" applyNumberFormat="1" applyFont="1" applyFill="1"/>
    <xf numFmtId="169" fontId="72" fillId="0" borderId="0" xfId="2" applyNumberFormat="1" applyFont="1" applyFill="1"/>
    <xf numFmtId="169" fontId="72" fillId="2" borderId="0" xfId="2" applyNumberFormat="1" applyFont="1" applyFill="1" applyBorder="1"/>
    <xf numFmtId="169" fontId="70" fillId="2" borderId="0" xfId="2" applyNumberFormat="1" applyFont="1" applyFill="1" applyBorder="1" applyAlignment="1">
      <alignment vertical="center"/>
    </xf>
    <xf numFmtId="169" fontId="73" fillId="2" borderId="0" xfId="2" applyNumberFormat="1" applyFont="1" applyFill="1" applyBorder="1"/>
    <xf numFmtId="169" fontId="73" fillId="2" borderId="0" xfId="0" applyNumberFormat="1" applyFont="1" applyFill="1"/>
    <xf numFmtId="169" fontId="70" fillId="2" borderId="0" xfId="0" applyNumberFormat="1" applyFont="1" applyFill="1" applyAlignment="1">
      <alignment vertical="center"/>
    </xf>
    <xf numFmtId="0" fontId="72" fillId="2" borderId="0" xfId="0" applyFont="1" applyFill="1"/>
    <xf numFmtId="169" fontId="70" fillId="2" borderId="0" xfId="2" applyNumberFormat="1" applyFont="1" applyFill="1" applyAlignment="1"/>
    <xf numFmtId="169" fontId="74" fillId="2" borderId="0" xfId="2" applyNumberFormat="1" applyFont="1" applyFill="1" applyAlignment="1"/>
    <xf numFmtId="169" fontId="70" fillId="2" borderId="0" xfId="2" applyNumberFormat="1" applyFont="1" applyFill="1" applyAlignment="1">
      <alignment vertical="center"/>
    </xf>
    <xf numFmtId="169" fontId="72" fillId="2" borderId="0" xfId="0" applyNumberFormat="1" applyFont="1" applyFill="1"/>
    <xf numFmtId="169" fontId="9" fillId="0" borderId="0" xfId="2" applyNumberFormat="1" applyFont="1" applyFill="1" applyAlignment="1">
      <alignment vertical="center"/>
    </xf>
    <xf numFmtId="169" fontId="69" fillId="0" borderId="0" xfId="2" applyNumberFormat="1" applyFont="1" applyFill="1" applyAlignment="1"/>
    <xf numFmtId="169" fontId="9" fillId="0" borderId="0" xfId="2" applyNumberFormat="1" applyFont="1" applyFill="1" applyAlignment="1"/>
    <xf numFmtId="14" fontId="59" fillId="0" borderId="36" xfId="2" applyNumberFormat="1" applyFont="1" applyFill="1" applyBorder="1" applyAlignment="1">
      <alignment vertical="center"/>
    </xf>
    <xf numFmtId="169" fontId="9" fillId="0" borderId="0" xfId="2" applyNumberFormat="1" applyFont="1" applyFill="1"/>
    <xf numFmtId="169" fontId="9" fillId="2" borderId="0" xfId="2" applyNumberFormat="1" applyFont="1" applyFill="1" applyBorder="1" applyAlignment="1">
      <alignment vertical="center"/>
    </xf>
    <xf numFmtId="169" fontId="69" fillId="2" borderId="0" xfId="2" applyNumberFormat="1" applyFont="1" applyFill="1" applyAlignment="1"/>
    <xf numFmtId="169" fontId="69" fillId="0" borderId="36" xfId="2" applyNumberFormat="1" applyFont="1" applyFill="1" applyBorder="1" applyAlignment="1"/>
    <xf numFmtId="169" fontId="69" fillId="0" borderId="0" xfId="2" applyNumberFormat="1" applyFont="1" applyFill="1" applyBorder="1" applyAlignment="1"/>
    <xf numFmtId="169" fontId="55" fillId="0" borderId="0" xfId="2" applyNumberFormat="1" applyFont="1" applyFill="1" applyBorder="1" applyAlignment="1"/>
    <xf numFmtId="169" fontId="9" fillId="0" borderId="0" xfId="2" applyNumberFormat="1" applyFont="1" applyFill="1" applyBorder="1" applyAlignment="1">
      <alignment vertical="center"/>
    </xf>
    <xf numFmtId="169" fontId="62" fillId="0" borderId="0" xfId="2" applyNumberFormat="1" applyFont="1" applyFill="1"/>
    <xf numFmtId="169" fontId="75" fillId="0" borderId="0" xfId="2" applyNumberFormat="1" applyFont="1" applyFill="1" applyAlignment="1">
      <alignment vertical="center"/>
    </xf>
    <xf numFmtId="169" fontId="75" fillId="0" borderId="0" xfId="2" applyNumberFormat="1" applyFont="1" applyFill="1" applyAlignment="1"/>
    <xf numFmtId="14" fontId="76" fillId="0" borderId="36" xfId="2" applyNumberFormat="1" applyFont="1" applyFill="1" applyBorder="1" applyAlignment="1">
      <alignment vertical="center"/>
    </xf>
    <xf numFmtId="169" fontId="75" fillId="0" borderId="0" xfId="2" applyNumberFormat="1" applyFont="1" applyFill="1"/>
    <xf numFmtId="169" fontId="70" fillId="0" borderId="0" xfId="2" applyNumberFormat="1" applyFont="1" applyFill="1" applyAlignment="1"/>
    <xf numFmtId="169" fontId="59" fillId="0" borderId="0" xfId="2" applyNumberFormat="1" applyFont="1" applyFill="1" applyBorder="1" applyAlignment="1"/>
    <xf numFmtId="0" fontId="69" fillId="0" borderId="1" xfId="0" applyFont="1" applyBorder="1" applyAlignment="1">
      <alignment horizontal="center" vertical="center"/>
    </xf>
    <xf numFmtId="0" fontId="70" fillId="0" borderId="0" xfId="0" applyFont="1" applyAlignment="1">
      <alignment horizontal="left"/>
    </xf>
    <xf numFmtId="169" fontId="55" fillId="0" borderId="1" xfId="2" applyNumberFormat="1" applyFont="1" applyFill="1" applyBorder="1" applyAlignment="1">
      <alignment horizontal="center" vertical="center" wrapText="1"/>
    </xf>
    <xf numFmtId="0" fontId="55" fillId="0" borderId="1" xfId="0" applyFont="1" applyBorder="1" applyAlignment="1">
      <alignment horizontal="center" vertical="center" wrapText="1"/>
    </xf>
    <xf numFmtId="0" fontId="78" fillId="0" borderId="1" xfId="0" applyFont="1" applyBorder="1" applyAlignment="1">
      <alignment horizontal="center" vertical="center"/>
    </xf>
    <xf numFmtId="168" fontId="69" fillId="0" borderId="1" xfId="3" applyNumberFormat="1" applyFont="1" applyFill="1" applyBorder="1" applyAlignment="1">
      <alignment vertical="center"/>
    </xf>
    <xf numFmtId="169" fontId="79" fillId="0" borderId="1" xfId="2" applyNumberFormat="1" applyFont="1" applyFill="1" applyBorder="1" applyAlignment="1">
      <alignment vertical="center"/>
    </xf>
    <xf numFmtId="169" fontId="69" fillId="0" borderId="1" xfId="2" applyNumberFormat="1" applyFont="1" applyFill="1" applyBorder="1" applyAlignment="1">
      <alignment vertical="center"/>
    </xf>
    <xf numFmtId="3" fontId="78" fillId="0" borderId="1" xfId="0" applyNumberFormat="1" applyFont="1" applyBorder="1" applyAlignment="1">
      <alignment horizontal="right" vertical="center" wrapText="1"/>
    </xf>
    <xf numFmtId="169" fontId="78" fillId="0" borderId="1" xfId="2" applyNumberFormat="1" applyFont="1" applyFill="1" applyBorder="1" applyAlignment="1">
      <alignment vertical="center"/>
    </xf>
    <xf numFmtId="172" fontId="69" fillId="0" borderId="1" xfId="2" applyNumberFormat="1" applyFont="1" applyFill="1" applyBorder="1" applyAlignment="1">
      <alignment vertical="center"/>
    </xf>
    <xf numFmtId="169" fontId="79" fillId="0" borderId="1" xfId="2" applyNumberFormat="1" applyFont="1" applyFill="1" applyBorder="1" applyAlignment="1">
      <alignment horizontal="center" vertical="center" wrapText="1"/>
    </xf>
    <xf numFmtId="0" fontId="69" fillId="0" borderId="1" xfId="0" applyFont="1" applyBorder="1" applyAlignment="1">
      <alignment vertical="center"/>
    </xf>
    <xf numFmtId="175" fontId="69" fillId="0" borderId="1" xfId="1" applyNumberFormat="1" applyFont="1" applyFill="1" applyBorder="1" applyAlignment="1">
      <alignment vertical="center"/>
    </xf>
    <xf numFmtId="3" fontId="69" fillId="0" borderId="1" xfId="0" applyNumberFormat="1" applyFont="1" applyBorder="1" applyAlignment="1">
      <alignment horizontal="right" vertical="center" wrapText="1"/>
    </xf>
    <xf numFmtId="169" fontId="69" fillId="0" borderId="1" xfId="2" applyNumberFormat="1" applyFont="1" applyFill="1" applyBorder="1" applyAlignment="1">
      <alignment horizontal="center" vertical="center" wrapText="1"/>
    </xf>
    <xf numFmtId="171" fontId="79" fillId="0" borderId="1" xfId="1" applyNumberFormat="1" applyFont="1" applyFill="1" applyBorder="1" applyAlignment="1">
      <alignment horizontal="center" vertical="center"/>
    </xf>
    <xf numFmtId="43" fontId="78" fillId="0" borderId="1" xfId="3" applyFont="1" applyFill="1" applyBorder="1" applyAlignment="1">
      <alignment vertical="center"/>
    </xf>
    <xf numFmtId="0" fontId="78" fillId="0" borderId="0" xfId="0" applyFont="1" applyAlignment="1">
      <alignment vertical="center"/>
    </xf>
    <xf numFmtId="168" fontId="78" fillId="0" borderId="1" xfId="3" applyNumberFormat="1" applyFont="1" applyFill="1" applyBorder="1" applyAlignment="1">
      <alignment vertical="center"/>
    </xf>
    <xf numFmtId="175" fontId="78" fillId="0" borderId="1" xfId="1" applyNumberFormat="1" applyFont="1" applyFill="1" applyBorder="1" applyAlignment="1">
      <alignment vertical="center"/>
    </xf>
    <xf numFmtId="168" fontId="78" fillId="0" borderId="1" xfId="2" applyNumberFormat="1" applyFont="1" applyFill="1" applyBorder="1" applyAlignment="1">
      <alignment vertical="center"/>
    </xf>
    <xf numFmtId="169" fontId="78" fillId="0" borderId="1" xfId="2" applyNumberFormat="1" applyFont="1" applyFill="1" applyBorder="1" applyAlignment="1">
      <alignment horizontal="center" vertical="center" wrapText="1"/>
    </xf>
    <xf numFmtId="169" fontId="78" fillId="0" borderId="1" xfId="0" applyNumberFormat="1" applyFont="1" applyBorder="1" applyAlignment="1">
      <alignment vertical="center"/>
    </xf>
    <xf numFmtId="173" fontId="80" fillId="0" borderId="1" xfId="3" applyNumberFormat="1" applyFont="1" applyFill="1" applyBorder="1" applyAlignment="1">
      <alignment horizontal="center" vertical="center" wrapText="1"/>
    </xf>
    <xf numFmtId="173" fontId="80" fillId="2" borderId="1" xfId="3" applyNumberFormat="1" applyFont="1" applyFill="1" applyBorder="1" applyAlignment="1">
      <alignment horizontal="center" vertical="center" wrapText="1"/>
    </xf>
    <xf numFmtId="173" fontId="77" fillId="2" borderId="1" xfId="3" applyNumberFormat="1" applyFont="1" applyFill="1" applyBorder="1" applyAlignment="1">
      <alignment horizontal="center" vertical="center" wrapText="1"/>
    </xf>
    <xf numFmtId="0" fontId="55" fillId="6" borderId="1" xfId="0" applyFont="1" applyFill="1" applyBorder="1" applyAlignment="1">
      <alignment horizontal="center" vertical="center" wrapText="1"/>
    </xf>
    <xf numFmtId="173" fontId="55" fillId="2" borderId="1" xfId="0" applyNumberFormat="1" applyFont="1" applyFill="1" applyBorder="1" applyAlignment="1">
      <alignment horizontal="center" vertical="center" wrapText="1"/>
    </xf>
    <xf numFmtId="173" fontId="55" fillId="0" borderId="1" xfId="0" applyNumberFormat="1" applyFont="1" applyBorder="1" applyAlignment="1">
      <alignment horizontal="center" vertical="center" wrapText="1"/>
    </xf>
    <xf numFmtId="169" fontId="77" fillId="0" borderId="1" xfId="2" applyNumberFormat="1" applyFont="1" applyFill="1" applyBorder="1" applyAlignment="1">
      <alignment horizontal="center" vertical="center" wrapText="1"/>
    </xf>
    <xf numFmtId="169" fontId="55" fillId="6" borderId="1" xfId="2" applyNumberFormat="1" applyFont="1" applyFill="1" applyBorder="1" applyAlignment="1">
      <alignment horizontal="center" vertical="center" wrapText="1"/>
    </xf>
    <xf numFmtId="0" fontId="81" fillId="15" borderId="1" xfId="0" applyFont="1" applyFill="1" applyBorder="1" applyAlignment="1">
      <alignment horizontal="center" vertical="center" wrapText="1"/>
    </xf>
    <xf numFmtId="0" fontId="55" fillId="0" borderId="0" xfId="0" applyFont="1" applyAlignment="1">
      <alignment horizontal="center" vertical="center"/>
    </xf>
    <xf numFmtId="174" fontId="80" fillId="0" borderId="1" xfId="3" applyNumberFormat="1" applyFont="1" applyFill="1" applyBorder="1" applyAlignment="1">
      <alignment horizontal="center" vertical="center" wrapText="1"/>
    </xf>
    <xf numFmtId="174" fontId="80" fillId="2" borderId="1" xfId="3" applyNumberFormat="1" applyFont="1" applyFill="1" applyBorder="1" applyAlignment="1">
      <alignment horizontal="center" vertical="center" wrapText="1"/>
    </xf>
    <xf numFmtId="174" fontId="55" fillId="2" borderId="1" xfId="0" applyNumberFormat="1" applyFont="1" applyFill="1" applyBorder="1" applyAlignment="1">
      <alignment horizontal="center" vertical="center" wrapText="1"/>
    </xf>
    <xf numFmtId="174" fontId="55" fillId="0" borderId="1" xfId="0" applyNumberFormat="1" applyFont="1" applyBorder="1" applyAlignment="1">
      <alignment horizontal="center" vertical="center" wrapText="1"/>
    </xf>
    <xf numFmtId="0" fontId="55" fillId="5" borderId="1" xfId="0" applyFont="1" applyFill="1" applyBorder="1" applyAlignment="1">
      <alignment horizontal="center" vertical="center" wrapText="1"/>
    </xf>
    <xf numFmtId="0" fontId="55" fillId="13" borderId="1" xfId="0" applyFont="1" applyFill="1" applyBorder="1" applyAlignment="1">
      <alignment horizontal="center" vertical="center" wrapText="1"/>
    </xf>
    <xf numFmtId="0" fontId="55" fillId="19" borderId="1" xfId="0" applyFont="1" applyFill="1" applyBorder="1" applyAlignment="1">
      <alignment horizontal="center" vertical="center" wrapText="1"/>
    </xf>
    <xf numFmtId="0" fontId="55" fillId="20" borderId="1" xfId="0" applyFont="1" applyFill="1" applyBorder="1" applyAlignment="1">
      <alignment horizontal="center" vertical="center" wrapText="1"/>
    </xf>
    <xf numFmtId="0" fontId="55" fillId="21" borderId="1" xfId="0" applyFont="1" applyFill="1" applyBorder="1" applyAlignment="1">
      <alignment horizontal="center" vertical="center" wrapText="1"/>
    </xf>
    <xf numFmtId="0" fontId="55" fillId="17" borderId="1" xfId="0" applyFont="1" applyFill="1" applyBorder="1" applyAlignment="1">
      <alignment horizontal="center" vertical="center" wrapText="1"/>
    </xf>
    <xf numFmtId="0" fontId="55" fillId="22" borderId="1" xfId="0" applyFont="1" applyFill="1" applyBorder="1" applyAlignment="1">
      <alignment horizontal="center" vertical="center" wrapText="1"/>
    </xf>
    <xf numFmtId="0" fontId="55" fillId="23" borderId="1" xfId="0" applyFont="1" applyFill="1" applyBorder="1" applyAlignment="1">
      <alignment horizontal="center" vertical="center" wrapText="1"/>
    </xf>
    <xf numFmtId="169" fontId="55" fillId="19" borderId="1" xfId="2" applyNumberFormat="1" applyFont="1" applyFill="1" applyBorder="1" applyAlignment="1">
      <alignment horizontal="center" vertical="center" wrapText="1"/>
    </xf>
    <xf numFmtId="169" fontId="55" fillId="20" borderId="1" xfId="2" applyNumberFormat="1" applyFont="1" applyFill="1" applyBorder="1" applyAlignment="1">
      <alignment horizontal="center" vertical="center" wrapText="1"/>
    </xf>
    <xf numFmtId="169" fontId="55" fillId="21" borderId="1" xfId="2" applyNumberFormat="1" applyFont="1" applyFill="1" applyBorder="1" applyAlignment="1">
      <alignment horizontal="center" vertical="center" wrapText="1"/>
    </xf>
    <xf numFmtId="169" fontId="55" fillId="2" borderId="1" xfId="2" applyNumberFormat="1" applyFont="1" applyFill="1" applyBorder="1" applyAlignment="1">
      <alignment horizontal="center" vertical="center" wrapText="1"/>
    </xf>
    <xf numFmtId="169" fontId="55" fillId="22" borderId="1" xfId="2" applyNumberFormat="1" applyFont="1" applyFill="1" applyBorder="1" applyAlignment="1">
      <alignment horizontal="center" vertical="center" wrapText="1"/>
    </xf>
    <xf numFmtId="169" fontId="55" fillId="23" borderId="1" xfId="2" applyNumberFormat="1" applyFont="1" applyFill="1" applyBorder="1" applyAlignment="1">
      <alignment horizontal="center" vertical="center" wrapText="1"/>
    </xf>
    <xf numFmtId="169" fontId="55" fillId="24" borderId="1" xfId="2" applyNumberFormat="1" applyFont="1" applyFill="1" applyBorder="1" applyAlignment="1">
      <alignment horizontal="center" vertical="center" wrapText="1"/>
    </xf>
    <xf numFmtId="170" fontId="55" fillId="4" borderId="1" xfId="4" applyNumberFormat="1" applyFont="1" applyFill="1" applyBorder="1" applyAlignment="1">
      <alignment horizontal="center" vertical="center" wrapText="1"/>
    </xf>
    <xf numFmtId="170" fontId="14" fillId="4" borderId="1" xfId="4" applyNumberFormat="1" applyFont="1" applyFill="1" applyBorder="1" applyAlignment="1">
      <alignment horizontal="center" vertical="center" wrapText="1"/>
    </xf>
    <xf numFmtId="0" fontId="55" fillId="0" borderId="0" xfId="0" applyFont="1" applyAlignment="1">
      <alignment horizontal="center" vertical="center" wrapText="1"/>
    </xf>
    <xf numFmtId="14" fontId="59" fillId="0" borderId="0" xfId="2" applyNumberFormat="1" applyFont="1" applyFill="1" applyBorder="1" applyAlignment="1"/>
    <xf numFmtId="169" fontId="70" fillId="14" borderId="0" xfId="2" applyNumberFormat="1" applyFont="1" applyFill="1" applyAlignment="1"/>
    <xf numFmtId="169" fontId="63" fillId="0" borderId="0" xfId="2" applyNumberFormat="1" applyFont="1" applyFill="1" applyAlignment="1"/>
    <xf numFmtId="169" fontId="69" fillId="0" borderId="0" xfId="2" applyNumberFormat="1" applyFont="1" applyFill="1" applyBorder="1" applyAlignment="1">
      <alignment vertical="center"/>
    </xf>
    <xf numFmtId="169" fontId="69" fillId="0" borderId="0" xfId="2" applyNumberFormat="1" applyFont="1" applyFill="1"/>
    <xf numFmtId="171" fontId="78" fillId="0" borderId="1" xfId="1" applyNumberFormat="1" applyFont="1" applyFill="1" applyBorder="1" applyAlignment="1">
      <alignment horizontal="right" vertical="center" wrapText="1"/>
    </xf>
    <xf numFmtId="0" fontId="70" fillId="0" borderId="0" xfId="0" applyFont="1"/>
    <xf numFmtId="14" fontId="59" fillId="0" borderId="0" xfId="2" applyNumberFormat="1" applyFont="1" applyFill="1" applyBorder="1" applyAlignment="1">
      <alignment vertical="center"/>
    </xf>
    <xf numFmtId="169" fontId="76" fillId="0" borderId="0" xfId="2" applyNumberFormat="1" applyFont="1" applyFill="1" applyBorder="1" applyAlignment="1"/>
    <xf numFmtId="169" fontId="63" fillId="0" borderId="0" xfId="2" applyNumberFormat="1" applyFont="1" applyFill="1" applyBorder="1" applyAlignment="1"/>
    <xf numFmtId="169" fontId="72" fillId="14" borderId="0" xfId="2" applyNumberFormat="1" applyFont="1" applyFill="1"/>
    <xf numFmtId="169" fontId="59" fillId="14" borderId="0" xfId="2" applyNumberFormat="1" applyFont="1" applyFill="1" applyBorder="1" applyAlignment="1"/>
    <xf numFmtId="0" fontId="70" fillId="2" borderId="0" xfId="2" applyNumberFormat="1" applyFont="1" applyFill="1" applyAlignment="1"/>
    <xf numFmtId="0" fontId="12" fillId="2" borderId="0" xfId="0" applyFont="1" applyFill="1" applyAlignment="1">
      <alignment horizontal="left" wrapText="1"/>
    </xf>
    <xf numFmtId="0" fontId="12" fillId="0" borderId="0" xfId="0" applyFont="1" applyAlignment="1">
      <alignment horizontal="left" wrapText="1"/>
    </xf>
    <xf numFmtId="166" fontId="67" fillId="2" borderId="0" xfId="1" applyFont="1" applyFill="1" applyBorder="1" applyAlignment="1">
      <alignment horizontal="center"/>
    </xf>
    <xf numFmtId="169" fontId="71" fillId="0" borderId="0" xfId="2" applyNumberFormat="1" applyFont="1" applyFill="1"/>
    <xf numFmtId="169" fontId="83" fillId="0" borderId="0" xfId="2" applyNumberFormat="1" applyFont="1" applyFill="1" applyAlignment="1"/>
    <xf numFmtId="169" fontId="65" fillId="0" borderId="0" xfId="2" applyNumberFormat="1" applyFont="1" applyFill="1" applyBorder="1" applyAlignment="1"/>
    <xf numFmtId="169" fontId="13" fillId="0" borderId="0" xfId="2" applyNumberFormat="1" applyFont="1" applyFill="1"/>
    <xf numFmtId="169" fontId="55" fillId="2" borderId="0" xfId="2" applyNumberFormat="1" applyFont="1" applyFill="1" applyAlignment="1"/>
    <xf numFmtId="166" fontId="14" fillId="2" borderId="0" xfId="1" applyFont="1" applyFill="1" applyBorder="1" applyAlignment="1">
      <alignment horizontal="left"/>
    </xf>
    <xf numFmtId="169" fontId="56" fillId="2" borderId="0" xfId="2" applyNumberFormat="1" applyFont="1" applyFill="1"/>
    <xf numFmtId="14" fontId="66" fillId="14" borderId="0" xfId="2" applyNumberFormat="1" applyFont="1" applyFill="1" applyBorder="1" applyAlignment="1"/>
    <xf numFmtId="0" fontId="70" fillId="2" borderId="0" xfId="0" applyFont="1" applyFill="1" applyAlignment="1">
      <alignment horizontal="left" wrapText="1"/>
    </xf>
    <xf numFmtId="169" fontId="70" fillId="2" borderId="0" xfId="2" applyNumberFormat="1" applyFont="1" applyFill="1" applyAlignment="1">
      <alignment wrapText="1"/>
    </xf>
    <xf numFmtId="169" fontId="66" fillId="14" borderId="0" xfId="1" applyNumberFormat="1" applyFont="1" applyFill="1" applyBorder="1" applyAlignment="1">
      <alignment wrapText="1"/>
    </xf>
    <xf numFmtId="0" fontId="72" fillId="2" borderId="0" xfId="0" applyFont="1" applyFill="1" applyAlignment="1">
      <alignment horizontal="center"/>
    </xf>
    <xf numFmtId="0" fontId="72" fillId="2" borderId="0" xfId="0" applyFont="1" applyFill="1" applyAlignment="1">
      <alignment horizontal="center" wrapText="1"/>
    </xf>
    <xf numFmtId="0" fontId="69" fillId="0" borderId="0" xfId="0" applyFont="1" applyAlignment="1">
      <alignment horizontal="center"/>
    </xf>
    <xf numFmtId="0" fontId="61" fillId="2" borderId="0" xfId="0" applyFont="1" applyFill="1" applyAlignment="1">
      <alignment horizontal="center"/>
    </xf>
    <xf numFmtId="0" fontId="61" fillId="2" borderId="0" xfId="0" applyFont="1" applyFill="1" applyAlignment="1">
      <alignment horizontal="center" wrapText="1"/>
    </xf>
    <xf numFmtId="0" fontId="66" fillId="0" borderId="1" xfId="0" applyFont="1" applyBorder="1" applyAlignment="1">
      <alignment horizontal="center" vertical="center" wrapText="1"/>
    </xf>
    <xf numFmtId="0" fontId="63" fillId="0" borderId="1" xfId="0" applyFont="1" applyBorder="1" applyAlignment="1">
      <alignment horizontal="center" vertical="center" wrapText="1"/>
    </xf>
    <xf numFmtId="0" fontId="69" fillId="0" borderId="1" xfId="0" applyFont="1" applyBorder="1" applyAlignment="1">
      <alignment horizontal="center" vertical="center" wrapText="1"/>
    </xf>
    <xf numFmtId="0" fontId="12" fillId="2" borderId="0" xfId="0" applyFont="1" applyFill="1" applyAlignment="1">
      <alignment horizontal="center" wrapText="1"/>
    </xf>
    <xf numFmtId="0" fontId="12" fillId="0" borderId="0" xfId="0" applyFont="1" applyAlignment="1">
      <alignment horizontal="center" wrapText="1"/>
    </xf>
    <xf numFmtId="0" fontId="72" fillId="0" borderId="0" xfId="0" applyFont="1" applyAlignment="1">
      <alignment horizontal="center"/>
    </xf>
    <xf numFmtId="0" fontId="61" fillId="0" borderId="0" xfId="0" applyFont="1" applyAlignment="1">
      <alignment horizontal="center"/>
    </xf>
    <xf numFmtId="169" fontId="55" fillId="0" borderId="2" xfId="2" applyNumberFormat="1" applyFont="1" applyFill="1" applyBorder="1" applyAlignment="1">
      <alignment horizontal="center" vertical="center" wrapText="1"/>
    </xf>
    <xf numFmtId="169" fontId="55" fillId="6" borderId="3" xfId="2" applyNumberFormat="1" applyFont="1" applyFill="1" applyBorder="1" applyAlignment="1">
      <alignment horizontal="center" vertical="center" wrapText="1"/>
    </xf>
    <xf numFmtId="169" fontId="55" fillId="0" borderId="4" xfId="2" applyNumberFormat="1" applyFont="1" applyFill="1" applyBorder="1" applyAlignment="1">
      <alignment vertical="center" wrapText="1"/>
    </xf>
    <xf numFmtId="169" fontId="55" fillId="0" borderId="37" xfId="2" applyNumberFormat="1" applyFont="1" applyFill="1" applyBorder="1" applyAlignment="1">
      <alignment vertical="center" wrapText="1"/>
    </xf>
    <xf numFmtId="169" fontId="55" fillId="0" borderId="35" xfId="2" applyNumberFormat="1" applyFont="1" applyFill="1" applyBorder="1" applyAlignment="1">
      <alignment vertical="center" wrapText="1"/>
    </xf>
    <xf numFmtId="169" fontId="69" fillId="14" borderId="0" xfId="2" applyNumberFormat="1" applyFont="1" applyFill="1" applyBorder="1" applyAlignment="1">
      <alignment vertical="center"/>
    </xf>
    <xf numFmtId="169" fontId="69" fillId="14" borderId="0" xfId="2" applyNumberFormat="1" applyFont="1" applyFill="1" applyAlignment="1"/>
    <xf numFmtId="169" fontId="69" fillId="14" borderId="0" xfId="2" applyNumberFormat="1" applyFont="1" applyFill="1" applyBorder="1" applyAlignment="1"/>
    <xf numFmtId="169" fontId="55" fillId="14" borderId="0" xfId="2" applyNumberFormat="1" applyFont="1" applyFill="1" applyBorder="1" applyAlignment="1"/>
    <xf numFmtId="171" fontId="78" fillId="14" borderId="1" xfId="1" applyNumberFormat="1" applyFont="1" applyFill="1" applyBorder="1" applyAlignment="1">
      <alignment horizontal="right" vertical="center" wrapText="1"/>
    </xf>
    <xf numFmtId="169" fontId="69" fillId="14" borderId="0" xfId="2" applyNumberFormat="1" applyFont="1" applyFill="1"/>
    <xf numFmtId="14" fontId="59" fillId="0" borderId="36" xfId="2" applyNumberFormat="1" applyFont="1" applyFill="1" applyBorder="1" applyAlignment="1">
      <alignment horizontal="center"/>
    </xf>
    <xf numFmtId="0" fontId="61" fillId="14" borderId="0" xfId="0" applyFont="1" applyFill="1"/>
    <xf numFmtId="0" fontId="59" fillId="2" borderId="34" xfId="0" applyFont="1" applyFill="1" applyBorder="1" applyAlignment="1">
      <alignment vertical="center" wrapText="1"/>
    </xf>
    <xf numFmtId="0" fontId="68" fillId="2" borderId="34" xfId="3" applyNumberFormat="1" applyFont="1" applyFill="1" applyBorder="1" applyAlignment="1">
      <alignment vertical="center" wrapText="1"/>
    </xf>
    <xf numFmtId="171" fontId="78" fillId="25" borderId="1" xfId="1" applyNumberFormat="1" applyFont="1" applyFill="1" applyBorder="1" applyAlignment="1">
      <alignment horizontal="right" vertical="center" wrapText="1"/>
    </xf>
    <xf numFmtId="169" fontId="78" fillId="26" borderId="1" xfId="2" applyNumberFormat="1" applyFont="1" applyFill="1" applyBorder="1" applyAlignment="1">
      <alignment vertical="center"/>
    </xf>
    <xf numFmtId="14" fontId="71" fillId="0" borderId="0" xfId="2" applyNumberFormat="1" applyFont="1" applyFill="1" applyAlignment="1">
      <alignment horizontal="center"/>
    </xf>
    <xf numFmtId="0" fontId="68" fillId="2" borderId="34" xfId="3" applyNumberFormat="1" applyFont="1" applyFill="1" applyBorder="1" applyAlignment="1">
      <alignment horizontal="center" vertical="center" wrapText="1"/>
    </xf>
    <xf numFmtId="0" fontId="77" fillId="0" borderId="1" xfId="0" applyFont="1" applyBorder="1" applyAlignment="1">
      <alignment horizontal="center" vertical="center" wrapText="1"/>
    </xf>
    <xf numFmtId="0" fontId="55" fillId="0" borderId="1" xfId="0" applyFont="1" applyBorder="1" applyAlignment="1">
      <alignment horizontal="center" vertical="center" wrapText="1"/>
    </xf>
    <xf numFmtId="49" fontId="77" fillId="0" borderId="1" xfId="0" applyNumberFormat="1" applyFont="1" applyBorder="1" applyAlignment="1">
      <alignment horizontal="center" vertical="center" wrapText="1"/>
    </xf>
    <xf numFmtId="0" fontId="77" fillId="0" borderId="38" xfId="0" applyFont="1" applyBorder="1" applyAlignment="1">
      <alignment horizontal="center" vertical="center"/>
    </xf>
    <xf numFmtId="0" fontId="77" fillId="0" borderId="39" xfId="0" applyFont="1" applyBorder="1" applyAlignment="1">
      <alignment horizontal="center" vertical="center"/>
    </xf>
    <xf numFmtId="171" fontId="55" fillId="0" borderId="1" xfId="1" applyNumberFormat="1" applyFont="1" applyBorder="1" applyAlignment="1">
      <alignment horizontal="center" vertical="center" wrapText="1"/>
    </xf>
    <xf numFmtId="0" fontId="14" fillId="18" borderId="1" xfId="0" applyFont="1" applyFill="1" applyBorder="1" applyAlignment="1">
      <alignment horizontal="center" vertical="center" wrapText="1"/>
    </xf>
    <xf numFmtId="0" fontId="55" fillId="6" borderId="1" xfId="0" applyFont="1" applyFill="1" applyBorder="1" applyAlignment="1">
      <alignment horizontal="center" vertical="center" wrapText="1"/>
    </xf>
    <xf numFmtId="174" fontId="55" fillId="6" borderId="2" xfId="0" applyNumberFormat="1" applyFont="1" applyFill="1" applyBorder="1" applyAlignment="1">
      <alignment horizontal="center" vertical="center" wrapText="1"/>
    </xf>
    <xf numFmtId="174" fontId="55" fillId="6" borderId="3" xfId="0" applyNumberFormat="1" applyFont="1" applyFill="1" applyBorder="1" applyAlignment="1">
      <alignment horizontal="center" vertical="center" wrapText="1"/>
    </xf>
    <xf numFmtId="49" fontId="55" fillId="17" borderId="1" xfId="0" applyNumberFormat="1" applyFont="1" applyFill="1" applyBorder="1" applyAlignment="1">
      <alignment horizontal="center" vertical="center" wrapText="1"/>
    </xf>
    <xf numFmtId="0" fontId="66" fillId="0" borderId="1" xfId="0" applyFont="1" applyBorder="1" applyAlignment="1">
      <alignment horizontal="left" vertical="center" wrapText="1"/>
    </xf>
    <xf numFmtId="0" fontId="67" fillId="14" borderId="2" xfId="0" applyFont="1" applyFill="1" applyBorder="1" applyAlignment="1">
      <alignment horizontal="center" vertical="center" wrapText="1"/>
    </xf>
    <xf numFmtId="0" fontId="67" fillId="14" borderId="3" xfId="0" applyFont="1" applyFill="1" applyBorder="1" applyAlignment="1">
      <alignment horizontal="center" vertical="center" wrapText="1"/>
    </xf>
    <xf numFmtId="171" fontId="55" fillId="14" borderId="2" xfId="1" applyNumberFormat="1" applyFont="1" applyFill="1" applyBorder="1" applyAlignment="1">
      <alignment horizontal="center" vertical="center" wrapText="1"/>
    </xf>
    <xf numFmtId="171" fontId="55" fillId="14" borderId="3" xfId="1" applyNumberFormat="1" applyFont="1" applyFill="1" applyBorder="1" applyAlignment="1">
      <alignment horizontal="center" vertical="center" wrapText="1"/>
    </xf>
    <xf numFmtId="49" fontId="55" fillId="18" borderId="1" xfId="0" applyNumberFormat="1" applyFont="1" applyFill="1" applyBorder="1" applyAlignment="1">
      <alignment horizontal="center" vertical="center" wrapText="1"/>
    </xf>
    <xf numFmtId="0" fontId="55" fillId="0" borderId="1" xfId="0" applyFont="1" applyBorder="1" applyAlignment="1">
      <alignment horizontal="center" vertical="center"/>
    </xf>
    <xf numFmtId="169" fontId="77" fillId="6" borderId="1" xfId="2" quotePrefix="1" applyNumberFormat="1" applyFont="1" applyFill="1" applyBorder="1" applyAlignment="1">
      <alignment horizontal="center" vertical="center" wrapText="1"/>
    </xf>
    <xf numFmtId="169" fontId="77" fillId="6" borderId="1" xfId="2" applyNumberFormat="1" applyFont="1" applyFill="1" applyBorder="1" applyAlignment="1">
      <alignment horizontal="center" vertical="center" wrapText="1"/>
    </xf>
    <xf numFmtId="169" fontId="77" fillId="0" borderId="1" xfId="2" applyNumberFormat="1" applyFont="1" applyFill="1" applyBorder="1" applyAlignment="1">
      <alignment horizontal="center" vertical="center" wrapText="1"/>
    </xf>
    <xf numFmtId="0" fontId="81" fillId="15" borderId="1" xfId="0" applyFont="1" applyFill="1" applyBorder="1" applyAlignment="1">
      <alignment horizontal="center" vertical="center" wrapText="1"/>
    </xf>
    <xf numFmtId="0" fontId="55" fillId="17" borderId="1" xfId="0" applyFont="1" applyFill="1" applyBorder="1" applyAlignment="1">
      <alignment horizontal="center" vertical="center"/>
    </xf>
    <xf numFmtId="169" fontId="77" fillId="13" borderId="1" xfId="2" applyNumberFormat="1" applyFont="1" applyFill="1" applyBorder="1" applyAlignment="1">
      <alignment horizontal="center" vertical="center" wrapText="1"/>
    </xf>
    <xf numFmtId="0" fontId="55" fillId="4" borderId="1" xfId="0" applyFont="1" applyFill="1" applyBorder="1" applyAlignment="1">
      <alignment horizontal="center" vertical="center"/>
    </xf>
    <xf numFmtId="0" fontId="14" fillId="4" borderId="1" xfId="0" applyFont="1" applyFill="1" applyBorder="1" applyAlignment="1">
      <alignment horizontal="center" vertical="center"/>
    </xf>
    <xf numFmtId="169" fontId="55" fillId="0" borderId="4" xfId="2" applyNumberFormat="1" applyFont="1" applyFill="1" applyBorder="1" applyAlignment="1">
      <alignment horizontal="center" vertical="center"/>
    </xf>
    <xf numFmtId="169" fontId="55" fillId="0" borderId="37" xfId="2" applyNumberFormat="1" applyFont="1" applyFill="1" applyBorder="1" applyAlignment="1">
      <alignment horizontal="center" vertical="center"/>
    </xf>
    <xf numFmtId="169" fontId="55" fillId="0" borderId="35" xfId="2" applyNumberFormat="1" applyFont="1" applyFill="1" applyBorder="1" applyAlignment="1">
      <alignment horizontal="center" vertical="center"/>
    </xf>
    <xf numFmtId="169" fontId="55" fillId="14" borderId="2" xfId="2" applyNumberFormat="1" applyFont="1" applyFill="1" applyBorder="1" applyAlignment="1">
      <alignment horizontal="center" vertical="center" wrapText="1"/>
    </xf>
    <xf numFmtId="169" fontId="55" fillId="14" borderId="3" xfId="2" applyNumberFormat="1" applyFont="1" applyFill="1" applyBorder="1" applyAlignment="1">
      <alignment horizontal="center" vertical="center" wrapText="1"/>
    </xf>
    <xf numFmtId="169" fontId="55" fillId="0" borderId="4" xfId="2" applyNumberFormat="1" applyFont="1" applyFill="1" applyBorder="1" applyAlignment="1">
      <alignment horizontal="center" vertical="center" wrapText="1"/>
    </xf>
    <xf numFmtId="169" fontId="55" fillId="0" borderId="35" xfId="2" applyNumberFormat="1" applyFont="1" applyFill="1" applyBorder="1" applyAlignment="1">
      <alignment horizontal="center" vertical="center" wrapText="1"/>
    </xf>
    <xf numFmtId="169" fontId="55" fillId="0" borderId="1" xfId="2" applyNumberFormat="1" applyFont="1" applyFill="1" applyBorder="1" applyAlignment="1">
      <alignment horizontal="center" vertical="center" wrapText="1"/>
    </xf>
    <xf numFmtId="169" fontId="55" fillId="12" borderId="1" xfId="2" applyNumberFormat="1" applyFont="1" applyFill="1" applyBorder="1" applyAlignment="1">
      <alignment horizontal="center" vertical="center" wrapText="1"/>
    </xf>
    <xf numFmtId="169" fontId="14" fillId="18" borderId="1" xfId="2" applyNumberFormat="1" applyFont="1" applyFill="1" applyBorder="1" applyAlignment="1">
      <alignment horizontal="center" vertical="center" wrapText="1"/>
    </xf>
    <xf numFmtId="49" fontId="55" fillId="3" borderId="2" xfId="0" applyNumberFormat="1" applyFont="1" applyFill="1" applyBorder="1" applyAlignment="1">
      <alignment horizontal="center" vertical="center" wrapText="1"/>
    </xf>
    <xf numFmtId="49" fontId="55" fillId="3" borderId="3" xfId="0" applyNumberFormat="1" applyFont="1" applyFill="1" applyBorder="1" applyAlignment="1">
      <alignment horizontal="center" vertical="center" wrapText="1"/>
    </xf>
    <xf numFmtId="0" fontId="81" fillId="6" borderId="1" xfId="0" applyFont="1" applyFill="1" applyBorder="1" applyAlignment="1">
      <alignment horizontal="center" vertical="center" wrapText="1"/>
    </xf>
    <xf numFmtId="0" fontId="35" fillId="0" borderId="16" xfId="7" applyFont="1" applyBorder="1" applyAlignment="1">
      <alignment horizontal="center" vertical="center"/>
    </xf>
    <xf numFmtId="0" fontId="9" fillId="0" borderId="16" xfId="7" applyFont="1" applyBorder="1"/>
    <xf numFmtId="0" fontId="34" fillId="0" borderId="16" xfId="7" applyFont="1" applyBorder="1" applyAlignment="1">
      <alignment horizontal="center" vertical="center"/>
    </xf>
    <xf numFmtId="0" fontId="43" fillId="0" borderId="16" xfId="7" applyFont="1" applyBorder="1" applyAlignment="1">
      <alignment horizontal="center" vertical="center"/>
    </xf>
    <xf numFmtId="0" fontId="44" fillId="0" borderId="16" xfId="7" applyFont="1" applyBorder="1" applyAlignment="1">
      <alignment horizontal="center" vertical="center"/>
    </xf>
    <xf numFmtId="0" fontId="32" fillId="0" borderId="16" xfId="7" applyFont="1" applyBorder="1" applyAlignment="1">
      <alignment horizontal="center" vertical="center"/>
    </xf>
    <xf numFmtId="0" fontId="20" fillId="9" borderId="0" xfId="7" applyFont="1" applyFill="1" applyAlignment="1">
      <alignment horizontal="center" vertical="center"/>
    </xf>
    <xf numFmtId="0" fontId="9" fillId="0" borderId="0" xfId="7" applyFont="1"/>
    <xf numFmtId="0" fontId="25" fillId="0" borderId="0" xfId="7" applyFont="1" applyAlignment="1">
      <alignment horizontal="center" vertical="top"/>
    </xf>
    <xf numFmtId="0" fontId="17" fillId="0" borderId="0" xfId="7"/>
    <xf numFmtId="0" fontId="26" fillId="0" borderId="0" xfId="7" applyFont="1" applyAlignment="1">
      <alignment horizontal="right" vertical="center"/>
    </xf>
    <xf numFmtId="0" fontId="27" fillId="0" borderId="0" xfId="7" applyFont="1" applyAlignment="1">
      <alignment horizontal="left" vertical="center"/>
    </xf>
    <xf numFmtId="0" fontId="78" fillId="0" borderId="1" xfId="0" applyFont="1" applyBorder="1" applyAlignment="1">
      <alignment vertical="center"/>
    </xf>
    <xf numFmtId="0" fontId="55" fillId="26" borderId="1" xfId="0" applyFont="1" applyFill="1" applyBorder="1" applyAlignment="1">
      <alignment horizontal="center" vertical="center"/>
    </xf>
  </cellXfs>
  <cellStyles count="32">
    <cellStyle name="20% - Accent1 2" xfId="11" xr:uid="{00000000-0005-0000-0000-000000000000}"/>
    <cellStyle name="Chuẩn 2 2" xfId="5" xr:uid="{00000000-0005-0000-0000-000001000000}"/>
    <cellStyle name="Comma" xfId="1" builtinId="3"/>
    <cellStyle name="Comma [0] 2" xfId="23" xr:uid="{00000000-0005-0000-0000-000003000000}"/>
    <cellStyle name="Comma 10" xfId="30" xr:uid="{00000000-0005-0000-0000-000004000000}"/>
    <cellStyle name="Comma 2" xfId="12" xr:uid="{00000000-0005-0000-0000-000005000000}"/>
    <cellStyle name="Comma 3" xfId="2" xr:uid="{00000000-0005-0000-0000-000006000000}"/>
    <cellStyle name="Comma 4" xfId="15" xr:uid="{00000000-0005-0000-0000-000007000000}"/>
    <cellStyle name="Comma 4 2" xfId="22" xr:uid="{00000000-0005-0000-0000-000008000000}"/>
    <cellStyle name="Comma 5" xfId="17" xr:uid="{00000000-0005-0000-0000-000009000000}"/>
    <cellStyle name="Comma 6" xfId="20" xr:uid="{00000000-0005-0000-0000-00000A000000}"/>
    <cellStyle name="Comma 7" xfId="26" xr:uid="{00000000-0005-0000-0000-00000B000000}"/>
    <cellStyle name="Comma 8" xfId="9" xr:uid="{00000000-0005-0000-0000-00000C000000}"/>
    <cellStyle name="Comma 9" xfId="3" xr:uid="{00000000-0005-0000-0000-00000D000000}"/>
    <cellStyle name="Normal" xfId="0" builtinId="0"/>
    <cellStyle name="Normal 2" xfId="7" xr:uid="{00000000-0005-0000-0000-00000F000000}"/>
    <cellStyle name="Normal 2 2" xfId="8" xr:uid="{00000000-0005-0000-0000-000010000000}"/>
    <cellStyle name="Normal 3" xfId="6" xr:uid="{00000000-0005-0000-0000-000011000000}"/>
    <cellStyle name="Normal 3 2" xfId="27" xr:uid="{00000000-0005-0000-0000-000012000000}"/>
    <cellStyle name="Normal 3 3" xfId="31" xr:uid="{B5EDAEE7-5A3C-4DEB-94BB-6E88C5ABD39B}"/>
    <cellStyle name="Normal 4" xfId="10" xr:uid="{00000000-0005-0000-0000-000013000000}"/>
    <cellStyle name="Normal 4 2" xfId="24" xr:uid="{00000000-0005-0000-0000-000014000000}"/>
    <cellStyle name="Normal 4 3" xfId="28" xr:uid="{00000000-0005-0000-0000-000015000000}"/>
    <cellStyle name="Normal 5" xfId="14" xr:uid="{00000000-0005-0000-0000-000016000000}"/>
    <cellStyle name="Normal 5 2" xfId="21" xr:uid="{00000000-0005-0000-0000-000017000000}"/>
    <cellStyle name="Normal 6" xfId="13" xr:uid="{00000000-0005-0000-0000-000018000000}"/>
    <cellStyle name="Normal 7" xfId="16" xr:uid="{00000000-0005-0000-0000-000019000000}"/>
    <cellStyle name="Normal 8" xfId="18" xr:uid="{00000000-0005-0000-0000-00001A000000}"/>
    <cellStyle name="Normal 9" xfId="19" xr:uid="{00000000-0005-0000-0000-00001B000000}"/>
    <cellStyle name="Percent 2" xfId="4" xr:uid="{00000000-0005-0000-0000-00001C000000}"/>
    <cellStyle name="Percent 3" xfId="25" xr:uid="{00000000-0005-0000-0000-00001D000000}"/>
    <cellStyle name="Percent 4" xfId="29" xr:uid="{00000000-0005-0000-0000-00001E000000}"/>
  </cellStyles>
  <dxfs count="21">
    <dxf>
      <font>
        <color rgb="FFFFFF00"/>
      </font>
      <fill>
        <patternFill patternType="solid">
          <fgColor rgb="FFFF00FF"/>
          <bgColor rgb="FFFF00FF"/>
        </patternFill>
      </fill>
    </dxf>
    <dxf>
      <font>
        <color rgb="FFFF00FF"/>
      </font>
      <fill>
        <patternFill patternType="none"/>
      </fill>
    </dxf>
    <dxf>
      <font>
        <color rgb="FFFFFF00"/>
      </font>
      <fill>
        <patternFill patternType="solid">
          <fgColor rgb="FFFF00FF"/>
          <bgColor rgb="FFFF00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5" tint="-0.24994659260841701"/>
      </font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rgb="FF00B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2.xml"/><Relationship Id="rId10" Type="http://schemas.openxmlformats.org/officeDocument/2006/relationships/calcChain" Target="calcChain.xml"/><Relationship Id="rId4" Type="http://schemas.openxmlformats.org/officeDocument/2006/relationships/externalLink" Target="externalLinks/externalLink1.xml"/><Relationship Id="rId9" Type="http://schemas.microsoft.com/office/2017/10/relationships/person" Target="persons/person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11</xdr:col>
      <xdr:colOff>57150</xdr:colOff>
      <xdr:row>7</xdr:row>
      <xdr:rowOff>114300</xdr:rowOff>
    </xdr:from>
    <xdr:ext cx="914400" cy="38100"/>
    <xdr:grpSp>
      <xdr:nvGrpSpPr>
        <xdr:cNvPr id="2" name="Shap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pSpPr/>
      </xdr:nvGrpSpPr>
      <xdr:grpSpPr>
        <a:xfrm>
          <a:off x="4095750" y="266700"/>
          <a:ext cx="914400" cy="38100"/>
          <a:chOff x="4888800" y="3780000"/>
          <a:chExt cx="914400" cy="0"/>
        </a:xfrm>
      </xdr:grpSpPr>
      <xdr:cxnSp macro="">
        <xdr:nvCxnSpPr>
          <xdr:cNvPr id="3" name="Shape 3">
            <a:extLst>
              <a:ext uri="{FF2B5EF4-FFF2-40B4-BE49-F238E27FC236}">
                <a16:creationId xmlns:a16="http://schemas.microsoft.com/office/drawing/2014/main" id="{00000000-0008-0000-0000-000003000000}"/>
              </a:ext>
            </a:extLst>
          </xdr:cNvPr>
          <xdr:cNvCxnSpPr/>
        </xdr:nvCxnSpPr>
        <xdr:spPr>
          <a:xfrm rot="10800000">
            <a:off x="4888800" y="3780000"/>
            <a:ext cx="914400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triangle" w="med" len="med"/>
          </a:ln>
        </xdr:spPr>
      </xdr:cxnSp>
    </xdr:grpSp>
    <xdr:clientData fLocksWithSheet="0"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DANH%20SACH%20TAI%20KHOAN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/Users/ADMIN/Desktop/T&#224;i%20li&#7879;u/mau-bia-so-sach-ke-toan%20(1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NH SACH TAI KHOAN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XXXXXXXX"/>
      <sheetName val="XXXXXXX0"/>
      <sheetName val="XXXXXXX1"/>
      <sheetName val="Calendar"/>
      <sheetName val="Thong tin"/>
      <sheetName val="Menu"/>
      <sheetName val="Thu-Chi"/>
      <sheetName val="So Sach"/>
      <sheetName val="So Cai"/>
      <sheetName val="So Cai (CTGS)"/>
      <sheetName val="NKC"/>
      <sheetName val="SO DKCTGS"/>
      <sheetName val="NVL"/>
      <sheetName val="SO NKSC"/>
      <sheetName val="NXT"/>
      <sheetName val="Quy Tien Mat"/>
      <sheetName val="Quy Tien Gui"/>
      <sheetName val="Z154"/>
      <sheetName val="Nhatkymay623"/>
      <sheetName val="CCDC"/>
      <sheetName val="BCTC"/>
      <sheetName val="HĐLĐ"/>
      <sheetName val="HĐKT"/>
      <sheetName val="Phiếu xuất kho"/>
      <sheetName val="Phiếu nhập kho"/>
      <sheetName val="Khung bia"/>
    </sheetNames>
    <sheetDataSet>
      <sheetData sheetId="0"/>
      <sheetData sheetId="1"/>
      <sheetData sheetId="2"/>
      <sheetData sheetId="3"/>
      <sheetData sheetId="4">
        <row r="10">
          <cell r="C10">
            <v>44927</v>
          </cell>
        </row>
        <row r="11">
          <cell r="C11">
            <v>45291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baseColWidth="10" defaultColWidth="9" defaultRowHeight="13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565E32-23ED-4BEB-B8CE-FDEF38B0F31F}">
  <sheetPr>
    <tabColor rgb="FFFF0000"/>
    <outlinePr summaryBelow="0"/>
  </sheetPr>
  <dimension ref="A1:ES165"/>
  <sheetViews>
    <sheetView tabSelected="1" zoomScale="114" zoomScaleNormal="114" zoomScaleSheetLayoutView="55" workbookViewId="0">
      <pane xSplit="9" ySplit="7" topLeftCell="AN8" activePane="bottomRight" state="frozen"/>
      <selection activeCell="A190" sqref="A190:XFD190"/>
      <selection pane="topRight" activeCell="A190" sqref="A190:XFD190"/>
      <selection pane="bottomLeft" activeCell="A190" sqref="A190:XFD190"/>
      <selection pane="bottomRight" activeCell="DN9" sqref="DN9"/>
    </sheetView>
  </sheetViews>
  <sheetFormatPr baseColWidth="10" defaultColWidth="9.19921875" defaultRowHeight="20" outlineLevelCol="2"/>
  <cols>
    <col min="1" max="1" width="17.796875" style="95" customWidth="1"/>
    <col min="2" max="2" width="30.19921875" style="95" customWidth="1"/>
    <col min="3" max="3" width="45.796875" style="94" customWidth="1"/>
    <col min="4" max="4" width="24.3984375" style="100" hidden="1" customWidth="1" outlineLevel="1"/>
    <col min="5" max="5" width="29.19921875" style="100" hidden="1" customWidth="1" outlineLevel="1"/>
    <col min="6" max="6" width="15.3984375" style="100" hidden="1" customWidth="1" outlineLevel="1"/>
    <col min="7" max="7" width="31.796875" style="220" hidden="1" customWidth="1" outlineLevel="1"/>
    <col min="8" max="8" width="13.796875" style="95" customWidth="1" collapsed="1"/>
    <col min="9" max="9" width="25.19921875" style="101" customWidth="1"/>
    <col min="10" max="40" width="11.796875" style="1" customWidth="1" outlineLevel="1"/>
    <col min="41" max="43" width="15.796875" style="92" customWidth="1" outlineLevel="1"/>
    <col min="44" max="44" width="14.3984375" style="1" customWidth="1" outlineLevel="1"/>
    <col min="45" max="45" width="14.59765625" style="228" customWidth="1" outlineLevel="1"/>
    <col min="46" max="54" width="13" style="1" customWidth="1" outlineLevel="1"/>
    <col min="55" max="55" width="13" style="102" customWidth="1" outlineLevel="1"/>
    <col min="56" max="59" width="13" style="1" customWidth="1" outlineLevel="1"/>
    <col min="60" max="60" width="15.796875" style="1" customWidth="1" outlineLevel="1"/>
    <col min="61" max="66" width="13" style="1" customWidth="1" outlineLevel="1"/>
    <col min="67" max="67" width="15.19921875" style="1" customWidth="1" outlineLevel="1"/>
    <col min="68" max="73" width="13" style="1" customWidth="1" outlineLevel="1"/>
    <col min="74" max="74" width="15" style="1" customWidth="1" outlineLevel="1"/>
    <col min="75" max="76" width="13" style="1" customWidth="1" outlineLevel="1"/>
    <col min="77" max="83" width="15.59765625" style="136" customWidth="1" outlineLevel="1"/>
    <col min="84" max="84" width="17.59765625" style="147" customWidth="1"/>
    <col min="85" max="85" width="16.59765625" style="136" customWidth="1"/>
    <col min="86" max="86" width="14" style="147" customWidth="1"/>
    <col min="87" max="87" width="15.796875" style="147" customWidth="1"/>
    <col min="88" max="88" width="16.796875" style="136" customWidth="1"/>
    <col min="89" max="93" width="14" style="136" customWidth="1"/>
    <col min="94" max="94" width="14" style="136" customWidth="1" outlineLevel="1"/>
    <col min="95" max="95" width="26.19921875" style="1" customWidth="1" outlineLevel="1"/>
    <col min="96" max="96" width="26.19921875" style="102" customWidth="1" outlineLevel="1"/>
    <col min="97" max="97" width="26.19921875" style="225" customWidth="1" outlineLevel="1"/>
    <col min="98" max="98" width="24.19921875" style="102" customWidth="1" outlineLevel="1"/>
    <col min="99" max="99" width="26" style="136" customWidth="1"/>
    <col min="100" max="100" width="21.796875" style="136" customWidth="1"/>
    <col min="101" max="101" width="21.19921875" style="136" customWidth="1"/>
    <col min="102" max="102" width="18.59765625" style="136" customWidth="1"/>
    <col min="103" max="103" width="16.19921875" style="136" customWidth="1"/>
    <col min="104" max="104" width="18.59765625" style="136" customWidth="1"/>
    <col min="105" max="105" width="20.796875" style="136" customWidth="1"/>
    <col min="106" max="107" width="16.3984375" style="136" customWidth="1"/>
    <col min="108" max="108" width="23.3984375" style="136" customWidth="1"/>
    <col min="109" max="110" width="27.796875" style="210" customWidth="1"/>
    <col min="111" max="111" width="27.796875" style="255" customWidth="1"/>
    <col min="112" max="112" width="25.19921875" style="136" customWidth="1"/>
    <col min="113" max="113" width="22.59765625" style="102" customWidth="1"/>
    <col min="114" max="114" width="24.796875" style="102" customWidth="1"/>
    <col min="115" max="115" width="27.59765625" style="102" customWidth="1"/>
    <col min="116" max="116" width="33.796875" style="102" customWidth="1"/>
    <col min="117" max="119" width="25.796875" style="102" customWidth="1"/>
    <col min="120" max="120" width="20.796875" style="143" customWidth="1"/>
    <col min="121" max="121" width="22.19921875" style="143" customWidth="1"/>
    <col min="122" max="122" width="22.796875" style="143" customWidth="1"/>
    <col min="123" max="123" width="31.796875" style="102" customWidth="1"/>
    <col min="124" max="124" width="26.59765625" style="102" customWidth="1"/>
    <col min="125" max="125" width="24.796875" style="102" customWidth="1" outlineLevel="2"/>
    <col min="126" max="126" width="27.3984375" style="102" customWidth="1" outlineLevel="2"/>
    <col min="127" max="127" width="27.3984375" style="99" customWidth="1" outlineLevel="2"/>
    <col min="128" max="128" width="27.3984375" style="102" customWidth="1" outlineLevel="2"/>
    <col min="129" max="129" width="23.59765625" style="94" customWidth="1" outlineLevel="2"/>
    <col min="130" max="131" width="22.19921875" style="94" customWidth="1" outlineLevel="2"/>
    <col min="132" max="132" width="28.19921875" style="94" customWidth="1" outlineLevel="2"/>
    <col min="133" max="133" width="27.796875" style="94" customWidth="1" outlineLevel="2"/>
    <col min="134" max="134" width="28.796875" style="94" customWidth="1" outlineLevel="2"/>
    <col min="135" max="135" width="29.19921875" style="102" customWidth="1" outlineLevel="2"/>
    <col min="136" max="136" width="21.796875" style="94" customWidth="1" outlineLevel="2"/>
    <col min="137" max="137" width="25.3984375" style="94" customWidth="1" outlineLevel="2"/>
    <col min="138" max="138" width="24.19921875" style="94" customWidth="1" outlineLevel="2"/>
    <col min="139" max="139" width="21.19921875" style="94" customWidth="1" outlineLevel="2"/>
    <col min="140" max="140" width="25" style="94" customWidth="1" outlineLevel="2"/>
    <col min="141" max="141" width="29.19921875" style="95" customWidth="1" outlineLevel="2"/>
    <col min="142" max="145" width="31.59765625" style="95" customWidth="1" outlineLevel="2"/>
    <col min="146" max="146" width="36.3984375" style="95" customWidth="1"/>
    <col min="147" max="147" width="35.796875" style="95" customWidth="1"/>
    <col min="148" max="148" width="41.796875" style="242" customWidth="1"/>
    <col min="149" max="149" width="23.59765625" style="94" customWidth="1"/>
    <col min="150" max="150" width="9.19921875" style="94" customWidth="1"/>
    <col min="151" max="16384" width="9.19921875" style="94"/>
  </cols>
  <sheetData>
    <row r="1" spans="1:149" s="127" customFormat="1" ht="37.5" customHeight="1">
      <c r="A1" s="151"/>
      <c r="B1" s="151"/>
      <c r="C1" s="118"/>
      <c r="D1" s="118"/>
      <c r="E1" s="118"/>
      <c r="F1" s="118"/>
      <c r="G1" s="230"/>
      <c r="H1" s="118"/>
      <c r="I1" s="118"/>
      <c r="J1" s="119"/>
      <c r="K1" s="119"/>
      <c r="L1" s="119"/>
      <c r="M1" s="119"/>
      <c r="N1" s="119"/>
      <c r="O1" s="119"/>
      <c r="P1" s="119"/>
      <c r="Q1" s="212"/>
      <c r="R1" s="212"/>
      <c r="S1" s="212"/>
      <c r="T1" s="212"/>
      <c r="U1" s="212"/>
      <c r="V1" s="212"/>
      <c r="W1" s="212"/>
      <c r="X1" s="212"/>
      <c r="Y1" s="212"/>
      <c r="Z1" s="212"/>
      <c r="AA1" s="212"/>
      <c r="AB1" s="212"/>
      <c r="AC1" s="212"/>
      <c r="AD1" s="212"/>
      <c r="AE1" s="212"/>
      <c r="AF1" s="212"/>
      <c r="AG1" s="212"/>
      <c r="AH1" s="212"/>
      <c r="AI1" s="212"/>
      <c r="AJ1" s="212"/>
      <c r="AK1" s="212"/>
      <c r="AL1" s="212"/>
      <c r="AM1" s="212"/>
      <c r="AN1" s="212"/>
      <c r="AO1" s="262"/>
      <c r="AP1" s="262"/>
      <c r="AQ1" s="262"/>
      <c r="AR1" s="262"/>
      <c r="AS1" s="262"/>
      <c r="AT1" s="120"/>
      <c r="AU1" s="120"/>
      <c r="AV1" s="120"/>
      <c r="AW1" s="120"/>
      <c r="AX1" s="120"/>
      <c r="AY1" s="120"/>
      <c r="AZ1" s="120"/>
      <c r="BA1" s="120"/>
      <c r="BB1" s="120"/>
      <c r="BC1" s="121"/>
      <c r="BD1" s="120"/>
      <c r="BE1" s="120"/>
      <c r="BF1" s="120"/>
      <c r="BG1" s="120"/>
      <c r="BH1" s="120"/>
      <c r="BI1" s="120"/>
      <c r="BJ1" s="120"/>
      <c r="BK1" s="120"/>
      <c r="BL1" s="120"/>
      <c r="BM1" s="120"/>
      <c r="BN1" s="120"/>
      <c r="BO1" s="120"/>
      <c r="BP1" s="120"/>
      <c r="BQ1" s="120"/>
      <c r="BR1" s="120"/>
      <c r="BS1" s="120"/>
      <c r="BT1" s="120"/>
      <c r="BU1" s="120"/>
      <c r="BV1" s="120"/>
      <c r="BW1" s="120"/>
      <c r="BX1" s="120"/>
      <c r="BY1" s="132"/>
      <c r="BZ1" s="132"/>
      <c r="CA1" s="132"/>
      <c r="CB1" s="132"/>
      <c r="CC1" s="132"/>
      <c r="CD1" s="132"/>
      <c r="CE1" s="132"/>
      <c r="CF1" s="144"/>
      <c r="CG1" s="132"/>
      <c r="CH1" s="144"/>
      <c r="CI1" s="144"/>
      <c r="CJ1" s="132"/>
      <c r="CK1" s="132"/>
      <c r="CL1" s="132"/>
      <c r="CM1" s="132"/>
      <c r="CN1" s="132"/>
      <c r="CO1" s="132"/>
      <c r="CP1" s="137"/>
      <c r="CQ1" s="122"/>
      <c r="CR1" s="122"/>
      <c r="CS1" s="222"/>
      <c r="CT1" s="120"/>
      <c r="CU1" s="142"/>
      <c r="CV1" s="142"/>
      <c r="CW1" s="142"/>
      <c r="CX1" s="142"/>
      <c r="CY1" s="142"/>
      <c r="CZ1" s="142"/>
      <c r="DA1" s="142"/>
      <c r="DB1" s="142"/>
      <c r="DC1" s="142"/>
      <c r="DD1" s="142"/>
      <c r="DE1" s="209"/>
      <c r="DF1" s="209"/>
      <c r="DG1" s="250"/>
      <c r="DH1" s="142"/>
      <c r="DI1" s="120"/>
      <c r="DJ1" s="122"/>
      <c r="DK1" s="121"/>
      <c r="DL1" s="121"/>
      <c r="DM1" s="121"/>
      <c r="DN1" s="121"/>
      <c r="DO1" s="121"/>
      <c r="DP1" s="143"/>
      <c r="DQ1" s="143"/>
      <c r="DR1" s="143"/>
      <c r="DS1" s="216"/>
      <c r="DT1" s="122"/>
      <c r="DU1" s="123"/>
      <c r="DV1" s="124"/>
      <c r="DW1" s="124"/>
      <c r="DX1" s="124"/>
      <c r="DY1" s="125"/>
      <c r="DZ1" s="126"/>
      <c r="EA1" s="123"/>
      <c r="EB1" s="126"/>
      <c r="EE1" s="120"/>
      <c r="EJ1" s="93"/>
      <c r="EK1" s="98"/>
      <c r="EL1" s="98"/>
      <c r="EM1" s="98"/>
      <c r="EN1" s="98"/>
      <c r="EO1" s="95"/>
      <c r="EP1" s="243"/>
      <c r="EQ1" s="233"/>
      <c r="ER1" s="234"/>
    </row>
    <row r="2" spans="1:149" s="127" customFormat="1" ht="37.5" customHeight="1">
      <c r="A2" s="148"/>
      <c r="B2" s="148"/>
      <c r="C2" s="128"/>
      <c r="D2" s="128"/>
      <c r="E2" s="218"/>
      <c r="F2" s="128"/>
      <c r="G2" s="231"/>
      <c r="H2" s="128"/>
      <c r="I2" s="128"/>
      <c r="J2" s="128"/>
      <c r="K2" s="128"/>
      <c r="L2" s="128"/>
      <c r="M2" s="128"/>
      <c r="N2" s="148"/>
      <c r="O2" s="148"/>
      <c r="P2" s="148"/>
      <c r="Q2" s="148"/>
      <c r="R2" s="148"/>
      <c r="S2" s="148"/>
      <c r="T2" s="148"/>
      <c r="U2" s="148"/>
      <c r="V2" s="148"/>
      <c r="W2" s="148"/>
      <c r="X2" s="148"/>
      <c r="Y2" s="148"/>
      <c r="Z2" s="148"/>
      <c r="AA2" s="148"/>
      <c r="AB2" s="148"/>
      <c r="AC2" s="148"/>
      <c r="AD2" s="148"/>
      <c r="AE2" s="148"/>
      <c r="AF2" s="148"/>
      <c r="AG2" s="148"/>
      <c r="AH2" s="148"/>
      <c r="AI2" s="148"/>
      <c r="AJ2" s="148"/>
      <c r="AK2" s="148"/>
      <c r="AL2" s="148"/>
      <c r="AM2" s="148"/>
      <c r="AN2" s="148"/>
      <c r="AO2" s="148"/>
      <c r="AP2" s="148"/>
      <c r="AQ2" s="148"/>
      <c r="AR2" s="128"/>
      <c r="AS2" s="226"/>
      <c r="AT2" s="128"/>
      <c r="AU2" s="128"/>
      <c r="AV2" s="128"/>
      <c r="AW2" s="128"/>
      <c r="AX2" s="128"/>
      <c r="AY2" s="128"/>
      <c r="AZ2" s="128"/>
      <c r="BA2" s="128"/>
      <c r="BB2" s="128"/>
      <c r="BC2" s="128"/>
      <c r="BD2" s="128"/>
      <c r="BE2" s="128"/>
      <c r="BF2" s="128"/>
      <c r="BG2" s="128"/>
      <c r="BH2" s="128"/>
      <c r="BI2" s="128"/>
      <c r="BJ2" s="128"/>
      <c r="BK2" s="128"/>
      <c r="BL2" s="128"/>
      <c r="BM2" s="128"/>
      <c r="BN2" s="128"/>
      <c r="BO2" s="128"/>
      <c r="BP2" s="128"/>
      <c r="BQ2" s="128"/>
      <c r="BR2" s="128"/>
      <c r="BS2" s="128"/>
      <c r="BT2" s="128"/>
      <c r="BU2" s="128"/>
      <c r="BV2" s="128"/>
      <c r="BW2" s="128"/>
      <c r="BX2" s="128"/>
      <c r="BY2" s="132"/>
      <c r="BZ2" s="132"/>
      <c r="CA2" s="132"/>
      <c r="CB2" s="132"/>
      <c r="CC2" s="132"/>
      <c r="CD2" s="132"/>
      <c r="CE2" s="132"/>
      <c r="CF2" s="145"/>
      <c r="CG2" s="133"/>
      <c r="CH2" s="145"/>
      <c r="CI2" s="145"/>
      <c r="CJ2" s="133"/>
      <c r="CK2" s="133"/>
      <c r="CL2" s="133"/>
      <c r="CM2" s="133"/>
      <c r="CN2" s="133"/>
      <c r="CO2" s="133"/>
      <c r="CP2" s="138"/>
      <c r="CQ2" s="128"/>
      <c r="CR2" s="128"/>
      <c r="CS2" s="223"/>
      <c r="CT2" s="128"/>
      <c r="CU2" s="133"/>
      <c r="CV2" s="133"/>
      <c r="CW2" s="133"/>
      <c r="CX2" s="133"/>
      <c r="CY2" s="133"/>
      <c r="CZ2" s="133"/>
      <c r="DA2" s="133"/>
      <c r="DB2" s="133"/>
      <c r="DC2" s="133"/>
      <c r="DD2" s="133"/>
      <c r="DE2" s="133"/>
      <c r="DF2" s="133"/>
      <c r="DG2" s="251"/>
      <c r="DH2" s="133"/>
      <c r="DI2" s="128"/>
      <c r="DJ2" s="128"/>
      <c r="DK2" s="148"/>
      <c r="DL2" s="148"/>
      <c r="DM2" s="148"/>
      <c r="DN2" s="148"/>
      <c r="DO2" s="148"/>
      <c r="DP2" s="208"/>
      <c r="DQ2" s="208"/>
      <c r="DR2" s="208"/>
      <c r="DS2" s="207"/>
      <c r="DT2" s="128"/>
      <c r="DU2" s="123"/>
      <c r="DV2" s="124"/>
      <c r="DW2" s="124"/>
      <c r="DX2" s="124"/>
      <c r="DY2" s="125"/>
      <c r="DZ2" s="126"/>
      <c r="EA2" s="123"/>
      <c r="EB2" s="126"/>
      <c r="EE2" s="120"/>
      <c r="EJ2" s="93"/>
      <c r="EK2" s="98"/>
      <c r="EL2" s="235"/>
      <c r="EM2" s="95"/>
      <c r="EN2" s="95"/>
      <c r="EO2" s="95"/>
      <c r="EP2" s="243"/>
      <c r="EQ2" s="233"/>
      <c r="ER2" s="234"/>
    </row>
    <row r="3" spans="1:149" s="127" customFormat="1" ht="37.5" customHeight="1">
      <c r="A3" s="148" t="s">
        <v>123</v>
      </c>
      <c r="B3" s="148"/>
      <c r="C3" s="128"/>
      <c r="D3" s="128"/>
      <c r="E3" s="218"/>
      <c r="F3" s="128"/>
      <c r="G3" s="231"/>
      <c r="H3" s="128"/>
      <c r="I3" s="128"/>
      <c r="J3" s="128"/>
      <c r="K3" s="128"/>
      <c r="L3" s="128"/>
      <c r="M3" s="128"/>
      <c r="N3" s="148"/>
      <c r="O3" s="148"/>
      <c r="P3" s="148"/>
      <c r="Q3" s="148"/>
      <c r="R3" s="148"/>
      <c r="S3" s="148"/>
      <c r="T3" s="148"/>
      <c r="U3" s="148"/>
      <c r="V3" s="148"/>
      <c r="W3" s="148"/>
      <c r="X3" s="148"/>
      <c r="Y3" s="148"/>
      <c r="Z3" s="148"/>
      <c r="AA3" s="148"/>
      <c r="AB3" s="148"/>
      <c r="AC3" s="148"/>
      <c r="AD3" s="148"/>
      <c r="AE3" s="148"/>
      <c r="AF3" s="148"/>
      <c r="AG3" s="148"/>
      <c r="AH3" s="148"/>
      <c r="AI3" s="148"/>
      <c r="AJ3" s="148"/>
      <c r="AK3" s="148"/>
      <c r="AL3" s="148"/>
      <c r="AM3" s="148"/>
      <c r="AN3" s="148"/>
      <c r="AO3" s="148"/>
      <c r="AP3" s="148"/>
      <c r="AQ3" s="148"/>
      <c r="AR3" s="128"/>
      <c r="AS3" s="226"/>
      <c r="AT3" s="128"/>
      <c r="AU3" s="128"/>
      <c r="AV3" s="128"/>
      <c r="AW3" s="128"/>
      <c r="AX3" s="128"/>
      <c r="AY3" s="128"/>
      <c r="AZ3" s="128"/>
      <c r="BA3" s="128"/>
      <c r="BB3" s="128"/>
      <c r="BC3" s="128"/>
      <c r="BD3" s="128"/>
      <c r="BE3" s="128"/>
      <c r="BF3" s="128"/>
      <c r="BG3" s="128"/>
      <c r="BH3" s="128"/>
      <c r="BI3" s="128"/>
      <c r="BJ3" s="128"/>
      <c r="BK3" s="128"/>
      <c r="BL3" s="128"/>
      <c r="BM3" s="128"/>
      <c r="BN3" s="128"/>
      <c r="BO3" s="128"/>
      <c r="BP3" s="128"/>
      <c r="BQ3" s="128"/>
      <c r="BR3" s="128"/>
      <c r="BS3" s="128"/>
      <c r="BT3" s="128"/>
      <c r="BU3" s="128"/>
      <c r="BV3" s="128"/>
      <c r="BW3" s="128"/>
      <c r="BX3" s="128"/>
      <c r="BY3" s="133"/>
      <c r="BZ3" s="133"/>
      <c r="CA3" s="133"/>
      <c r="CB3" s="134"/>
      <c r="CC3" s="134"/>
      <c r="CD3" s="133"/>
      <c r="CE3" s="133"/>
      <c r="CF3" s="146"/>
      <c r="CG3" s="135"/>
      <c r="CH3" s="146"/>
      <c r="CI3" s="146"/>
      <c r="CJ3" s="135"/>
      <c r="CK3" s="135"/>
      <c r="CL3" s="135"/>
      <c r="CM3" s="135"/>
      <c r="CN3" s="135"/>
      <c r="CO3" s="139"/>
      <c r="CP3" s="140"/>
      <c r="CQ3" s="128"/>
      <c r="CR3" s="128"/>
      <c r="CS3" s="223"/>
      <c r="CT3" s="128"/>
      <c r="CU3" s="140"/>
      <c r="CV3" s="140"/>
      <c r="CW3" s="140"/>
      <c r="CX3" s="140"/>
      <c r="CY3" s="140"/>
      <c r="CZ3" s="140"/>
      <c r="DA3" s="140"/>
      <c r="DB3" s="140"/>
      <c r="DC3" s="140"/>
      <c r="DD3" s="140"/>
      <c r="DE3" s="140"/>
      <c r="DF3" s="140"/>
      <c r="DG3" s="252"/>
      <c r="DH3" s="140"/>
      <c r="DI3" s="128"/>
      <c r="DJ3" s="128"/>
      <c r="DK3" s="148"/>
      <c r="DL3" s="148"/>
      <c r="DM3" s="148"/>
      <c r="DN3" s="148"/>
      <c r="DO3" s="148"/>
      <c r="DP3" s="208"/>
      <c r="DQ3" s="208"/>
      <c r="DR3" s="208"/>
      <c r="DS3" s="207"/>
      <c r="DT3" s="128"/>
      <c r="DU3" s="128"/>
      <c r="DV3" s="128"/>
      <c r="DW3" s="129"/>
      <c r="DX3" s="128"/>
      <c r="DY3" s="130"/>
      <c r="DZ3" s="130"/>
      <c r="EA3" s="130"/>
      <c r="EC3" s="131"/>
      <c r="ED3" s="131"/>
      <c r="EE3" s="120"/>
      <c r="EJ3" s="93"/>
      <c r="EK3" s="98"/>
      <c r="EL3" s="98"/>
      <c r="EM3" s="98"/>
      <c r="EN3" s="98"/>
      <c r="EO3" s="95"/>
      <c r="EP3" s="243"/>
      <c r="EQ3" s="233"/>
      <c r="ER3" s="234"/>
    </row>
    <row r="4" spans="1:149" s="105" customFormat="1" ht="63" customHeight="1">
      <c r="A4" s="206"/>
      <c r="B4" s="206"/>
      <c r="C4" s="107"/>
      <c r="D4" s="107"/>
      <c r="E4" s="229" t="s">
        <v>76</v>
      </c>
      <c r="F4" s="257"/>
      <c r="G4" s="232"/>
      <c r="H4" s="108"/>
      <c r="I4" s="256"/>
      <c r="J4" s="263" t="s">
        <v>68</v>
      </c>
      <c r="K4" s="263"/>
      <c r="L4" s="258">
        <v>3</v>
      </c>
      <c r="M4" s="258"/>
      <c r="N4" s="259" t="s">
        <v>69</v>
      </c>
      <c r="O4" s="259"/>
      <c r="P4" s="259">
        <v>2026</v>
      </c>
      <c r="Q4" s="259"/>
      <c r="R4" s="109"/>
      <c r="S4" s="263"/>
      <c r="T4" s="263"/>
      <c r="U4" s="263"/>
      <c r="V4" s="109"/>
      <c r="W4" s="263"/>
      <c r="X4" s="263"/>
      <c r="Y4" s="263"/>
      <c r="Z4" s="263"/>
      <c r="AA4" s="263"/>
      <c r="AB4" s="263"/>
      <c r="AC4" s="263"/>
      <c r="AD4" s="263"/>
      <c r="AE4" s="109"/>
      <c r="AF4" s="110"/>
      <c r="AG4" s="263"/>
      <c r="AH4" s="263"/>
      <c r="AI4" s="263"/>
      <c r="AJ4" s="109"/>
      <c r="AK4" s="109"/>
      <c r="AL4" s="109"/>
      <c r="AM4" s="111"/>
      <c r="AN4" s="112"/>
      <c r="AO4" s="113"/>
      <c r="AP4" s="113"/>
      <c r="AQ4" s="113"/>
      <c r="AR4" s="221"/>
      <c r="AS4" s="227"/>
      <c r="AT4" s="263" t="s">
        <v>68</v>
      </c>
      <c r="AU4" s="263"/>
      <c r="AV4" s="258">
        <f>L4</f>
        <v>3</v>
      </c>
      <c r="AW4" s="258"/>
      <c r="AX4" s="259" t="s">
        <v>69</v>
      </c>
      <c r="AY4" s="259"/>
      <c r="AZ4" s="259">
        <f>P4</f>
        <v>2026</v>
      </c>
      <c r="BA4" s="259"/>
      <c r="BB4" s="109"/>
      <c r="BC4" s="263"/>
      <c r="BD4" s="263"/>
      <c r="BE4" s="263"/>
      <c r="BF4" s="109"/>
      <c r="BG4" s="263"/>
      <c r="BH4" s="263"/>
      <c r="BI4" s="263"/>
      <c r="BJ4" s="263"/>
      <c r="BK4" s="263"/>
      <c r="BL4" s="263"/>
      <c r="BM4" s="263"/>
      <c r="BN4" s="263"/>
      <c r="BO4" s="109"/>
      <c r="BP4" s="110"/>
      <c r="BQ4" s="263"/>
      <c r="BR4" s="263"/>
      <c r="BS4" s="263"/>
      <c r="BT4" s="114"/>
      <c r="BU4" s="114" t="str">
        <f>IF(WEEKDAY(BU5,1)=1,"CN","")</f>
        <v/>
      </c>
      <c r="BV4" s="114"/>
      <c r="BW4" s="114"/>
      <c r="BX4" s="114" t="str">
        <f>IF(WEEKDAY(BX5,1)=1,"CN","")</f>
        <v/>
      </c>
      <c r="BY4" s="213"/>
      <c r="BZ4" s="213"/>
      <c r="CA4" s="213"/>
      <c r="CB4" s="213"/>
      <c r="CC4" s="213"/>
      <c r="CD4" s="213"/>
      <c r="CE4" s="213"/>
      <c r="CF4" s="214"/>
      <c r="CG4" s="141"/>
      <c r="CH4" s="214"/>
      <c r="CI4" s="214"/>
      <c r="CJ4" s="141"/>
      <c r="CK4" s="141"/>
      <c r="CL4" s="141"/>
      <c r="CM4" s="141"/>
      <c r="CN4" s="141"/>
      <c r="CO4" s="141"/>
      <c r="CP4" s="141"/>
      <c r="CQ4" s="115"/>
      <c r="CR4" s="115"/>
      <c r="CS4" s="224"/>
      <c r="CT4" s="115"/>
      <c r="CU4" s="141"/>
      <c r="CV4" s="141"/>
      <c r="CW4" s="141"/>
      <c r="CX4" s="141"/>
      <c r="CY4" s="141"/>
      <c r="CZ4" s="141"/>
      <c r="DA4" s="141"/>
      <c r="DB4" s="141"/>
      <c r="DC4" s="141"/>
      <c r="DD4" s="141"/>
      <c r="DE4" s="141"/>
      <c r="DF4" s="141"/>
      <c r="DG4" s="253"/>
      <c r="DH4" s="141"/>
      <c r="DI4" s="115"/>
      <c r="DJ4" s="115"/>
      <c r="DK4" s="149"/>
      <c r="DL4" s="149"/>
      <c r="DM4" s="149"/>
      <c r="DN4" s="149"/>
      <c r="DO4" s="149"/>
      <c r="DP4" s="215"/>
      <c r="DQ4" s="215"/>
      <c r="DR4" s="215"/>
      <c r="DS4" s="217"/>
      <c r="DT4" s="115"/>
      <c r="DU4" s="115"/>
      <c r="DV4" s="115"/>
      <c r="DW4" s="115"/>
      <c r="DX4" s="115"/>
      <c r="DY4" s="116"/>
      <c r="DZ4" s="117"/>
      <c r="EA4" s="103"/>
      <c r="EB4" s="115"/>
      <c r="EE4" s="104"/>
      <c r="EJ4" s="93"/>
      <c r="EK4" s="98"/>
      <c r="EL4" s="98"/>
      <c r="EM4" s="98"/>
      <c r="EN4" s="98"/>
      <c r="EO4" s="95"/>
      <c r="EP4" s="244"/>
      <c r="EQ4" s="236"/>
      <c r="ER4" s="237"/>
    </row>
    <row r="5" spans="1:149" s="183" customFormat="1" ht="92.25" customHeight="1">
      <c r="A5" s="264" t="s">
        <v>0</v>
      </c>
      <c r="B5" s="265" t="s">
        <v>2</v>
      </c>
      <c r="C5" s="264" t="s">
        <v>1</v>
      </c>
      <c r="D5" s="266" t="s">
        <v>77</v>
      </c>
      <c r="E5" s="267" t="s">
        <v>120</v>
      </c>
      <c r="F5" s="264" t="s">
        <v>75</v>
      </c>
      <c r="G5" s="264" t="s">
        <v>70</v>
      </c>
      <c r="H5" s="264" t="s">
        <v>3</v>
      </c>
      <c r="I5" s="269" t="s">
        <v>4</v>
      </c>
      <c r="J5" s="174">
        <f>+DATE(P4,L4,1)</f>
        <v>46082</v>
      </c>
      <c r="K5" s="174">
        <f t="shared" ref="K5:AN5" si="0">J5+1</f>
        <v>46083</v>
      </c>
      <c r="L5" s="174">
        <f t="shared" si="0"/>
        <v>46084</v>
      </c>
      <c r="M5" s="175">
        <f t="shared" si="0"/>
        <v>46085</v>
      </c>
      <c r="N5" s="175">
        <f t="shared" si="0"/>
        <v>46086</v>
      </c>
      <c r="O5" s="175">
        <f t="shared" si="0"/>
        <v>46087</v>
      </c>
      <c r="P5" s="175">
        <f t="shared" si="0"/>
        <v>46088</v>
      </c>
      <c r="Q5" s="175">
        <f t="shared" si="0"/>
        <v>46089</v>
      </c>
      <c r="R5" s="175">
        <f t="shared" si="0"/>
        <v>46090</v>
      </c>
      <c r="S5" s="175">
        <f t="shared" si="0"/>
        <v>46091</v>
      </c>
      <c r="T5" s="175">
        <f t="shared" si="0"/>
        <v>46092</v>
      </c>
      <c r="U5" s="175">
        <f t="shared" si="0"/>
        <v>46093</v>
      </c>
      <c r="V5" s="175">
        <f t="shared" si="0"/>
        <v>46094</v>
      </c>
      <c r="W5" s="175">
        <f t="shared" si="0"/>
        <v>46095</v>
      </c>
      <c r="X5" s="175">
        <f t="shared" si="0"/>
        <v>46096</v>
      </c>
      <c r="Y5" s="175">
        <f t="shared" si="0"/>
        <v>46097</v>
      </c>
      <c r="Z5" s="175">
        <f t="shared" si="0"/>
        <v>46098</v>
      </c>
      <c r="AA5" s="175">
        <f t="shared" si="0"/>
        <v>46099</v>
      </c>
      <c r="AB5" s="175">
        <f t="shared" si="0"/>
        <v>46100</v>
      </c>
      <c r="AC5" s="175">
        <f t="shared" si="0"/>
        <v>46101</v>
      </c>
      <c r="AD5" s="175">
        <f t="shared" si="0"/>
        <v>46102</v>
      </c>
      <c r="AE5" s="175">
        <f t="shared" si="0"/>
        <v>46103</v>
      </c>
      <c r="AF5" s="176">
        <f t="shared" si="0"/>
        <v>46104</v>
      </c>
      <c r="AG5" s="176">
        <f t="shared" si="0"/>
        <v>46105</v>
      </c>
      <c r="AH5" s="176">
        <f t="shared" si="0"/>
        <v>46106</v>
      </c>
      <c r="AI5" s="176">
        <f t="shared" si="0"/>
        <v>46107</v>
      </c>
      <c r="AJ5" s="176">
        <f t="shared" si="0"/>
        <v>46108</v>
      </c>
      <c r="AK5" s="176">
        <f t="shared" si="0"/>
        <v>46109</v>
      </c>
      <c r="AL5" s="176">
        <f t="shared" si="0"/>
        <v>46110</v>
      </c>
      <c r="AM5" s="176">
        <f t="shared" si="0"/>
        <v>46111</v>
      </c>
      <c r="AN5" s="176">
        <f t="shared" si="0"/>
        <v>46112</v>
      </c>
      <c r="AO5" s="270" t="s">
        <v>82</v>
      </c>
      <c r="AP5" s="270" t="s">
        <v>83</v>
      </c>
      <c r="AQ5" s="270" t="s">
        <v>84</v>
      </c>
      <c r="AR5" s="271" t="s">
        <v>5</v>
      </c>
      <c r="AS5" s="271" t="s">
        <v>6</v>
      </c>
      <c r="AT5" s="178">
        <f>+J5</f>
        <v>46082</v>
      </c>
      <c r="AU5" s="178">
        <f t="shared" ref="AU5:BX5" si="1">+AT5+1</f>
        <v>46083</v>
      </c>
      <c r="AV5" s="178">
        <f t="shared" si="1"/>
        <v>46084</v>
      </c>
      <c r="AW5" s="178">
        <f t="shared" si="1"/>
        <v>46085</v>
      </c>
      <c r="AX5" s="178">
        <f t="shared" si="1"/>
        <v>46086</v>
      </c>
      <c r="AY5" s="178">
        <f t="shared" si="1"/>
        <v>46087</v>
      </c>
      <c r="AZ5" s="178">
        <f t="shared" si="1"/>
        <v>46088</v>
      </c>
      <c r="BA5" s="178">
        <f t="shared" si="1"/>
        <v>46089</v>
      </c>
      <c r="BB5" s="178">
        <f t="shared" si="1"/>
        <v>46090</v>
      </c>
      <c r="BC5" s="179">
        <f t="shared" si="1"/>
        <v>46091</v>
      </c>
      <c r="BD5" s="178">
        <f t="shared" si="1"/>
        <v>46092</v>
      </c>
      <c r="BE5" s="178">
        <f t="shared" si="1"/>
        <v>46093</v>
      </c>
      <c r="BF5" s="178">
        <f t="shared" si="1"/>
        <v>46094</v>
      </c>
      <c r="BG5" s="178">
        <f t="shared" si="1"/>
        <v>46095</v>
      </c>
      <c r="BH5" s="178">
        <f t="shared" si="1"/>
        <v>46096</v>
      </c>
      <c r="BI5" s="178">
        <f t="shared" si="1"/>
        <v>46097</v>
      </c>
      <c r="BJ5" s="178">
        <f t="shared" si="1"/>
        <v>46098</v>
      </c>
      <c r="BK5" s="178">
        <f t="shared" si="1"/>
        <v>46099</v>
      </c>
      <c r="BL5" s="178">
        <f t="shared" si="1"/>
        <v>46100</v>
      </c>
      <c r="BM5" s="178">
        <f t="shared" si="1"/>
        <v>46101</v>
      </c>
      <c r="BN5" s="178">
        <f t="shared" si="1"/>
        <v>46102</v>
      </c>
      <c r="BO5" s="178">
        <f t="shared" si="1"/>
        <v>46103</v>
      </c>
      <c r="BP5" s="178">
        <f t="shared" si="1"/>
        <v>46104</v>
      </c>
      <c r="BQ5" s="178">
        <f t="shared" si="1"/>
        <v>46105</v>
      </c>
      <c r="BR5" s="178">
        <f t="shared" si="1"/>
        <v>46106</v>
      </c>
      <c r="BS5" s="178">
        <f t="shared" si="1"/>
        <v>46107</v>
      </c>
      <c r="BT5" s="178">
        <f t="shared" si="1"/>
        <v>46108</v>
      </c>
      <c r="BU5" s="178">
        <f t="shared" si="1"/>
        <v>46109</v>
      </c>
      <c r="BV5" s="178">
        <f t="shared" si="1"/>
        <v>46110</v>
      </c>
      <c r="BW5" s="178">
        <f t="shared" si="1"/>
        <v>46111</v>
      </c>
      <c r="BX5" s="178">
        <f t="shared" si="1"/>
        <v>46112</v>
      </c>
      <c r="BY5" s="272" t="s">
        <v>85</v>
      </c>
      <c r="BZ5" s="272" t="s">
        <v>86</v>
      </c>
      <c r="CA5" s="272" t="s">
        <v>87</v>
      </c>
      <c r="CB5" s="272" t="s">
        <v>88</v>
      </c>
      <c r="CC5" s="272" t="s">
        <v>89</v>
      </c>
      <c r="CD5" s="272" t="s">
        <v>90</v>
      </c>
      <c r="CE5" s="272" t="s">
        <v>91</v>
      </c>
      <c r="CF5" s="286" t="s">
        <v>19</v>
      </c>
      <c r="CG5" s="286"/>
      <c r="CH5" s="286"/>
      <c r="CI5" s="286"/>
      <c r="CJ5" s="286"/>
      <c r="CK5" s="286"/>
      <c r="CL5" s="286"/>
      <c r="CM5" s="286"/>
      <c r="CN5" s="286"/>
      <c r="CO5" s="286"/>
      <c r="CP5" s="286"/>
      <c r="CQ5" s="290" t="s">
        <v>59</v>
      </c>
      <c r="CR5" s="291"/>
      <c r="CS5" s="292"/>
      <c r="CT5" s="297" t="s">
        <v>60</v>
      </c>
      <c r="CU5" s="247" t="s">
        <v>102</v>
      </c>
      <c r="CV5" s="248"/>
      <c r="CW5" s="248"/>
      <c r="CX5" s="248"/>
      <c r="CY5" s="248"/>
      <c r="CZ5" s="248"/>
      <c r="DA5" s="248"/>
      <c r="DB5" s="248"/>
      <c r="DC5" s="248"/>
      <c r="DD5" s="249" t="s">
        <v>126</v>
      </c>
      <c r="DE5" s="249" t="s">
        <v>126</v>
      </c>
      <c r="DF5" s="245" t="s">
        <v>127</v>
      </c>
      <c r="DG5" s="293" t="s">
        <v>117</v>
      </c>
      <c r="DH5" s="298" t="s">
        <v>112</v>
      </c>
      <c r="DI5" s="295" t="s">
        <v>81</v>
      </c>
      <c r="DJ5" s="296"/>
      <c r="DK5" s="283" t="s">
        <v>61</v>
      </c>
      <c r="DL5" s="287" t="s">
        <v>8</v>
      </c>
      <c r="DM5" s="284" t="s">
        <v>71</v>
      </c>
      <c r="DN5" s="284"/>
      <c r="DO5" s="284"/>
      <c r="DP5" s="284"/>
      <c r="DQ5" s="284"/>
      <c r="DR5" s="284"/>
      <c r="DS5" s="299" t="s">
        <v>12</v>
      </c>
      <c r="DT5" s="284" t="s">
        <v>125</v>
      </c>
      <c r="DU5" s="265" t="s">
        <v>13</v>
      </c>
      <c r="DV5" s="288" t="s">
        <v>64</v>
      </c>
      <c r="DW5" s="289"/>
      <c r="DX5" s="288"/>
      <c r="DY5" s="281" t="s">
        <v>63</v>
      </c>
      <c r="DZ5" s="281"/>
      <c r="EA5" s="281"/>
      <c r="EB5" s="281"/>
      <c r="EC5" s="282" t="s">
        <v>131</v>
      </c>
      <c r="ED5" s="284" t="s">
        <v>7</v>
      </c>
      <c r="EE5" s="285" t="s">
        <v>65</v>
      </c>
      <c r="EF5" s="285"/>
      <c r="EG5" s="285" t="s">
        <v>66</v>
      </c>
      <c r="EH5" s="285" t="s">
        <v>67</v>
      </c>
      <c r="EI5" s="285" t="s">
        <v>72</v>
      </c>
      <c r="EJ5" s="302" t="s">
        <v>78</v>
      </c>
      <c r="EK5" s="302" t="s">
        <v>80</v>
      </c>
      <c r="EL5" s="302" t="s">
        <v>79</v>
      </c>
      <c r="EM5" s="276" t="s">
        <v>124</v>
      </c>
      <c r="EN5" s="300" t="s">
        <v>118</v>
      </c>
      <c r="EO5" s="278" t="s">
        <v>129</v>
      </c>
      <c r="EP5" s="280" t="s">
        <v>122</v>
      </c>
      <c r="EQ5" s="280" t="s">
        <v>121</v>
      </c>
      <c r="ER5" s="274" t="s">
        <v>119</v>
      </c>
      <c r="ES5" s="316" t="s">
        <v>130</v>
      </c>
    </row>
    <row r="6" spans="1:149" s="205" customFormat="1" ht="148.5" customHeight="1">
      <c r="A6" s="264"/>
      <c r="B6" s="265"/>
      <c r="C6" s="264"/>
      <c r="D6" s="266"/>
      <c r="E6" s="268"/>
      <c r="F6" s="264"/>
      <c r="G6" s="264"/>
      <c r="H6" s="264"/>
      <c r="I6" s="269"/>
      <c r="J6" s="184" t="str">
        <f t="shared" ref="J6:AN6" si="2">IF(WEEKDAY(J5)=1,"CN",WEEKDAY(J5))</f>
        <v>CN</v>
      </c>
      <c r="K6" s="184">
        <f t="shared" si="2"/>
        <v>2</v>
      </c>
      <c r="L6" s="184">
        <f t="shared" si="2"/>
        <v>3</v>
      </c>
      <c r="M6" s="185">
        <f t="shared" si="2"/>
        <v>4</v>
      </c>
      <c r="N6" s="185">
        <f t="shared" si="2"/>
        <v>5</v>
      </c>
      <c r="O6" s="185">
        <f t="shared" si="2"/>
        <v>6</v>
      </c>
      <c r="P6" s="185">
        <f t="shared" si="2"/>
        <v>7</v>
      </c>
      <c r="Q6" s="185" t="str">
        <f t="shared" si="2"/>
        <v>CN</v>
      </c>
      <c r="R6" s="185">
        <f t="shared" si="2"/>
        <v>2</v>
      </c>
      <c r="S6" s="185">
        <f t="shared" si="2"/>
        <v>3</v>
      </c>
      <c r="T6" s="185">
        <f t="shared" si="2"/>
        <v>4</v>
      </c>
      <c r="U6" s="185">
        <f t="shared" si="2"/>
        <v>5</v>
      </c>
      <c r="V6" s="185">
        <f t="shared" si="2"/>
        <v>6</v>
      </c>
      <c r="W6" s="185">
        <f t="shared" si="2"/>
        <v>7</v>
      </c>
      <c r="X6" s="185" t="str">
        <f t="shared" si="2"/>
        <v>CN</v>
      </c>
      <c r="Y6" s="185">
        <f t="shared" si="2"/>
        <v>2</v>
      </c>
      <c r="Z6" s="185">
        <f t="shared" si="2"/>
        <v>3</v>
      </c>
      <c r="AA6" s="185">
        <f t="shared" si="2"/>
        <v>4</v>
      </c>
      <c r="AB6" s="185">
        <f t="shared" si="2"/>
        <v>5</v>
      </c>
      <c r="AC6" s="185">
        <f t="shared" si="2"/>
        <v>6</v>
      </c>
      <c r="AD6" s="185">
        <f t="shared" si="2"/>
        <v>7</v>
      </c>
      <c r="AE6" s="185" t="str">
        <f t="shared" si="2"/>
        <v>CN</v>
      </c>
      <c r="AF6" s="185">
        <f t="shared" si="2"/>
        <v>2</v>
      </c>
      <c r="AG6" s="185">
        <f t="shared" si="2"/>
        <v>3</v>
      </c>
      <c r="AH6" s="185">
        <f t="shared" si="2"/>
        <v>4</v>
      </c>
      <c r="AI6" s="185">
        <f t="shared" si="2"/>
        <v>5</v>
      </c>
      <c r="AJ6" s="185">
        <f t="shared" si="2"/>
        <v>6</v>
      </c>
      <c r="AK6" s="185">
        <f t="shared" si="2"/>
        <v>7</v>
      </c>
      <c r="AL6" s="185" t="str">
        <f t="shared" si="2"/>
        <v>CN</v>
      </c>
      <c r="AM6" s="185">
        <f t="shared" si="2"/>
        <v>2</v>
      </c>
      <c r="AN6" s="185">
        <f t="shared" si="2"/>
        <v>3</v>
      </c>
      <c r="AO6" s="270"/>
      <c r="AP6" s="270"/>
      <c r="AQ6" s="270"/>
      <c r="AR6" s="271"/>
      <c r="AS6" s="271"/>
      <c r="AT6" s="186" t="str">
        <f>+J6</f>
        <v>CN</v>
      </c>
      <c r="AU6" s="186">
        <f t="shared" ref="AU6:BX6" si="3">+K6</f>
        <v>2</v>
      </c>
      <c r="AV6" s="186">
        <f t="shared" si="3"/>
        <v>3</v>
      </c>
      <c r="AW6" s="186">
        <f t="shared" si="3"/>
        <v>4</v>
      </c>
      <c r="AX6" s="186">
        <f t="shared" si="3"/>
        <v>5</v>
      </c>
      <c r="AY6" s="186">
        <f t="shared" si="3"/>
        <v>6</v>
      </c>
      <c r="AZ6" s="186">
        <f t="shared" si="3"/>
        <v>7</v>
      </c>
      <c r="BA6" s="186" t="str">
        <f t="shared" si="3"/>
        <v>CN</v>
      </c>
      <c r="BB6" s="186">
        <f t="shared" si="3"/>
        <v>2</v>
      </c>
      <c r="BC6" s="187">
        <f t="shared" si="3"/>
        <v>3</v>
      </c>
      <c r="BD6" s="186">
        <f t="shared" si="3"/>
        <v>4</v>
      </c>
      <c r="BE6" s="186">
        <f t="shared" si="3"/>
        <v>5</v>
      </c>
      <c r="BF6" s="186">
        <f t="shared" si="3"/>
        <v>6</v>
      </c>
      <c r="BG6" s="186">
        <f t="shared" si="3"/>
        <v>7</v>
      </c>
      <c r="BH6" s="186" t="str">
        <f t="shared" si="3"/>
        <v>CN</v>
      </c>
      <c r="BI6" s="186">
        <f t="shared" si="3"/>
        <v>2</v>
      </c>
      <c r="BJ6" s="186">
        <f t="shared" si="3"/>
        <v>3</v>
      </c>
      <c r="BK6" s="186">
        <f t="shared" si="3"/>
        <v>4</v>
      </c>
      <c r="BL6" s="186">
        <f t="shared" si="3"/>
        <v>5</v>
      </c>
      <c r="BM6" s="186">
        <f t="shared" si="3"/>
        <v>6</v>
      </c>
      <c r="BN6" s="186">
        <f t="shared" si="3"/>
        <v>7</v>
      </c>
      <c r="BO6" s="186" t="str">
        <f t="shared" si="3"/>
        <v>CN</v>
      </c>
      <c r="BP6" s="186">
        <f t="shared" si="3"/>
        <v>2</v>
      </c>
      <c r="BQ6" s="186">
        <f t="shared" si="3"/>
        <v>3</v>
      </c>
      <c r="BR6" s="186">
        <f t="shared" si="3"/>
        <v>4</v>
      </c>
      <c r="BS6" s="186">
        <f t="shared" si="3"/>
        <v>5</v>
      </c>
      <c r="BT6" s="186">
        <f t="shared" si="3"/>
        <v>6</v>
      </c>
      <c r="BU6" s="186">
        <f t="shared" si="3"/>
        <v>7</v>
      </c>
      <c r="BV6" s="186" t="str">
        <f t="shared" si="3"/>
        <v>CN</v>
      </c>
      <c r="BW6" s="186">
        <f t="shared" si="3"/>
        <v>2</v>
      </c>
      <c r="BX6" s="186">
        <f t="shared" si="3"/>
        <v>3</v>
      </c>
      <c r="BY6" s="273"/>
      <c r="BZ6" s="273"/>
      <c r="CA6" s="273"/>
      <c r="CB6" s="273"/>
      <c r="CC6" s="273"/>
      <c r="CD6" s="273"/>
      <c r="CE6" s="273"/>
      <c r="CF6" s="188" t="s">
        <v>92</v>
      </c>
      <c r="CG6" s="188" t="s">
        <v>93</v>
      </c>
      <c r="CH6" s="188" t="s">
        <v>57</v>
      </c>
      <c r="CI6" s="177" t="s">
        <v>94</v>
      </c>
      <c r="CJ6" s="189" t="s">
        <v>95</v>
      </c>
      <c r="CK6" s="190" t="s">
        <v>96</v>
      </c>
      <c r="CL6" s="191" t="s">
        <v>97</v>
      </c>
      <c r="CM6" s="192" t="s">
        <v>98</v>
      </c>
      <c r="CN6" s="193" t="s">
        <v>99</v>
      </c>
      <c r="CO6" s="194" t="s">
        <v>100</v>
      </c>
      <c r="CP6" s="195" t="s">
        <v>101</v>
      </c>
      <c r="CQ6" s="152" t="s">
        <v>14</v>
      </c>
      <c r="CR6" s="152" t="s">
        <v>15</v>
      </c>
      <c r="CS6" s="180" t="s">
        <v>58</v>
      </c>
      <c r="CT6" s="297"/>
      <c r="CU6" s="188" t="s">
        <v>103</v>
      </c>
      <c r="CV6" s="181" t="s">
        <v>104</v>
      </c>
      <c r="CW6" s="189" t="s">
        <v>105</v>
      </c>
      <c r="CX6" s="196" t="s">
        <v>106</v>
      </c>
      <c r="CY6" s="197" t="s">
        <v>107</v>
      </c>
      <c r="CZ6" s="198" t="s">
        <v>108</v>
      </c>
      <c r="DA6" s="199" t="s">
        <v>109</v>
      </c>
      <c r="DB6" s="200" t="s">
        <v>110</v>
      </c>
      <c r="DC6" s="201" t="s">
        <v>111</v>
      </c>
      <c r="DD6" s="202" t="s">
        <v>58</v>
      </c>
      <c r="DE6" s="181" t="s">
        <v>116</v>
      </c>
      <c r="DF6" s="246" t="s">
        <v>128</v>
      </c>
      <c r="DG6" s="294"/>
      <c r="DH6" s="298"/>
      <c r="DI6" s="152" t="s">
        <v>14</v>
      </c>
      <c r="DJ6" s="152" t="s">
        <v>15</v>
      </c>
      <c r="DK6" s="283"/>
      <c r="DL6" s="287"/>
      <c r="DM6" s="180" t="s">
        <v>9</v>
      </c>
      <c r="DN6" s="180" t="s">
        <v>10</v>
      </c>
      <c r="DO6" s="180" t="s">
        <v>11</v>
      </c>
      <c r="DP6" s="180" t="s">
        <v>113</v>
      </c>
      <c r="DQ6" s="180" t="s">
        <v>114</v>
      </c>
      <c r="DR6" s="180" t="s">
        <v>115</v>
      </c>
      <c r="DS6" s="299"/>
      <c r="DT6" s="284"/>
      <c r="DU6" s="265"/>
      <c r="DV6" s="203">
        <v>0.17499999999999999</v>
      </c>
      <c r="DW6" s="204">
        <v>0.03</v>
      </c>
      <c r="DX6" s="203">
        <v>0.01</v>
      </c>
      <c r="DY6" s="153" t="s">
        <v>16</v>
      </c>
      <c r="DZ6" s="153" t="s">
        <v>17</v>
      </c>
      <c r="EA6" s="152" t="s">
        <v>18</v>
      </c>
      <c r="EB6" s="152" t="s">
        <v>62</v>
      </c>
      <c r="EC6" s="283"/>
      <c r="ED6" s="284"/>
      <c r="EE6" s="182" t="s">
        <v>73</v>
      </c>
      <c r="EF6" s="182" t="s">
        <v>74</v>
      </c>
      <c r="EG6" s="285"/>
      <c r="EH6" s="285"/>
      <c r="EI6" s="285"/>
      <c r="EJ6" s="302"/>
      <c r="EK6" s="302"/>
      <c r="EL6" s="302"/>
      <c r="EM6" s="277"/>
      <c r="EN6" s="301"/>
      <c r="EO6" s="279"/>
      <c r="EP6" s="280"/>
      <c r="EQ6" s="280"/>
      <c r="ER6" s="274"/>
      <c r="ES6" s="316"/>
    </row>
    <row r="7" spans="1:149" s="106" customFormat="1" ht="87.75" customHeight="1">
      <c r="A7" s="275"/>
      <c r="B7" s="275"/>
      <c r="C7" s="275"/>
      <c r="D7" s="275"/>
      <c r="E7" s="275"/>
      <c r="F7" s="275"/>
      <c r="G7" s="275"/>
      <c r="H7" s="275"/>
      <c r="I7" s="275"/>
      <c r="J7" s="275"/>
      <c r="K7" s="275"/>
      <c r="L7" s="275"/>
      <c r="M7" s="275"/>
      <c r="N7" s="275"/>
      <c r="O7" s="275"/>
      <c r="P7" s="275"/>
      <c r="Q7" s="275"/>
      <c r="R7" s="275"/>
      <c r="S7" s="275"/>
      <c r="T7" s="275"/>
      <c r="U7" s="275"/>
      <c r="V7" s="275"/>
      <c r="W7" s="275"/>
      <c r="X7" s="275"/>
      <c r="Y7" s="275"/>
      <c r="Z7" s="275"/>
      <c r="AA7" s="275"/>
      <c r="AB7" s="275"/>
      <c r="AC7" s="275"/>
      <c r="AD7" s="275"/>
      <c r="AE7" s="275"/>
      <c r="AF7" s="275"/>
      <c r="AG7" s="275"/>
      <c r="AH7" s="275"/>
      <c r="AI7" s="275"/>
      <c r="AJ7" s="275"/>
      <c r="AK7" s="275"/>
      <c r="AL7" s="275"/>
      <c r="AM7" s="275"/>
      <c r="AN7" s="275"/>
      <c r="AO7" s="275"/>
      <c r="AP7" s="275"/>
      <c r="AQ7" s="275"/>
      <c r="AR7" s="275"/>
      <c r="AS7" s="275"/>
      <c r="AT7" s="275"/>
      <c r="AU7" s="275"/>
      <c r="AV7" s="275"/>
      <c r="AW7" s="275"/>
      <c r="AX7" s="275"/>
      <c r="AY7" s="275"/>
      <c r="AZ7" s="275"/>
      <c r="BA7" s="275"/>
      <c r="BB7" s="275"/>
      <c r="BC7" s="275"/>
      <c r="BD7" s="275"/>
      <c r="BE7" s="275"/>
      <c r="BF7" s="275"/>
      <c r="BG7" s="275"/>
      <c r="BH7" s="275"/>
      <c r="BI7" s="275"/>
      <c r="BJ7" s="275"/>
      <c r="BK7" s="275"/>
      <c r="BL7" s="275"/>
      <c r="BM7" s="275"/>
      <c r="BN7" s="275"/>
      <c r="BO7" s="275"/>
      <c r="BP7" s="275"/>
      <c r="BQ7" s="275"/>
      <c r="BR7" s="275"/>
      <c r="BS7" s="275"/>
      <c r="BT7" s="275"/>
      <c r="BU7" s="275"/>
      <c r="BV7" s="275"/>
      <c r="BW7" s="275"/>
      <c r="BX7" s="275"/>
      <c r="BY7" s="275"/>
      <c r="BZ7" s="275"/>
      <c r="CA7" s="275"/>
      <c r="CB7" s="275"/>
      <c r="CC7" s="275"/>
      <c r="CD7" s="275"/>
      <c r="CE7" s="275"/>
      <c r="CF7" s="275"/>
      <c r="CG7" s="275"/>
      <c r="CH7" s="275"/>
      <c r="CI7" s="275"/>
      <c r="CJ7" s="275"/>
      <c r="CK7" s="275"/>
      <c r="CL7" s="275"/>
      <c r="CM7" s="275"/>
      <c r="CN7" s="275"/>
      <c r="CO7" s="275"/>
      <c r="CP7" s="275"/>
      <c r="CQ7" s="275"/>
      <c r="CR7" s="275"/>
      <c r="CS7" s="275"/>
      <c r="CT7" s="275"/>
      <c r="CU7" s="275"/>
      <c r="CV7" s="275"/>
      <c r="CW7" s="275"/>
      <c r="CX7" s="275"/>
      <c r="CY7" s="275"/>
      <c r="CZ7" s="275"/>
      <c r="DA7" s="275"/>
      <c r="DB7" s="275"/>
      <c r="DC7" s="275"/>
      <c r="DD7" s="275"/>
      <c r="DE7" s="275"/>
      <c r="DF7" s="275"/>
      <c r="DG7" s="275"/>
      <c r="DH7" s="275"/>
      <c r="DI7" s="275"/>
      <c r="DJ7" s="275"/>
      <c r="DK7" s="275"/>
      <c r="DL7" s="275"/>
      <c r="DM7" s="275"/>
      <c r="DN7" s="275"/>
      <c r="DO7" s="275"/>
      <c r="DP7" s="275"/>
      <c r="DQ7" s="275"/>
      <c r="DR7" s="275"/>
      <c r="DS7" s="275"/>
      <c r="DT7" s="275"/>
      <c r="DU7" s="275"/>
      <c r="DV7" s="275"/>
      <c r="DW7" s="275"/>
      <c r="DX7" s="275"/>
      <c r="DY7" s="275"/>
      <c r="DZ7" s="275"/>
      <c r="EA7" s="275"/>
      <c r="EB7" s="275"/>
      <c r="EC7" s="275"/>
      <c r="ED7" s="275"/>
      <c r="EE7" s="275"/>
      <c r="EF7" s="275"/>
      <c r="EG7" s="275"/>
      <c r="EH7" s="275"/>
      <c r="EI7" s="275"/>
      <c r="EJ7" s="275"/>
      <c r="EK7" s="275"/>
      <c r="EL7" s="275"/>
      <c r="EM7" s="238"/>
      <c r="EN7" s="238"/>
      <c r="EO7" s="238"/>
      <c r="EP7" s="239"/>
      <c r="EQ7" s="239"/>
      <c r="ER7" s="239"/>
      <c r="ES7" s="239"/>
    </row>
    <row r="8" spans="1:149" s="168" customFormat="1" ht="84" customHeight="1">
      <c r="A8" s="150"/>
      <c r="B8" s="150"/>
      <c r="C8" s="162"/>
      <c r="D8" s="162"/>
      <c r="E8" s="162"/>
      <c r="F8" s="150"/>
      <c r="G8" s="162"/>
      <c r="H8" s="154"/>
      <c r="I8" s="166"/>
      <c r="J8" s="150"/>
      <c r="K8" s="150"/>
      <c r="L8" s="150"/>
      <c r="M8" s="150"/>
      <c r="N8" s="150"/>
      <c r="O8" s="150"/>
      <c r="P8" s="150"/>
      <c r="Q8" s="150"/>
      <c r="R8" s="150"/>
      <c r="S8" s="150"/>
      <c r="T8" s="150"/>
      <c r="U8" s="150"/>
      <c r="V8" s="150"/>
      <c r="W8" s="150"/>
      <c r="X8" s="150"/>
      <c r="Y8" s="150"/>
      <c r="Z8" s="150"/>
      <c r="AA8" s="150"/>
      <c r="AB8" s="150"/>
      <c r="AC8" s="150"/>
      <c r="AD8" s="150"/>
      <c r="AE8" s="150"/>
      <c r="AF8" s="150"/>
      <c r="AG8" s="150"/>
      <c r="AH8" s="150"/>
      <c r="AI8" s="150"/>
      <c r="AJ8" s="150"/>
      <c r="AK8" s="150"/>
      <c r="AL8" s="150"/>
      <c r="AM8" s="150"/>
      <c r="AN8" s="150"/>
      <c r="AO8" s="167">
        <f t="shared" ref="AO8" si="4">COUNTIF(J8:AN8,"N")+(COUNTIF(J8:AN8,"N/2")/2)</f>
        <v>0</v>
      </c>
      <c r="AP8" s="167">
        <f>COUNTIF(J8:AN8,"Đ")+(COUNTIF(J8:AN8,"Đ/2")/2)</f>
        <v>0</v>
      </c>
      <c r="AQ8" s="167">
        <f t="shared" ref="AQ8" si="5">AO8+AP8</f>
        <v>0</v>
      </c>
      <c r="AR8" s="159">
        <f t="shared" ref="AR8" si="6">COUNTIF(J8:AN8,"PL")</f>
        <v>0</v>
      </c>
      <c r="AS8" s="156">
        <f>IF(AQ8 + AR8&gt;=13,1,0)</f>
        <v>0</v>
      </c>
      <c r="AT8" s="155">
        <f t="shared" ref="AT8" si="7">+IF(J8="N","0.5N",IF(J8="Đ","0.5Đ",0))</f>
        <v>0</v>
      </c>
      <c r="AU8" s="155">
        <f t="shared" ref="AU8" si="8">+IF(K8="N","0.5N",IF(K8="Đ","0.5Đ",0))</f>
        <v>0</v>
      </c>
      <c r="AV8" s="155">
        <f t="shared" ref="AV8" si="9">+IF(L8="N","0.5N",IF(L8="Đ","0.5Đ",0))</f>
        <v>0</v>
      </c>
      <c r="AW8" s="155">
        <f t="shared" ref="AW8" si="10">+IF(M8="N","0.5N",IF(M8="Đ","0.5Đ",0))</f>
        <v>0</v>
      </c>
      <c r="AX8" s="155">
        <f t="shared" ref="AX8" si="11">+IF(N8="N","0.5N",IF(N8="Đ","0.5Đ",0))</f>
        <v>0</v>
      </c>
      <c r="AY8" s="155">
        <f t="shared" ref="AY8" si="12">+IF(O8="N","0.5N",IF(O8="Đ","0.5Đ",0))</f>
        <v>0</v>
      </c>
      <c r="AZ8" s="155">
        <f t="shared" ref="AZ8" si="13">+IF(P8="N","0.5N",IF(P8="Đ","0.5Đ",0))</f>
        <v>0</v>
      </c>
      <c r="BA8" s="155">
        <f t="shared" ref="BA8" si="14">+IF(Q8="N","0.5N",IF(Q8="Đ","0.5Đ",0))</f>
        <v>0</v>
      </c>
      <c r="BB8" s="155">
        <f t="shared" ref="BB8" si="15">+IF(R8="N","0.5N",IF(R8="Đ","0.5Đ",0))</f>
        <v>0</v>
      </c>
      <c r="BC8" s="155">
        <f t="shared" ref="BC8" si="16">+IF(S8="N","0.5N",IF(S8="Đ","0.5Đ",0))</f>
        <v>0</v>
      </c>
      <c r="BD8" s="155">
        <f t="shared" ref="BD8" si="17">+IF(T8="N","0.5N",IF(T8="Đ","0.5Đ",0))</f>
        <v>0</v>
      </c>
      <c r="BE8" s="155">
        <f t="shared" ref="BE8" si="18">+IF(U8="N","0.5N",IF(U8="Đ","0.5Đ",0))</f>
        <v>0</v>
      </c>
      <c r="BF8" s="155">
        <f t="shared" ref="BF8" si="19">+IF(V8="N","0.5N",IF(V8="Đ","0.5Đ",0))</f>
        <v>0</v>
      </c>
      <c r="BG8" s="155">
        <f t="shared" ref="BG8" si="20">+IF(W8="N","0.5N",IF(W8="Đ","0.5Đ",0))</f>
        <v>0</v>
      </c>
      <c r="BH8" s="155">
        <f t="shared" ref="BH8" si="21">+IF(X8="N","0.5N",IF(X8="Đ","0.5Đ",0))</f>
        <v>0</v>
      </c>
      <c r="BI8" s="155">
        <f t="shared" ref="BI8" si="22">+IF(Y8="N","0.5N",IF(Y8="Đ","0.5Đ",0))</f>
        <v>0</v>
      </c>
      <c r="BJ8" s="155">
        <f t="shared" ref="BJ8" si="23">+IF(Z8="N","0.5N",IF(Z8="Đ","0.5Đ",0))</f>
        <v>0</v>
      </c>
      <c r="BK8" s="155">
        <f t="shared" ref="BK8" si="24">+IF(AA8="N","0.5N",IF(AA8="Đ","0.5Đ",0))</f>
        <v>0</v>
      </c>
      <c r="BL8" s="155">
        <f t="shared" ref="BL8" si="25">+IF(AB8="N","0.5N",IF(AB8="Đ","0.5Đ",0))</f>
        <v>0</v>
      </c>
      <c r="BM8" s="155">
        <f t="shared" ref="BM8" si="26">+IF(AC8="N","0.5N",IF(AC8="Đ","0.5Đ",0))</f>
        <v>0</v>
      </c>
      <c r="BN8" s="155">
        <f t="shared" ref="BN8" si="27">+IF(AD8="N","0.5N",IF(AD8="Đ","0.5Đ",0))</f>
        <v>0</v>
      </c>
      <c r="BO8" s="155">
        <f t="shared" ref="BO8" si="28">+IF(AE8="N","0.5N",IF(AE8="Đ","0.5Đ",0))</f>
        <v>0</v>
      </c>
      <c r="BP8" s="155">
        <f t="shared" ref="BP8:BQ8" si="29">+IF(AF8="N","0.5N",IF(AF8="Đ","0.5Đ",0))</f>
        <v>0</v>
      </c>
      <c r="BQ8" s="155">
        <f t="shared" si="29"/>
        <v>0</v>
      </c>
      <c r="BR8" s="155">
        <f t="shared" ref="BR8" si="30">+IF(AH8="N","0.5N",IF(AH8="Đ","0.5Đ",0))</f>
        <v>0</v>
      </c>
      <c r="BS8" s="155">
        <f t="shared" ref="BS8" si="31">+IF(AI8="N","0.5N",IF(AI8="Đ","0.5Đ",0))</f>
        <v>0</v>
      </c>
      <c r="BT8" s="155">
        <f t="shared" ref="BT8" si="32">+IF(AJ8="N","0.5N",IF(AJ8="Đ","0.5Đ",0))</f>
        <v>0</v>
      </c>
      <c r="BU8" s="155">
        <f t="shared" ref="BU8" si="33">+IF(AK8="N","0.5N",IF(AK8="Đ","0.5Đ",0))</f>
        <v>0</v>
      </c>
      <c r="BV8" s="155">
        <f t="shared" ref="BV8" si="34">+IF(AL8="N","0.5N",IF(AL8="Đ","0.5Đ",0))</f>
        <v>0</v>
      </c>
      <c r="BW8" s="155">
        <f t="shared" ref="BW8" si="35">+IF(AM8="N","0.5N",IF(AM8="Đ","0.5Đ",0))</f>
        <v>0</v>
      </c>
      <c r="BX8" s="155">
        <f t="shared" ref="BX8" si="36">+IF(AN8="N","0.5N",IF(AN8="Đ","0.5Đ",0))</f>
        <v>0</v>
      </c>
      <c r="BY8" s="167">
        <f>+BZ8+CA8+CB8*8+CC8+CD8+CE8</f>
        <v>0</v>
      </c>
      <c r="BZ8" s="167">
        <f t="shared" ref="BZ8" si="37">COUNTIF(AT8:BX8,"1Đ")+(COUNTIF(AT8:BX8,"2Đ")*2)+(COUNTIF(AT8:BX8,"0.5Đ")/2)</f>
        <v>0</v>
      </c>
      <c r="CA8" s="167">
        <f t="shared" ref="CA8" si="38">COUNTIF(AT8:BX8,"1N")+(COUNTIF(AT8:BX8,"2N")*2)+(COUNTIF(AT8:BX8,"0.5N")/2)</f>
        <v>0</v>
      </c>
      <c r="CB8" s="167">
        <f>COUNTIF(AT8:BX8,"1LN")+COUNTIF(AT8:BX8,"0.5LN")*0.5</f>
        <v>0</v>
      </c>
      <c r="CC8" s="167">
        <f t="shared" ref="CC8" si="39">COUNTIF(AT8:BX8,"1LĐ")</f>
        <v>0</v>
      </c>
      <c r="CD8" s="163">
        <f>COUNTIF(AT8:BX8,"CNN")*8+(COUNTIF(AT8:BX8,"CNN/2")*4)</f>
        <v>0</v>
      </c>
      <c r="CE8" s="170">
        <f t="shared" ref="CE8" si="40">COUNTIF(AT8:BX8,"CNĐ")+(COUNTIF(AT8:BX8,"CNĐ/2")/2)</f>
        <v>0</v>
      </c>
      <c r="CF8" s="171">
        <f t="shared" ref="CF8" si="41">+AO8</f>
        <v>0</v>
      </c>
      <c r="CG8" s="171">
        <f t="shared" ref="CG8" si="42">+AP8*8*0.3125</f>
        <v>0</v>
      </c>
      <c r="CH8" s="171">
        <f t="shared" ref="CH8" si="43">+AR8+AS8</f>
        <v>0</v>
      </c>
      <c r="CI8" s="171">
        <f t="shared" ref="CI8" si="44">+CA8</f>
        <v>0</v>
      </c>
      <c r="CJ8" s="171">
        <f t="shared" ref="CJ8" si="45">+AP8*8*0.6875</f>
        <v>0</v>
      </c>
      <c r="CK8" s="171">
        <f t="shared" ref="CK8" si="46">+BZ8</f>
        <v>0</v>
      </c>
      <c r="CL8" s="171"/>
      <c r="CM8" s="171">
        <f t="shared" ref="CM8" si="47">+CE8</f>
        <v>0</v>
      </c>
      <c r="CN8" s="171">
        <f t="shared" ref="CN8" si="48">+CD8</f>
        <v>0</v>
      </c>
      <c r="CO8" s="169">
        <f t="shared" ref="CO8" si="49">+CB8</f>
        <v>0</v>
      </c>
      <c r="CP8" s="159">
        <f t="shared" ref="CP8" si="50">+CC8</f>
        <v>0</v>
      </c>
      <c r="CQ8" s="159">
        <f>+IF(F8="Nữ",500000,0)</f>
        <v>0</v>
      </c>
      <c r="CR8" s="156"/>
      <c r="CS8" s="261"/>
      <c r="CT8" s="157">
        <f t="shared" ref="CT8" si="51">+I8+CQ8+CR8+CS8</f>
        <v>0</v>
      </c>
      <c r="CU8" s="158">
        <f t="shared" ref="CU8" si="52">+I8/26*(CF8+(CG8/8)+CH8)</f>
        <v>0</v>
      </c>
      <c r="CV8" s="158">
        <f t="shared" ref="CV8" si="53">+(I8/26/8)*150%*CI8</f>
        <v>0</v>
      </c>
      <c r="CW8" s="158">
        <f t="shared" ref="CW8" si="54">+(I8/26/8)*130%*CJ8</f>
        <v>0</v>
      </c>
      <c r="CX8" s="158">
        <f t="shared" ref="CX8" si="55">+(I8/26/8)*200%*CK8</f>
        <v>0</v>
      </c>
      <c r="CY8" s="158">
        <f t="shared" ref="CY8" si="56">+(I8/26/8)*210%*CL8</f>
        <v>0</v>
      </c>
      <c r="CZ8" s="158">
        <f t="shared" ref="CZ8" si="57">+(I8/26/8)*270%*CM8</f>
        <v>0</v>
      </c>
      <c r="DA8" s="158">
        <f t="shared" ref="DA8" si="58">+(I8/26/8)*200%*CN8</f>
        <v>0</v>
      </c>
      <c r="DB8" s="158">
        <f>+(I8/26)*300%*CO8</f>
        <v>0</v>
      </c>
      <c r="DC8" s="158">
        <f t="shared" ref="DC8" si="59">+(I8/26/8)*390%*CP8</f>
        <v>0</v>
      </c>
      <c r="DD8" s="159">
        <f t="shared" ref="DD8" si="60">+CS8/26*(CF8+(CG8+CJ8)/8)</f>
        <v>0</v>
      </c>
      <c r="DE8" s="260"/>
      <c r="DF8" s="211">
        <f t="shared" ref="DF8" si="61">+DD8+DE8</f>
        <v>0</v>
      </c>
      <c r="DG8" s="254"/>
      <c r="DH8" s="158">
        <f t="shared" ref="DH8" si="62">+CU8+CV8+CW8+CX8+CY8+CZ8+DA8+DB8+DC8+DF8+DG8</f>
        <v>0</v>
      </c>
      <c r="DI8" s="164">
        <f t="shared" ref="DI8" si="63">+CQ8/26*AQ8</f>
        <v>0</v>
      </c>
      <c r="DJ8" s="164">
        <f t="shared" ref="DJ8" si="64">+CR8/26*AQ8</f>
        <v>0</v>
      </c>
      <c r="DK8" s="164">
        <f t="shared" ref="DK8" si="65">+DH8+DI8+DJ8</f>
        <v>0</v>
      </c>
      <c r="DL8" s="172">
        <f t="shared" ref="DL8" si="66">I8</f>
        <v>0</v>
      </c>
      <c r="DM8" s="159">
        <f t="shared" ref="DM8" si="67">DL8*8%</f>
        <v>0</v>
      </c>
      <c r="DN8" s="159">
        <f>IF(ES8=0,DL8*1.5%,IF(ES8=1,0,DL8*1.5%+DL8*3%))</f>
        <v>0</v>
      </c>
      <c r="DO8" s="159">
        <f t="shared" ref="DO8" si="68">DL8*1%</f>
        <v>0</v>
      </c>
      <c r="DP8" s="159">
        <f t="shared" ref="DP8" si="69">EI8</f>
        <v>0</v>
      </c>
      <c r="DQ8" s="159">
        <f t="shared" ref="DQ8" si="70">+SUM(DM8:DP8)</f>
        <v>0</v>
      </c>
      <c r="DR8" s="159">
        <f t="shared" ref="DR8" si="71">SUM(DM8:DO8)</f>
        <v>0</v>
      </c>
      <c r="DS8" s="160">
        <f>IF(ROUNDDOWN(DK8-DQ8,-3) &lt;0, 0,ROUNDDOWN(DK8-DQ8,-3) )</f>
        <v>0</v>
      </c>
      <c r="DT8" s="157"/>
      <c r="DU8" s="159">
        <f>+DL8*2%</f>
        <v>0</v>
      </c>
      <c r="DV8" s="159">
        <f>DL8*$DV$6</f>
        <v>0</v>
      </c>
      <c r="DW8" s="159">
        <f>IF(ES8=0,DL8*1.5%,IF(ES8=1,DL8*1.5%+DL8*3%,0))</f>
        <v>0</v>
      </c>
      <c r="DX8" s="159">
        <f>DL8*$DX$6</f>
        <v>0</v>
      </c>
      <c r="DY8" s="173">
        <f>+DM8+DV8</f>
        <v>0</v>
      </c>
      <c r="DZ8" s="173">
        <f>+DN8+DW8</f>
        <v>0</v>
      </c>
      <c r="EA8" s="159">
        <f>DO8+DX8</f>
        <v>0</v>
      </c>
      <c r="EB8" s="173">
        <f t="shared" ref="EB8" si="72">DY8+DZ8+EA8</f>
        <v>0</v>
      </c>
      <c r="EC8" s="164">
        <f>+IF(F8="x",500000,0)</f>
        <v>0</v>
      </c>
      <c r="ED8" s="165">
        <f>+DK8-DJ8+EC8-CV8-CW8-CX8-CY8-CZ8-DA8-DB8-DC8-EJ8</f>
        <v>0</v>
      </c>
      <c r="EE8" s="165">
        <f>15500000+EF8*6200000</f>
        <v>15500000</v>
      </c>
      <c r="EF8" s="161">
        <v>0</v>
      </c>
      <c r="EG8" s="172">
        <f>+ED8-EE8-DR8</f>
        <v>-15500000</v>
      </c>
      <c r="EH8" s="172">
        <f>IF(EG8&lt;=10000000,EG8*5/100,IF(EG8&lt;=30000000,EG8*10/100-500000,IF(EG8&lt;=60000000,EG8*20/100-3500000,IF(EG8&lt;=100000000,EG8*30/100-9500000,EG8*35%-14500000))))</f>
        <v>-775000</v>
      </c>
      <c r="EI8" s="172">
        <f t="shared" ref="EI8" si="73">+IF(EH8&lt;0,0,EH8)</f>
        <v>0</v>
      </c>
      <c r="EJ8" s="165">
        <f>+IF(AQ8&gt;0,I8/26,0)</f>
        <v>0</v>
      </c>
      <c r="EK8" s="165">
        <f>+IF(AQ8&gt;0,ED8*6%,0)</f>
        <v>0</v>
      </c>
      <c r="EL8" s="165">
        <f>+EJ8+EK8</f>
        <v>0</v>
      </c>
      <c r="EM8" s="165"/>
      <c r="EN8" s="165"/>
      <c r="EO8" s="165"/>
      <c r="EP8" s="150"/>
      <c r="EQ8" s="150"/>
      <c r="ER8" s="240"/>
      <c r="ES8" s="315">
        <v>0</v>
      </c>
    </row>
    <row r="9" spans="1:149" s="93" customFormat="1">
      <c r="A9" s="95"/>
      <c r="B9" s="95"/>
      <c r="D9" s="97"/>
      <c r="E9" s="97"/>
      <c r="F9" s="97"/>
      <c r="G9" s="219"/>
      <c r="H9" s="98"/>
      <c r="I9" s="96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92"/>
      <c r="AP9" s="92"/>
      <c r="AQ9" s="92"/>
      <c r="AR9" s="1"/>
      <c r="AS9" s="228"/>
      <c r="AT9" s="1"/>
      <c r="AU9" s="1"/>
      <c r="AV9" s="1"/>
      <c r="AW9" s="1"/>
      <c r="AX9" s="1"/>
      <c r="AY9" s="1"/>
      <c r="AZ9" s="1"/>
      <c r="BA9" s="1"/>
      <c r="BB9" s="1"/>
      <c r="BC9" s="102"/>
      <c r="BD9" s="1"/>
      <c r="BE9" s="1"/>
      <c r="BF9" s="1"/>
      <c r="BG9" s="1"/>
      <c r="BH9" s="1"/>
      <c r="BI9" s="1"/>
      <c r="BJ9" s="1"/>
      <c r="BK9" s="1"/>
      <c r="BL9" s="1"/>
      <c r="BM9" s="1"/>
      <c r="BN9" s="1"/>
      <c r="BO9" s="1"/>
      <c r="BP9" s="1"/>
      <c r="BQ9" s="1"/>
      <c r="BR9" s="1"/>
      <c r="BS9" s="1"/>
      <c r="BT9" s="1"/>
      <c r="BU9" s="1"/>
      <c r="BV9" s="1"/>
      <c r="BW9" s="1"/>
      <c r="BX9" s="1"/>
      <c r="BY9" s="136"/>
      <c r="BZ9" s="136"/>
      <c r="CA9" s="136"/>
      <c r="CB9" s="136"/>
      <c r="CC9" s="136"/>
      <c r="CD9" s="136"/>
      <c r="CE9" s="136"/>
      <c r="CF9" s="147"/>
      <c r="CG9" s="136"/>
      <c r="CH9" s="147"/>
      <c r="CI9" s="147"/>
      <c r="CJ9" s="136"/>
      <c r="CK9" s="136"/>
      <c r="CL9" s="136"/>
      <c r="CM9" s="136"/>
      <c r="CN9" s="136"/>
      <c r="CO9" s="136"/>
      <c r="CP9" s="136"/>
      <c r="CQ9" s="1"/>
      <c r="CR9" s="1"/>
      <c r="CS9" s="225"/>
      <c r="CT9" s="1"/>
      <c r="CU9" s="136"/>
      <c r="CV9" s="136"/>
      <c r="CW9" s="136"/>
      <c r="CX9" s="136"/>
      <c r="CY9" s="136"/>
      <c r="CZ9" s="136"/>
      <c r="DA9" s="136"/>
      <c r="DB9" s="136"/>
      <c r="DC9" s="136"/>
      <c r="DD9" s="136"/>
      <c r="DE9" s="210"/>
      <c r="DF9" s="210"/>
      <c r="DG9" s="255"/>
      <c r="DH9" s="136"/>
      <c r="DI9" s="1"/>
      <c r="DJ9" s="1"/>
      <c r="DK9" s="102"/>
      <c r="DL9" s="102"/>
      <c r="DM9" s="102"/>
      <c r="DN9" s="102"/>
      <c r="DO9" s="102"/>
      <c r="DP9" s="143"/>
      <c r="DQ9" s="143"/>
      <c r="DR9" s="143"/>
      <c r="DS9" s="102"/>
      <c r="DT9" s="1"/>
      <c r="DU9" s="1"/>
      <c r="DV9" s="1"/>
      <c r="DW9" s="99"/>
      <c r="DX9" s="1"/>
      <c r="EE9" s="1"/>
      <c r="EK9" s="98"/>
      <c r="EL9" s="98"/>
      <c r="EM9" s="98"/>
      <c r="EN9" s="98"/>
      <c r="EO9" s="98"/>
      <c r="EP9" s="98"/>
      <c r="EQ9" s="98"/>
      <c r="ER9" s="241"/>
    </row>
    <row r="10" spans="1:149" s="93" customFormat="1">
      <c r="A10" s="95"/>
      <c r="B10" s="95"/>
      <c r="D10" s="97"/>
      <c r="E10" s="97"/>
      <c r="F10" s="97"/>
      <c r="G10" s="219"/>
      <c r="H10" s="98"/>
      <c r="I10" s="96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92"/>
      <c r="AP10" s="92"/>
      <c r="AQ10" s="92"/>
      <c r="AR10" s="1"/>
      <c r="AS10" s="228"/>
      <c r="AT10" s="1"/>
      <c r="AU10" s="1"/>
      <c r="AV10" s="1"/>
      <c r="AW10" s="1"/>
      <c r="AX10" s="1"/>
      <c r="AY10" s="1"/>
      <c r="AZ10" s="1"/>
      <c r="BA10" s="1"/>
      <c r="BB10" s="1"/>
      <c r="BC10" s="102"/>
      <c r="BD10" s="1"/>
      <c r="BE10" s="1"/>
      <c r="BF10" s="1"/>
      <c r="BG10" s="1"/>
      <c r="BH10" s="1"/>
      <c r="BI10" s="1"/>
      <c r="BJ10" s="1"/>
      <c r="BK10" s="1"/>
      <c r="BL10" s="1"/>
      <c r="BM10" s="1"/>
      <c r="BN10" s="1"/>
      <c r="BO10" s="1"/>
      <c r="BP10" s="1"/>
      <c r="BQ10" s="1"/>
      <c r="BR10" s="1"/>
      <c r="BS10" s="1"/>
      <c r="BT10" s="1"/>
      <c r="BU10" s="1"/>
      <c r="BV10" s="1"/>
      <c r="BW10" s="1"/>
      <c r="BX10" s="1"/>
      <c r="BY10" s="136"/>
      <c r="BZ10" s="136"/>
      <c r="CA10" s="136"/>
      <c r="CB10" s="136"/>
      <c r="CC10" s="136"/>
      <c r="CD10" s="136"/>
      <c r="CE10" s="136"/>
      <c r="CF10" s="147"/>
      <c r="CG10" s="136"/>
      <c r="CH10" s="147"/>
      <c r="CI10" s="147"/>
      <c r="CJ10" s="136"/>
      <c r="CK10" s="136"/>
      <c r="CL10" s="136"/>
      <c r="CM10" s="136"/>
      <c r="CN10" s="136"/>
      <c r="CO10" s="136"/>
      <c r="CP10" s="136"/>
      <c r="CQ10" s="1"/>
      <c r="CR10" s="1"/>
      <c r="CS10" s="225"/>
      <c r="CT10" s="1"/>
      <c r="CU10" s="136"/>
      <c r="CV10" s="136"/>
      <c r="CW10" s="136"/>
      <c r="CX10" s="136"/>
      <c r="CY10" s="136"/>
      <c r="CZ10" s="136"/>
      <c r="DA10" s="136"/>
      <c r="DB10" s="136"/>
      <c r="DC10" s="136"/>
      <c r="DD10" s="136"/>
      <c r="DE10" s="210"/>
      <c r="DF10" s="210"/>
      <c r="DG10" s="255"/>
      <c r="DH10" s="136"/>
      <c r="DI10" s="1"/>
      <c r="DJ10" s="1"/>
      <c r="DK10" s="102"/>
      <c r="DL10" s="102"/>
      <c r="DM10" s="102"/>
      <c r="DN10" s="102"/>
      <c r="DO10" s="102"/>
      <c r="DP10" s="143"/>
      <c r="DQ10" s="143"/>
      <c r="DR10" s="143"/>
      <c r="DS10" s="102"/>
      <c r="DT10" s="1"/>
      <c r="DU10" s="1"/>
      <c r="DV10" s="1"/>
      <c r="DW10" s="99"/>
      <c r="DX10" s="1"/>
      <c r="EE10" s="1"/>
      <c r="EK10" s="98"/>
      <c r="EL10" s="98"/>
      <c r="EM10" s="98"/>
      <c r="EN10" s="98"/>
      <c r="EO10" s="98"/>
      <c r="EP10" s="98"/>
      <c r="EQ10" s="98"/>
      <c r="ER10" s="241"/>
    </row>
    <row r="11" spans="1:149" s="93" customFormat="1">
      <c r="A11" s="95"/>
      <c r="B11" s="95"/>
      <c r="D11" s="97"/>
      <c r="E11" s="97"/>
      <c r="F11" s="97"/>
      <c r="G11" s="219"/>
      <c r="H11" s="98"/>
      <c r="I11" s="96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92"/>
      <c r="AP11" s="92"/>
      <c r="AQ11" s="92"/>
      <c r="AR11" s="1"/>
      <c r="AS11" s="228"/>
      <c r="AT11" s="1"/>
      <c r="AU11" s="1"/>
      <c r="AV11" s="1"/>
      <c r="AW11" s="1"/>
      <c r="AX11" s="1"/>
      <c r="AY11" s="1"/>
      <c r="AZ11" s="1"/>
      <c r="BA11" s="1"/>
      <c r="BB11" s="1"/>
      <c r="BC11" s="102"/>
      <c r="BD11" s="1"/>
      <c r="BE11" s="1"/>
      <c r="BF11" s="1"/>
      <c r="BG11" s="1"/>
      <c r="BH11" s="1"/>
      <c r="BI11" s="1"/>
      <c r="BJ11" s="1"/>
      <c r="BK11" s="1"/>
      <c r="BL11" s="1"/>
      <c r="BM11" s="1"/>
      <c r="BN11" s="1"/>
      <c r="BO11" s="1"/>
      <c r="BP11" s="1"/>
      <c r="BQ11" s="1"/>
      <c r="BR11" s="1"/>
      <c r="BS11" s="1"/>
      <c r="BT11" s="1"/>
      <c r="BU11" s="1"/>
      <c r="BV11" s="1"/>
      <c r="BW11" s="1"/>
      <c r="BX11" s="1"/>
      <c r="BY11" s="136"/>
      <c r="BZ11" s="136"/>
      <c r="CA11" s="136"/>
      <c r="CB11" s="136"/>
      <c r="CC11" s="136"/>
      <c r="CD11" s="136"/>
      <c r="CE11" s="136"/>
      <c r="CF11" s="147"/>
      <c r="CG11" s="136"/>
      <c r="CH11" s="147"/>
      <c r="CI11" s="147"/>
      <c r="CJ11" s="136"/>
      <c r="CK11" s="136"/>
      <c r="CL11" s="136"/>
      <c r="CM11" s="136"/>
      <c r="CN11" s="136"/>
      <c r="CO11" s="136"/>
      <c r="CP11" s="136"/>
      <c r="CQ11" s="1"/>
      <c r="CR11" s="1"/>
      <c r="CS11" s="225"/>
      <c r="CT11" s="1"/>
      <c r="CU11" s="136"/>
      <c r="CV11" s="136"/>
      <c r="CW11" s="136"/>
      <c r="CX11" s="136"/>
      <c r="CY11" s="136"/>
      <c r="CZ11" s="136"/>
      <c r="DA11" s="136"/>
      <c r="DB11" s="136"/>
      <c r="DC11" s="136"/>
      <c r="DD11" s="136"/>
      <c r="DE11" s="210"/>
      <c r="DF11" s="210"/>
      <c r="DG11" s="255"/>
      <c r="DH11" s="136"/>
      <c r="DI11" s="1"/>
      <c r="DJ11" s="1"/>
      <c r="DK11" s="102"/>
      <c r="DL11" s="102"/>
      <c r="DM11" s="102"/>
      <c r="DN11" s="102"/>
      <c r="DO11" s="102"/>
      <c r="DP11" s="143"/>
      <c r="DQ11" s="143"/>
      <c r="DR11" s="143"/>
      <c r="DS11" s="102"/>
      <c r="DT11" s="1"/>
      <c r="DU11" s="1"/>
      <c r="DV11" s="1"/>
      <c r="DW11" s="99"/>
      <c r="DX11" s="1"/>
      <c r="EE11" s="1"/>
      <c r="EK11" s="98"/>
      <c r="EL11" s="98"/>
      <c r="EM11" s="98"/>
      <c r="EN11" s="98"/>
      <c r="EO11" s="98"/>
      <c r="EP11" s="98"/>
      <c r="EQ11" s="98"/>
      <c r="ER11" s="241"/>
    </row>
    <row r="12" spans="1:149" s="93" customFormat="1">
      <c r="A12" s="95"/>
      <c r="B12" s="95"/>
      <c r="D12" s="97"/>
      <c r="E12" s="97"/>
      <c r="F12" s="97"/>
      <c r="G12" s="219"/>
      <c r="H12" s="98"/>
      <c r="I12" s="96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92"/>
      <c r="AP12" s="92"/>
      <c r="AQ12" s="92"/>
      <c r="AR12" s="1"/>
      <c r="AS12" s="228"/>
      <c r="AT12" s="1"/>
      <c r="AU12" s="1"/>
      <c r="AV12" s="1"/>
      <c r="AW12" s="1"/>
      <c r="AX12" s="1"/>
      <c r="AY12" s="1"/>
      <c r="AZ12" s="1"/>
      <c r="BA12" s="1"/>
      <c r="BB12" s="1"/>
      <c r="BC12" s="102"/>
      <c r="BD12" s="1"/>
      <c r="BE12" s="1"/>
      <c r="BF12" s="1"/>
      <c r="BG12" s="1"/>
      <c r="BH12" s="1"/>
      <c r="BI12" s="1"/>
      <c r="BJ12" s="1"/>
      <c r="BK12" s="1"/>
      <c r="BL12" s="1"/>
      <c r="BM12" s="1"/>
      <c r="BN12" s="1"/>
      <c r="BO12" s="1"/>
      <c r="BP12" s="1"/>
      <c r="BQ12" s="1"/>
      <c r="BR12" s="1"/>
      <c r="BS12" s="1"/>
      <c r="BT12" s="1"/>
      <c r="BU12" s="1"/>
      <c r="BV12" s="1"/>
      <c r="BW12" s="1"/>
      <c r="BX12" s="1"/>
      <c r="BY12" s="136"/>
      <c r="BZ12" s="136"/>
      <c r="CA12" s="136"/>
      <c r="CB12" s="136"/>
      <c r="CC12" s="136"/>
      <c r="CD12" s="136"/>
      <c r="CE12" s="136"/>
      <c r="CF12" s="147"/>
      <c r="CG12" s="136"/>
      <c r="CH12" s="147"/>
      <c r="CI12" s="147"/>
      <c r="CJ12" s="136"/>
      <c r="CK12" s="136"/>
      <c r="CL12" s="136"/>
      <c r="CM12" s="136"/>
      <c r="CN12" s="136"/>
      <c r="CO12" s="136"/>
      <c r="CP12" s="136"/>
      <c r="CQ12" s="1"/>
      <c r="CR12" s="1"/>
      <c r="CS12" s="225"/>
      <c r="CT12" s="1"/>
      <c r="CU12" s="136"/>
      <c r="CV12" s="136"/>
      <c r="CW12" s="136"/>
      <c r="CX12" s="136"/>
      <c r="CY12" s="136"/>
      <c r="CZ12" s="136"/>
      <c r="DA12" s="136"/>
      <c r="DB12" s="136"/>
      <c r="DC12" s="136"/>
      <c r="DD12" s="136"/>
      <c r="DE12" s="210"/>
      <c r="DF12" s="210"/>
      <c r="DG12" s="255"/>
      <c r="DH12" s="136"/>
      <c r="DI12" s="1"/>
      <c r="DJ12" s="1"/>
      <c r="DK12" s="102"/>
      <c r="DL12" s="102"/>
      <c r="DM12" s="102"/>
      <c r="DN12" s="102"/>
      <c r="DO12" s="102"/>
      <c r="DP12" s="143"/>
      <c r="DQ12" s="143"/>
      <c r="DR12" s="143"/>
      <c r="DS12" s="102"/>
      <c r="DT12" s="1"/>
      <c r="DU12" s="1"/>
      <c r="DV12" s="1"/>
      <c r="DW12" s="99"/>
      <c r="DX12" s="1"/>
      <c r="EE12" s="1"/>
      <c r="EK12" s="98"/>
      <c r="EL12" s="98"/>
      <c r="EM12" s="98"/>
      <c r="EN12" s="98"/>
      <c r="EO12" s="98"/>
      <c r="EP12" s="98"/>
      <c r="EQ12" s="98"/>
      <c r="ER12" s="241"/>
    </row>
    <row r="13" spans="1:149" s="93" customFormat="1">
      <c r="A13" s="95"/>
      <c r="B13" s="95"/>
      <c r="D13" s="97"/>
      <c r="E13" s="97"/>
      <c r="F13" s="97"/>
      <c r="G13" s="219"/>
      <c r="H13" s="98"/>
      <c r="I13" s="96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92"/>
      <c r="AP13" s="92"/>
      <c r="AQ13" s="92"/>
      <c r="AR13" s="1"/>
      <c r="AS13" s="228"/>
      <c r="AT13" s="1"/>
      <c r="AU13" s="1"/>
      <c r="AV13" s="1"/>
      <c r="AW13" s="1"/>
      <c r="AX13" s="1"/>
      <c r="AY13" s="1"/>
      <c r="AZ13" s="1"/>
      <c r="BA13" s="1"/>
      <c r="BB13" s="1"/>
      <c r="BC13" s="102"/>
      <c r="BD13" s="1"/>
      <c r="BE13" s="1"/>
      <c r="BF13" s="1"/>
      <c r="BG13" s="1"/>
      <c r="BH13" s="1"/>
      <c r="BI13" s="1"/>
      <c r="BJ13" s="1"/>
      <c r="BK13" s="1"/>
      <c r="BL13" s="1"/>
      <c r="BM13" s="1"/>
      <c r="BN13" s="1"/>
      <c r="BO13" s="1"/>
      <c r="BP13" s="1"/>
      <c r="BQ13" s="1"/>
      <c r="BR13" s="1"/>
      <c r="BS13" s="1"/>
      <c r="BT13" s="1"/>
      <c r="BU13" s="1"/>
      <c r="BV13" s="1"/>
      <c r="BW13" s="1"/>
      <c r="BX13" s="1"/>
      <c r="BY13" s="136"/>
      <c r="BZ13" s="136"/>
      <c r="CA13" s="136"/>
      <c r="CB13" s="136"/>
      <c r="CC13" s="136"/>
      <c r="CD13" s="136"/>
      <c r="CE13" s="136"/>
      <c r="CF13" s="147"/>
      <c r="CG13" s="136"/>
      <c r="CH13" s="147"/>
      <c r="CI13" s="147"/>
      <c r="CJ13" s="136"/>
      <c r="CK13" s="136"/>
      <c r="CL13" s="136"/>
      <c r="CM13" s="136"/>
      <c r="CN13" s="136"/>
      <c r="CO13" s="136"/>
      <c r="CP13" s="136"/>
      <c r="CQ13" s="1"/>
      <c r="CR13" s="1"/>
      <c r="CS13" s="225"/>
      <c r="CT13" s="1"/>
      <c r="CU13" s="136"/>
      <c r="CV13" s="136"/>
      <c r="CW13" s="136"/>
      <c r="CX13" s="136"/>
      <c r="CY13" s="136"/>
      <c r="CZ13" s="136"/>
      <c r="DA13" s="136"/>
      <c r="DB13" s="136"/>
      <c r="DC13" s="136"/>
      <c r="DD13" s="136"/>
      <c r="DE13" s="210"/>
      <c r="DF13" s="210"/>
      <c r="DG13" s="255"/>
      <c r="DH13" s="136"/>
      <c r="DI13" s="1"/>
      <c r="DJ13" s="1"/>
      <c r="DK13" s="102"/>
      <c r="DL13" s="102"/>
      <c r="DM13" s="102"/>
      <c r="DN13" s="102"/>
      <c r="DO13" s="102"/>
      <c r="DP13" s="143"/>
      <c r="DQ13" s="143"/>
      <c r="DR13" s="143"/>
      <c r="DS13" s="102"/>
      <c r="DT13" s="1"/>
      <c r="DU13" s="1"/>
      <c r="DV13" s="1"/>
      <c r="DW13" s="99"/>
      <c r="DX13" s="1"/>
      <c r="EE13" s="1"/>
      <c r="EK13" s="98"/>
      <c r="EL13" s="98"/>
      <c r="EM13" s="98"/>
      <c r="EN13" s="98"/>
      <c r="EO13" s="98"/>
      <c r="EP13" s="98"/>
      <c r="EQ13" s="98"/>
      <c r="ER13" s="241"/>
    </row>
    <row r="14" spans="1:149" s="93" customFormat="1">
      <c r="A14" s="95"/>
      <c r="B14" s="95"/>
      <c r="D14" s="97"/>
      <c r="E14" s="97"/>
      <c r="F14" s="97"/>
      <c r="G14" s="219"/>
      <c r="H14" s="98"/>
      <c r="I14" s="96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92"/>
      <c r="AP14" s="92"/>
      <c r="AQ14" s="92"/>
      <c r="AR14" s="1"/>
      <c r="AS14" s="228"/>
      <c r="AT14" s="1"/>
      <c r="AU14" s="1"/>
      <c r="AV14" s="1"/>
      <c r="AW14" s="1"/>
      <c r="AX14" s="1"/>
      <c r="AY14" s="1"/>
      <c r="AZ14" s="1"/>
      <c r="BA14" s="1"/>
      <c r="BB14" s="1"/>
      <c r="BC14" s="102"/>
      <c r="BD14" s="1"/>
      <c r="BE14" s="1"/>
      <c r="BF14" s="1"/>
      <c r="BG14" s="1"/>
      <c r="BH14" s="1"/>
      <c r="BI14" s="1"/>
      <c r="BJ14" s="1"/>
      <c r="BK14" s="1"/>
      <c r="BL14" s="1"/>
      <c r="BM14" s="1"/>
      <c r="BN14" s="1"/>
      <c r="BO14" s="1"/>
      <c r="BP14" s="1"/>
      <c r="BQ14" s="1"/>
      <c r="BR14" s="1"/>
      <c r="BS14" s="1"/>
      <c r="BT14" s="1"/>
      <c r="BU14" s="1"/>
      <c r="BV14" s="1"/>
      <c r="BW14" s="1"/>
      <c r="BX14" s="1"/>
      <c r="BY14" s="136"/>
      <c r="BZ14" s="136"/>
      <c r="CA14" s="136"/>
      <c r="CB14" s="136"/>
      <c r="CC14" s="136"/>
      <c r="CD14" s="136"/>
      <c r="CE14" s="136"/>
      <c r="CF14" s="147"/>
      <c r="CG14" s="136"/>
      <c r="CH14" s="147"/>
      <c r="CI14" s="147"/>
      <c r="CJ14" s="136"/>
      <c r="CK14" s="136"/>
      <c r="CL14" s="136"/>
      <c r="CM14" s="136"/>
      <c r="CN14" s="136"/>
      <c r="CO14" s="136"/>
      <c r="CP14" s="136"/>
      <c r="CQ14" s="1"/>
      <c r="CR14" s="1"/>
      <c r="CS14" s="225"/>
      <c r="CT14" s="1"/>
      <c r="CU14" s="136"/>
      <c r="CV14" s="136"/>
      <c r="CW14" s="136"/>
      <c r="CX14" s="136"/>
      <c r="CY14" s="136"/>
      <c r="CZ14" s="136"/>
      <c r="DA14" s="136"/>
      <c r="DB14" s="136"/>
      <c r="DC14" s="136"/>
      <c r="DD14" s="136"/>
      <c r="DE14" s="210"/>
      <c r="DF14" s="210"/>
      <c r="DG14" s="255"/>
      <c r="DH14" s="136"/>
      <c r="DI14" s="1"/>
      <c r="DJ14" s="1"/>
      <c r="DK14" s="102"/>
      <c r="DL14" s="102"/>
      <c r="DM14" s="102"/>
      <c r="DN14" s="102"/>
      <c r="DO14" s="102"/>
      <c r="DP14" s="143"/>
      <c r="DQ14" s="143"/>
      <c r="DR14" s="143"/>
      <c r="DS14" s="102"/>
      <c r="DT14" s="1"/>
      <c r="DU14" s="1"/>
      <c r="DV14" s="1"/>
      <c r="DW14" s="99"/>
      <c r="DX14" s="1"/>
      <c r="EE14" s="1"/>
      <c r="EK14" s="98"/>
      <c r="EL14" s="98"/>
      <c r="EM14" s="98"/>
      <c r="EN14" s="98"/>
      <c r="EO14" s="98"/>
      <c r="EP14" s="98"/>
      <c r="EQ14" s="98"/>
      <c r="ER14" s="241"/>
    </row>
    <row r="15" spans="1:149" s="93" customFormat="1">
      <c r="A15" s="95"/>
      <c r="B15" s="95"/>
      <c r="D15" s="97"/>
      <c r="E15" s="97"/>
      <c r="F15" s="97"/>
      <c r="G15" s="219"/>
      <c r="H15" s="98"/>
      <c r="I15" s="96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92"/>
      <c r="AP15" s="92"/>
      <c r="AQ15" s="92"/>
      <c r="AR15" s="1"/>
      <c r="AS15" s="228"/>
      <c r="AT15" s="1"/>
      <c r="AU15" s="1"/>
      <c r="AV15" s="1"/>
      <c r="AW15" s="1"/>
      <c r="AX15" s="1"/>
      <c r="AY15" s="1"/>
      <c r="AZ15" s="1"/>
      <c r="BA15" s="1"/>
      <c r="BB15" s="1"/>
      <c r="BC15" s="102"/>
      <c r="BD15" s="1"/>
      <c r="BE15" s="1"/>
      <c r="BF15" s="1"/>
      <c r="BG15" s="1"/>
      <c r="BH15" s="1"/>
      <c r="BI15" s="1"/>
      <c r="BJ15" s="1"/>
      <c r="BK15" s="1"/>
      <c r="BL15" s="1"/>
      <c r="BM15" s="1"/>
      <c r="BN15" s="1"/>
      <c r="BO15" s="1"/>
      <c r="BP15" s="1"/>
      <c r="BQ15" s="1"/>
      <c r="BR15" s="1"/>
      <c r="BS15" s="1"/>
      <c r="BT15" s="1"/>
      <c r="BU15" s="1"/>
      <c r="BV15" s="1"/>
      <c r="BW15" s="1"/>
      <c r="BX15" s="1"/>
      <c r="BY15" s="136"/>
      <c r="BZ15" s="136"/>
      <c r="CA15" s="136"/>
      <c r="CB15" s="136"/>
      <c r="CC15" s="136"/>
      <c r="CD15" s="136"/>
      <c r="CE15" s="136"/>
      <c r="CF15" s="147"/>
      <c r="CG15" s="136"/>
      <c r="CH15" s="147"/>
      <c r="CI15" s="147"/>
      <c r="CJ15" s="136"/>
      <c r="CK15" s="136"/>
      <c r="CL15" s="136"/>
      <c r="CM15" s="136"/>
      <c r="CN15" s="136"/>
      <c r="CO15" s="136"/>
      <c r="CP15" s="136"/>
      <c r="CQ15" s="1"/>
      <c r="CR15" s="1"/>
      <c r="CS15" s="225"/>
      <c r="CT15" s="1"/>
      <c r="CU15" s="136"/>
      <c r="CV15" s="136"/>
      <c r="CW15" s="136"/>
      <c r="CX15" s="136"/>
      <c r="CY15" s="136"/>
      <c r="CZ15" s="136"/>
      <c r="DA15" s="136"/>
      <c r="DB15" s="136"/>
      <c r="DC15" s="136"/>
      <c r="DD15" s="136"/>
      <c r="DE15" s="210"/>
      <c r="DF15" s="210"/>
      <c r="DG15" s="255"/>
      <c r="DH15" s="136"/>
      <c r="DI15" s="1"/>
      <c r="DJ15" s="1"/>
      <c r="DK15" s="102"/>
      <c r="DL15" s="102"/>
      <c r="DM15" s="102"/>
      <c r="DN15" s="102"/>
      <c r="DO15" s="102"/>
      <c r="DP15" s="143"/>
      <c r="DQ15" s="143"/>
      <c r="DR15" s="143"/>
      <c r="DS15" s="102"/>
      <c r="DT15" s="1"/>
      <c r="DU15" s="1"/>
      <c r="DV15" s="1"/>
      <c r="DW15" s="99"/>
      <c r="DX15" s="1"/>
      <c r="EE15" s="1"/>
      <c r="EK15" s="98"/>
      <c r="EL15" s="98"/>
      <c r="EM15" s="98"/>
      <c r="EN15" s="98"/>
      <c r="EO15" s="98"/>
      <c r="EP15" s="98"/>
      <c r="EQ15" s="98"/>
      <c r="ER15" s="241"/>
    </row>
    <row r="16" spans="1:149" s="93" customFormat="1">
      <c r="A16" s="95"/>
      <c r="B16" s="95"/>
      <c r="D16" s="97"/>
      <c r="E16" s="97"/>
      <c r="F16" s="97"/>
      <c r="G16" s="219"/>
      <c r="H16" s="98"/>
      <c r="I16" s="96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92"/>
      <c r="AP16" s="92"/>
      <c r="AQ16" s="92"/>
      <c r="AR16" s="1"/>
      <c r="AS16" s="228"/>
      <c r="AT16" s="1"/>
      <c r="AU16" s="1"/>
      <c r="AV16" s="1"/>
      <c r="AW16" s="1"/>
      <c r="AX16" s="1"/>
      <c r="AY16" s="1"/>
      <c r="AZ16" s="1"/>
      <c r="BA16" s="1"/>
      <c r="BB16" s="1"/>
      <c r="BC16" s="102"/>
      <c r="BD16" s="1"/>
      <c r="BE16" s="1"/>
      <c r="BF16" s="1"/>
      <c r="BG16" s="1"/>
      <c r="BH16" s="1"/>
      <c r="BI16" s="1"/>
      <c r="BJ16" s="1"/>
      <c r="BK16" s="1"/>
      <c r="BL16" s="1"/>
      <c r="BM16" s="1"/>
      <c r="BN16" s="1"/>
      <c r="BO16" s="1"/>
      <c r="BP16" s="1"/>
      <c r="BQ16" s="1"/>
      <c r="BR16" s="1"/>
      <c r="BS16" s="1"/>
      <c r="BT16" s="1"/>
      <c r="BU16" s="1"/>
      <c r="BV16" s="1"/>
      <c r="BW16" s="1"/>
      <c r="BX16" s="1"/>
      <c r="BY16" s="136"/>
      <c r="BZ16" s="136"/>
      <c r="CA16" s="136"/>
      <c r="CB16" s="136"/>
      <c r="CC16" s="136"/>
      <c r="CD16" s="136"/>
      <c r="CE16" s="136"/>
      <c r="CF16" s="147"/>
      <c r="CG16" s="136"/>
      <c r="CH16" s="147"/>
      <c r="CI16" s="147"/>
      <c r="CJ16" s="136"/>
      <c r="CK16" s="136"/>
      <c r="CL16" s="136"/>
      <c r="CM16" s="136"/>
      <c r="CN16" s="136"/>
      <c r="CO16" s="136"/>
      <c r="CP16" s="136"/>
      <c r="CQ16" s="1"/>
      <c r="CR16" s="1"/>
      <c r="CS16" s="225"/>
      <c r="CT16" s="1"/>
      <c r="CU16" s="136"/>
      <c r="CV16" s="136"/>
      <c r="CW16" s="136"/>
      <c r="CX16" s="136"/>
      <c r="CY16" s="136"/>
      <c r="CZ16" s="136"/>
      <c r="DA16" s="136"/>
      <c r="DB16" s="136"/>
      <c r="DC16" s="136"/>
      <c r="DD16" s="136"/>
      <c r="DE16" s="210"/>
      <c r="DF16" s="210"/>
      <c r="DG16" s="255"/>
      <c r="DH16" s="136"/>
      <c r="DI16" s="1"/>
      <c r="DJ16" s="1"/>
      <c r="DK16" s="102"/>
      <c r="DL16" s="102"/>
      <c r="DM16" s="102"/>
      <c r="DN16" s="102"/>
      <c r="DO16" s="102"/>
      <c r="DP16" s="143"/>
      <c r="DQ16" s="143"/>
      <c r="DR16" s="143"/>
      <c r="DS16" s="102"/>
      <c r="DT16" s="1"/>
      <c r="DU16" s="1"/>
      <c r="DV16" s="1"/>
      <c r="DW16" s="99"/>
      <c r="DX16" s="1"/>
      <c r="EE16" s="1"/>
      <c r="EK16" s="98"/>
      <c r="EL16" s="98"/>
      <c r="EM16" s="98"/>
      <c r="EN16" s="98"/>
      <c r="EO16" s="98"/>
      <c r="EP16" s="98"/>
      <c r="EQ16" s="98"/>
      <c r="ER16" s="241"/>
    </row>
    <row r="17" spans="1:148" s="93" customFormat="1">
      <c r="A17" s="95"/>
      <c r="B17" s="95"/>
      <c r="D17" s="97"/>
      <c r="E17" s="97"/>
      <c r="F17" s="97"/>
      <c r="G17" s="219"/>
      <c r="H17" s="98"/>
      <c r="I17" s="96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92"/>
      <c r="AP17" s="92"/>
      <c r="AQ17" s="92"/>
      <c r="AR17" s="1"/>
      <c r="AS17" s="228"/>
      <c r="AT17" s="1"/>
      <c r="AU17" s="1"/>
      <c r="AV17" s="1"/>
      <c r="AW17" s="1"/>
      <c r="AX17" s="1"/>
      <c r="AY17" s="1"/>
      <c r="AZ17" s="1"/>
      <c r="BA17" s="1"/>
      <c r="BB17" s="1"/>
      <c r="BC17" s="102"/>
      <c r="BD17" s="1"/>
      <c r="BE17" s="1"/>
      <c r="BF17" s="1"/>
      <c r="BG17" s="1"/>
      <c r="BH17" s="1"/>
      <c r="BI17" s="1"/>
      <c r="BJ17" s="1"/>
      <c r="BK17" s="1"/>
      <c r="BL17" s="1"/>
      <c r="BM17" s="1"/>
      <c r="BN17" s="1"/>
      <c r="BO17" s="1"/>
      <c r="BP17" s="1"/>
      <c r="BQ17" s="1"/>
      <c r="BR17" s="1"/>
      <c r="BS17" s="1"/>
      <c r="BT17" s="1"/>
      <c r="BU17" s="1"/>
      <c r="BV17" s="1"/>
      <c r="BW17" s="1"/>
      <c r="BX17" s="1"/>
      <c r="BY17" s="136"/>
      <c r="BZ17" s="136"/>
      <c r="CA17" s="136"/>
      <c r="CB17" s="136"/>
      <c r="CC17" s="136"/>
      <c r="CD17" s="136"/>
      <c r="CE17" s="136"/>
      <c r="CF17" s="147"/>
      <c r="CG17" s="136"/>
      <c r="CH17" s="147"/>
      <c r="CI17" s="147"/>
      <c r="CJ17" s="136"/>
      <c r="CK17" s="136"/>
      <c r="CL17" s="136"/>
      <c r="CM17" s="136"/>
      <c r="CN17" s="136"/>
      <c r="CO17" s="136"/>
      <c r="CP17" s="136"/>
      <c r="CQ17" s="1"/>
      <c r="CR17" s="1"/>
      <c r="CS17" s="225"/>
      <c r="CT17" s="1"/>
      <c r="CU17" s="136"/>
      <c r="CV17" s="136"/>
      <c r="CW17" s="136"/>
      <c r="CX17" s="136"/>
      <c r="CY17" s="136"/>
      <c r="CZ17" s="136"/>
      <c r="DA17" s="136"/>
      <c r="DB17" s="136"/>
      <c r="DC17" s="136"/>
      <c r="DD17" s="136"/>
      <c r="DE17" s="210"/>
      <c r="DF17" s="210"/>
      <c r="DG17" s="255"/>
      <c r="DH17" s="136"/>
      <c r="DI17" s="1"/>
      <c r="DJ17" s="1"/>
      <c r="DK17" s="102"/>
      <c r="DL17" s="102"/>
      <c r="DM17" s="102"/>
      <c r="DN17" s="102"/>
      <c r="DO17" s="102"/>
      <c r="DP17" s="143"/>
      <c r="DQ17" s="143"/>
      <c r="DR17" s="143"/>
      <c r="DS17" s="102"/>
      <c r="DT17" s="1"/>
      <c r="DU17" s="1"/>
      <c r="DV17" s="1"/>
      <c r="DW17" s="99"/>
      <c r="DX17" s="1"/>
      <c r="EE17" s="1"/>
      <c r="EK17" s="98"/>
      <c r="EL17" s="98"/>
      <c r="EM17" s="98"/>
      <c r="EN17" s="98"/>
      <c r="EO17" s="98"/>
      <c r="EP17" s="98"/>
      <c r="EQ17" s="98"/>
      <c r="ER17" s="241"/>
    </row>
    <row r="18" spans="1:148" s="93" customFormat="1">
      <c r="A18" s="95"/>
      <c r="B18" s="95"/>
      <c r="D18" s="97"/>
      <c r="E18" s="97"/>
      <c r="F18" s="97"/>
      <c r="G18" s="219"/>
      <c r="H18" s="98"/>
      <c r="I18" s="96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92"/>
      <c r="AP18" s="92"/>
      <c r="AQ18" s="92"/>
      <c r="AR18" s="1"/>
      <c r="AS18" s="228"/>
      <c r="AT18" s="1"/>
      <c r="AU18" s="1"/>
      <c r="AV18" s="1"/>
      <c r="AW18" s="1"/>
      <c r="AX18" s="1"/>
      <c r="AY18" s="1"/>
      <c r="AZ18" s="1"/>
      <c r="BA18" s="1"/>
      <c r="BB18" s="1"/>
      <c r="BC18" s="102"/>
      <c r="BD18" s="1"/>
      <c r="BE18" s="1"/>
      <c r="BF18" s="1"/>
      <c r="BG18" s="1"/>
      <c r="BH18" s="1"/>
      <c r="BI18" s="1"/>
      <c r="BJ18" s="1"/>
      <c r="BK18" s="1"/>
      <c r="BL18" s="1"/>
      <c r="BM18" s="1"/>
      <c r="BN18" s="1"/>
      <c r="BO18" s="1"/>
      <c r="BP18" s="1"/>
      <c r="BQ18" s="1"/>
      <c r="BR18" s="1"/>
      <c r="BS18" s="1"/>
      <c r="BT18" s="1"/>
      <c r="BU18" s="1"/>
      <c r="BV18" s="1"/>
      <c r="BW18" s="1"/>
      <c r="BX18" s="1"/>
      <c r="BY18" s="136"/>
      <c r="BZ18" s="136"/>
      <c r="CA18" s="136"/>
      <c r="CB18" s="136"/>
      <c r="CC18" s="136"/>
      <c r="CD18" s="136"/>
      <c r="CE18" s="136"/>
      <c r="CF18" s="147"/>
      <c r="CG18" s="136"/>
      <c r="CH18" s="147"/>
      <c r="CI18" s="147"/>
      <c r="CJ18" s="136"/>
      <c r="CK18" s="136"/>
      <c r="CL18" s="136"/>
      <c r="CM18" s="136"/>
      <c r="CN18" s="136"/>
      <c r="CO18" s="136"/>
      <c r="CP18" s="136"/>
      <c r="CQ18" s="1"/>
      <c r="CR18" s="1"/>
      <c r="CS18" s="225"/>
      <c r="CT18" s="1"/>
      <c r="CU18" s="136"/>
      <c r="CV18" s="136"/>
      <c r="CW18" s="136"/>
      <c r="CX18" s="136"/>
      <c r="CY18" s="136"/>
      <c r="CZ18" s="136"/>
      <c r="DA18" s="136"/>
      <c r="DB18" s="136"/>
      <c r="DC18" s="136"/>
      <c r="DD18" s="136"/>
      <c r="DE18" s="210"/>
      <c r="DF18" s="210"/>
      <c r="DG18" s="255"/>
      <c r="DH18" s="136"/>
      <c r="DI18" s="1"/>
      <c r="DJ18" s="1"/>
      <c r="DK18" s="102"/>
      <c r="DL18" s="102"/>
      <c r="DM18" s="102"/>
      <c r="DN18" s="102"/>
      <c r="DO18" s="102"/>
      <c r="DP18" s="143"/>
      <c r="DQ18" s="143"/>
      <c r="DR18" s="143"/>
      <c r="DS18" s="102"/>
      <c r="DT18" s="1"/>
      <c r="DU18" s="1"/>
      <c r="DV18" s="1"/>
      <c r="DW18" s="99"/>
      <c r="DX18" s="1"/>
      <c r="EE18" s="1"/>
      <c r="EK18" s="98"/>
      <c r="EL18" s="98"/>
      <c r="EM18" s="98"/>
      <c r="EN18" s="98"/>
      <c r="EO18" s="98"/>
      <c r="EP18" s="98"/>
      <c r="EQ18" s="98"/>
      <c r="ER18" s="241"/>
    </row>
    <row r="19" spans="1:148" s="93" customFormat="1">
      <c r="A19" s="95"/>
      <c r="B19" s="95"/>
      <c r="D19" s="97"/>
      <c r="E19" s="97"/>
      <c r="F19" s="97"/>
      <c r="G19" s="219"/>
      <c r="H19" s="98"/>
      <c r="I19" s="96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92"/>
      <c r="AP19" s="92"/>
      <c r="AQ19" s="92"/>
      <c r="AR19" s="1"/>
      <c r="AS19" s="228"/>
      <c r="AT19" s="1"/>
      <c r="AU19" s="1"/>
      <c r="AV19" s="1"/>
      <c r="AW19" s="1"/>
      <c r="AX19" s="1"/>
      <c r="AY19" s="1"/>
      <c r="AZ19" s="1"/>
      <c r="BA19" s="1"/>
      <c r="BB19" s="1"/>
      <c r="BC19" s="102"/>
      <c r="BD19" s="1"/>
      <c r="BE19" s="1"/>
      <c r="BF19" s="1"/>
      <c r="BG19" s="1"/>
      <c r="BH19" s="1"/>
      <c r="BI19" s="1"/>
      <c r="BJ19" s="1"/>
      <c r="BK19" s="1"/>
      <c r="BL19" s="1"/>
      <c r="BM19" s="1"/>
      <c r="BN19" s="1"/>
      <c r="BO19" s="1"/>
      <c r="BP19" s="1"/>
      <c r="BQ19" s="1"/>
      <c r="BR19" s="1"/>
      <c r="BS19" s="1"/>
      <c r="BT19" s="1"/>
      <c r="BU19" s="1"/>
      <c r="BV19" s="1"/>
      <c r="BW19" s="1"/>
      <c r="BX19" s="1"/>
      <c r="BY19" s="136"/>
      <c r="BZ19" s="136"/>
      <c r="CA19" s="136"/>
      <c r="CB19" s="136"/>
      <c r="CC19" s="136"/>
      <c r="CD19" s="136"/>
      <c r="CE19" s="136"/>
      <c r="CF19" s="147"/>
      <c r="CG19" s="136"/>
      <c r="CH19" s="147"/>
      <c r="CI19" s="147"/>
      <c r="CJ19" s="136"/>
      <c r="CK19" s="136"/>
      <c r="CL19" s="136"/>
      <c r="CM19" s="136"/>
      <c r="CN19" s="136"/>
      <c r="CO19" s="136"/>
      <c r="CP19" s="136"/>
      <c r="CQ19" s="1"/>
      <c r="CR19" s="1"/>
      <c r="CS19" s="225"/>
      <c r="CT19" s="1"/>
      <c r="CU19" s="136"/>
      <c r="CV19" s="136"/>
      <c r="CW19" s="136"/>
      <c r="CX19" s="136"/>
      <c r="CY19" s="136"/>
      <c r="CZ19" s="136"/>
      <c r="DA19" s="136"/>
      <c r="DB19" s="136"/>
      <c r="DC19" s="136"/>
      <c r="DD19" s="136"/>
      <c r="DE19" s="210"/>
      <c r="DF19" s="210"/>
      <c r="DG19" s="255"/>
      <c r="DH19" s="136"/>
      <c r="DI19" s="1"/>
      <c r="DJ19" s="1"/>
      <c r="DK19" s="102"/>
      <c r="DL19" s="102"/>
      <c r="DM19" s="102"/>
      <c r="DN19" s="102"/>
      <c r="DO19" s="102"/>
      <c r="DP19" s="143"/>
      <c r="DQ19" s="143"/>
      <c r="DR19" s="143"/>
      <c r="DS19" s="102"/>
      <c r="DT19" s="1"/>
      <c r="DU19" s="1"/>
      <c r="DV19" s="1"/>
      <c r="DW19" s="99"/>
      <c r="DX19" s="1"/>
      <c r="EE19" s="1"/>
      <c r="EK19" s="98"/>
      <c r="EL19" s="98"/>
      <c r="EM19" s="98"/>
      <c r="EN19" s="98"/>
      <c r="EO19" s="98"/>
      <c r="EP19" s="98"/>
      <c r="EQ19" s="98"/>
      <c r="ER19" s="241"/>
    </row>
    <row r="20" spans="1:148" s="93" customFormat="1">
      <c r="A20" s="95"/>
      <c r="B20" s="95"/>
      <c r="D20" s="97"/>
      <c r="E20" s="97"/>
      <c r="F20" s="97"/>
      <c r="G20" s="219"/>
      <c r="H20" s="98"/>
      <c r="I20" s="96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92"/>
      <c r="AP20" s="92"/>
      <c r="AQ20" s="92"/>
      <c r="AR20" s="1"/>
      <c r="AS20" s="228"/>
      <c r="AT20" s="1"/>
      <c r="AU20" s="1"/>
      <c r="AV20" s="1"/>
      <c r="AW20" s="1"/>
      <c r="AX20" s="1"/>
      <c r="AY20" s="1"/>
      <c r="AZ20" s="1"/>
      <c r="BA20" s="1"/>
      <c r="BB20" s="1"/>
      <c r="BC20" s="102"/>
      <c r="BD20" s="1"/>
      <c r="BE20" s="1"/>
      <c r="BF20" s="1"/>
      <c r="BG20" s="1"/>
      <c r="BH20" s="1"/>
      <c r="BI20" s="1"/>
      <c r="BJ20" s="1"/>
      <c r="BK20" s="1"/>
      <c r="BL20" s="1"/>
      <c r="BM20" s="1"/>
      <c r="BN20" s="1"/>
      <c r="BO20" s="1"/>
      <c r="BP20" s="1"/>
      <c r="BQ20" s="1"/>
      <c r="BR20" s="1"/>
      <c r="BS20" s="1"/>
      <c r="BT20" s="1"/>
      <c r="BU20" s="1"/>
      <c r="BV20" s="1"/>
      <c r="BW20" s="1"/>
      <c r="BX20" s="1"/>
      <c r="BY20" s="136"/>
      <c r="BZ20" s="136"/>
      <c r="CA20" s="136"/>
      <c r="CB20" s="136"/>
      <c r="CC20" s="136"/>
      <c r="CD20" s="136"/>
      <c r="CE20" s="136"/>
      <c r="CF20" s="147"/>
      <c r="CG20" s="136"/>
      <c r="CH20" s="147"/>
      <c r="CI20" s="147"/>
      <c r="CJ20" s="136"/>
      <c r="CK20" s="136"/>
      <c r="CL20" s="136"/>
      <c r="CM20" s="136"/>
      <c r="CN20" s="136"/>
      <c r="CO20" s="136"/>
      <c r="CP20" s="136"/>
      <c r="CQ20" s="1"/>
      <c r="CR20" s="1"/>
      <c r="CS20" s="225"/>
      <c r="CT20" s="1"/>
      <c r="CU20" s="136"/>
      <c r="CV20" s="136"/>
      <c r="CW20" s="136"/>
      <c r="CX20" s="136"/>
      <c r="CY20" s="136"/>
      <c r="CZ20" s="136"/>
      <c r="DA20" s="136"/>
      <c r="DB20" s="136"/>
      <c r="DC20" s="136"/>
      <c r="DD20" s="136"/>
      <c r="DE20" s="210"/>
      <c r="DF20" s="210"/>
      <c r="DG20" s="255"/>
      <c r="DH20" s="136"/>
      <c r="DI20" s="1"/>
      <c r="DJ20" s="1"/>
      <c r="DK20" s="102"/>
      <c r="DL20" s="102"/>
      <c r="DM20" s="102"/>
      <c r="DN20" s="102"/>
      <c r="DO20" s="102"/>
      <c r="DP20" s="143"/>
      <c r="DQ20" s="143"/>
      <c r="DR20" s="143"/>
      <c r="DS20" s="102"/>
      <c r="DT20" s="1"/>
      <c r="DU20" s="1"/>
      <c r="DV20" s="1"/>
      <c r="DW20" s="99"/>
      <c r="DX20" s="1"/>
      <c r="EE20" s="1"/>
      <c r="EK20" s="98"/>
      <c r="EL20" s="98"/>
      <c r="EM20" s="98"/>
      <c r="EN20" s="98"/>
      <c r="EO20" s="98"/>
      <c r="EP20" s="98"/>
      <c r="EQ20" s="98"/>
      <c r="ER20" s="241"/>
    </row>
    <row r="21" spans="1:148" s="93" customFormat="1">
      <c r="A21" s="95"/>
      <c r="B21" s="95"/>
      <c r="D21" s="97"/>
      <c r="E21" s="97"/>
      <c r="F21" s="97"/>
      <c r="G21" s="219"/>
      <c r="H21" s="98"/>
      <c r="I21" s="96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92"/>
      <c r="AP21" s="92"/>
      <c r="AQ21" s="92"/>
      <c r="AR21" s="1"/>
      <c r="AS21" s="228"/>
      <c r="AT21" s="1"/>
      <c r="AU21" s="1"/>
      <c r="AV21" s="1"/>
      <c r="AW21" s="1"/>
      <c r="AX21" s="1"/>
      <c r="AY21" s="1"/>
      <c r="AZ21" s="1"/>
      <c r="BA21" s="1"/>
      <c r="BB21" s="1"/>
      <c r="BC21" s="102"/>
      <c r="BD21" s="1"/>
      <c r="BE21" s="1"/>
      <c r="BF21" s="1"/>
      <c r="BG21" s="1"/>
      <c r="BH21" s="1"/>
      <c r="BI21" s="1"/>
      <c r="BJ21" s="1"/>
      <c r="BK21" s="1"/>
      <c r="BL21" s="1"/>
      <c r="BM21" s="1"/>
      <c r="BN21" s="1"/>
      <c r="BO21" s="1"/>
      <c r="BP21" s="1"/>
      <c r="BQ21" s="1"/>
      <c r="BR21" s="1"/>
      <c r="BS21" s="1"/>
      <c r="BT21" s="1"/>
      <c r="BU21" s="1"/>
      <c r="BV21" s="1"/>
      <c r="BW21" s="1"/>
      <c r="BX21" s="1"/>
      <c r="BY21" s="136"/>
      <c r="BZ21" s="136"/>
      <c r="CA21" s="136"/>
      <c r="CB21" s="136"/>
      <c r="CC21" s="136"/>
      <c r="CD21" s="136"/>
      <c r="CE21" s="136"/>
      <c r="CF21" s="147"/>
      <c r="CG21" s="136"/>
      <c r="CH21" s="147"/>
      <c r="CI21" s="147"/>
      <c r="CJ21" s="136"/>
      <c r="CK21" s="136"/>
      <c r="CL21" s="136"/>
      <c r="CM21" s="136"/>
      <c r="CN21" s="136"/>
      <c r="CO21" s="136"/>
      <c r="CP21" s="136"/>
      <c r="CQ21" s="1"/>
      <c r="CR21" s="1"/>
      <c r="CS21" s="225"/>
      <c r="CT21" s="1"/>
      <c r="CU21" s="136"/>
      <c r="CV21" s="136"/>
      <c r="CW21" s="136"/>
      <c r="CX21" s="136"/>
      <c r="CY21" s="136"/>
      <c r="CZ21" s="136"/>
      <c r="DA21" s="136"/>
      <c r="DB21" s="136"/>
      <c r="DC21" s="136"/>
      <c r="DD21" s="136"/>
      <c r="DE21" s="210"/>
      <c r="DF21" s="210"/>
      <c r="DG21" s="255"/>
      <c r="DH21" s="136"/>
      <c r="DI21" s="1"/>
      <c r="DJ21" s="1"/>
      <c r="DK21" s="102"/>
      <c r="DL21" s="102"/>
      <c r="DM21" s="102"/>
      <c r="DN21" s="102"/>
      <c r="DO21" s="102"/>
      <c r="DP21" s="143"/>
      <c r="DQ21" s="143"/>
      <c r="DR21" s="143"/>
      <c r="DS21" s="102"/>
      <c r="DT21" s="1"/>
      <c r="DU21" s="1"/>
      <c r="DV21" s="1"/>
      <c r="DW21" s="99"/>
      <c r="DX21" s="1"/>
      <c r="EE21" s="1"/>
      <c r="EK21" s="98"/>
      <c r="EL21" s="98"/>
      <c r="EM21" s="98"/>
      <c r="EN21" s="98"/>
      <c r="EO21" s="98"/>
      <c r="EP21" s="98"/>
      <c r="EQ21" s="98"/>
      <c r="ER21" s="241"/>
    </row>
    <row r="22" spans="1:148" s="93" customFormat="1">
      <c r="A22" s="95"/>
      <c r="B22" s="95"/>
      <c r="D22" s="97"/>
      <c r="E22" s="97"/>
      <c r="F22" s="97"/>
      <c r="G22" s="219"/>
      <c r="H22" s="98"/>
      <c r="I22" s="96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92"/>
      <c r="AP22" s="92"/>
      <c r="AQ22" s="92"/>
      <c r="AR22" s="1"/>
      <c r="AS22" s="228"/>
      <c r="AT22" s="1"/>
      <c r="AU22" s="1"/>
      <c r="AV22" s="1"/>
      <c r="AW22" s="1"/>
      <c r="AX22" s="1"/>
      <c r="AY22" s="1"/>
      <c r="AZ22" s="1"/>
      <c r="BA22" s="1"/>
      <c r="BB22" s="1"/>
      <c r="BC22" s="102"/>
      <c r="BD22" s="1"/>
      <c r="BE22" s="1"/>
      <c r="BF22" s="1"/>
      <c r="BG22" s="1"/>
      <c r="BH22" s="1"/>
      <c r="BI22" s="1"/>
      <c r="BJ22" s="1"/>
      <c r="BK22" s="1"/>
      <c r="BL22" s="1"/>
      <c r="BM22" s="1"/>
      <c r="BN22" s="1"/>
      <c r="BO22" s="1"/>
      <c r="BP22" s="1"/>
      <c r="BQ22" s="1"/>
      <c r="BR22" s="1"/>
      <c r="BS22" s="1"/>
      <c r="BT22" s="1"/>
      <c r="BU22" s="1"/>
      <c r="BV22" s="1"/>
      <c r="BW22" s="1"/>
      <c r="BX22" s="1"/>
      <c r="BY22" s="136"/>
      <c r="BZ22" s="136"/>
      <c r="CA22" s="136"/>
      <c r="CB22" s="136"/>
      <c r="CC22" s="136"/>
      <c r="CD22" s="136"/>
      <c r="CE22" s="136"/>
      <c r="CF22" s="147"/>
      <c r="CG22" s="136"/>
      <c r="CH22" s="147"/>
      <c r="CI22" s="147"/>
      <c r="CJ22" s="136"/>
      <c r="CK22" s="136"/>
      <c r="CL22" s="136"/>
      <c r="CM22" s="136"/>
      <c r="CN22" s="136"/>
      <c r="CO22" s="136"/>
      <c r="CP22" s="136"/>
      <c r="CQ22" s="1"/>
      <c r="CR22" s="1"/>
      <c r="CS22" s="225"/>
      <c r="CT22" s="1"/>
      <c r="CU22" s="136"/>
      <c r="CV22" s="136"/>
      <c r="CW22" s="136"/>
      <c r="CX22" s="136"/>
      <c r="CY22" s="136"/>
      <c r="CZ22" s="136"/>
      <c r="DA22" s="136"/>
      <c r="DB22" s="136"/>
      <c r="DC22" s="136"/>
      <c r="DD22" s="136"/>
      <c r="DE22" s="210"/>
      <c r="DF22" s="210"/>
      <c r="DG22" s="255"/>
      <c r="DH22" s="136"/>
      <c r="DI22" s="1"/>
      <c r="DJ22" s="1"/>
      <c r="DK22" s="102"/>
      <c r="DL22" s="102"/>
      <c r="DM22" s="102"/>
      <c r="DN22" s="102"/>
      <c r="DO22" s="102"/>
      <c r="DP22" s="143"/>
      <c r="DQ22" s="143"/>
      <c r="DR22" s="143"/>
      <c r="DS22" s="102"/>
      <c r="DT22" s="1"/>
      <c r="DU22" s="1"/>
      <c r="DV22" s="1"/>
      <c r="DW22" s="99"/>
      <c r="DX22" s="1"/>
      <c r="EE22" s="1"/>
      <c r="EK22" s="98"/>
      <c r="EL22" s="98"/>
      <c r="EM22" s="98"/>
      <c r="EN22" s="98"/>
      <c r="EO22" s="98"/>
      <c r="EP22" s="98"/>
      <c r="EQ22" s="98"/>
      <c r="ER22" s="241"/>
    </row>
    <row r="23" spans="1:148" s="93" customFormat="1">
      <c r="A23" s="95"/>
      <c r="B23" s="95"/>
      <c r="D23" s="97"/>
      <c r="E23" s="97"/>
      <c r="F23" s="97"/>
      <c r="G23" s="219"/>
      <c r="H23" s="98"/>
      <c r="I23" s="96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92"/>
      <c r="AP23" s="92"/>
      <c r="AQ23" s="92"/>
      <c r="AR23" s="1"/>
      <c r="AS23" s="228"/>
      <c r="AT23" s="1"/>
      <c r="AU23" s="1"/>
      <c r="AV23" s="1"/>
      <c r="AW23" s="1"/>
      <c r="AX23" s="1"/>
      <c r="AY23" s="1"/>
      <c r="AZ23" s="1"/>
      <c r="BA23" s="1"/>
      <c r="BB23" s="1"/>
      <c r="BC23" s="102"/>
      <c r="BD23" s="1"/>
      <c r="BE23" s="1"/>
      <c r="BF23" s="1"/>
      <c r="BG23" s="1"/>
      <c r="BH23" s="1"/>
      <c r="BI23" s="1"/>
      <c r="BJ23" s="1"/>
      <c r="BK23" s="1"/>
      <c r="BL23" s="1"/>
      <c r="BM23" s="1"/>
      <c r="BN23" s="1"/>
      <c r="BO23" s="1"/>
      <c r="BP23" s="1"/>
      <c r="BQ23" s="1"/>
      <c r="BR23" s="1"/>
      <c r="BS23" s="1"/>
      <c r="BT23" s="1"/>
      <c r="BU23" s="1"/>
      <c r="BV23" s="1"/>
      <c r="BW23" s="1"/>
      <c r="BX23" s="1"/>
      <c r="BY23" s="136"/>
      <c r="BZ23" s="136"/>
      <c r="CA23" s="136"/>
      <c r="CB23" s="136"/>
      <c r="CC23" s="136"/>
      <c r="CD23" s="136"/>
      <c r="CE23" s="136"/>
      <c r="CF23" s="147"/>
      <c r="CG23" s="136"/>
      <c r="CH23" s="147"/>
      <c r="CI23" s="147"/>
      <c r="CJ23" s="136"/>
      <c r="CK23" s="136"/>
      <c r="CL23" s="136"/>
      <c r="CM23" s="136"/>
      <c r="CN23" s="136"/>
      <c r="CO23" s="136"/>
      <c r="CP23" s="136"/>
      <c r="CQ23" s="1"/>
      <c r="CR23" s="1"/>
      <c r="CS23" s="225"/>
      <c r="CT23" s="1"/>
      <c r="CU23" s="136"/>
      <c r="CV23" s="136"/>
      <c r="CW23" s="136"/>
      <c r="CX23" s="136"/>
      <c r="CY23" s="136"/>
      <c r="CZ23" s="136"/>
      <c r="DA23" s="136"/>
      <c r="DB23" s="136"/>
      <c r="DC23" s="136"/>
      <c r="DD23" s="136"/>
      <c r="DE23" s="210"/>
      <c r="DF23" s="210"/>
      <c r="DG23" s="255"/>
      <c r="DH23" s="136"/>
      <c r="DI23" s="1"/>
      <c r="DJ23" s="1"/>
      <c r="DK23" s="102"/>
      <c r="DL23" s="102"/>
      <c r="DM23" s="102"/>
      <c r="DN23" s="102"/>
      <c r="DO23" s="102"/>
      <c r="DP23" s="143"/>
      <c r="DQ23" s="143"/>
      <c r="DR23" s="143"/>
      <c r="DS23" s="102"/>
      <c r="DT23" s="1"/>
      <c r="DU23" s="1"/>
      <c r="DV23" s="1"/>
      <c r="DW23" s="99"/>
      <c r="DX23" s="1"/>
      <c r="EE23" s="1"/>
      <c r="EK23" s="98"/>
      <c r="EL23" s="98"/>
      <c r="EM23" s="98"/>
      <c r="EN23" s="98"/>
      <c r="EO23" s="98"/>
      <c r="EP23" s="98"/>
      <c r="EQ23" s="98"/>
      <c r="ER23" s="241"/>
    </row>
    <row r="24" spans="1:148" s="93" customFormat="1">
      <c r="A24" s="95"/>
      <c r="B24" s="95"/>
      <c r="D24" s="97"/>
      <c r="E24" s="97"/>
      <c r="F24" s="97"/>
      <c r="G24" s="219"/>
      <c r="H24" s="98"/>
      <c r="I24" s="96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92"/>
      <c r="AP24" s="92"/>
      <c r="AQ24" s="92"/>
      <c r="AR24" s="1"/>
      <c r="AS24" s="228"/>
      <c r="AT24" s="1"/>
      <c r="AU24" s="1"/>
      <c r="AV24" s="1"/>
      <c r="AW24" s="1"/>
      <c r="AX24" s="1"/>
      <c r="AY24" s="1"/>
      <c r="AZ24" s="1"/>
      <c r="BA24" s="1"/>
      <c r="BB24" s="1"/>
      <c r="BC24" s="102"/>
      <c r="BD24" s="1"/>
      <c r="BE24" s="1"/>
      <c r="BF24" s="1"/>
      <c r="BG24" s="1"/>
      <c r="BH24" s="1"/>
      <c r="BI24" s="1"/>
      <c r="BJ24" s="1"/>
      <c r="BK24" s="1"/>
      <c r="BL24" s="1"/>
      <c r="BM24" s="1"/>
      <c r="BN24" s="1"/>
      <c r="BO24" s="1"/>
      <c r="BP24" s="1"/>
      <c r="BQ24" s="1"/>
      <c r="BR24" s="1"/>
      <c r="BS24" s="1"/>
      <c r="BT24" s="1"/>
      <c r="BU24" s="1"/>
      <c r="BV24" s="1"/>
      <c r="BW24" s="1"/>
      <c r="BX24" s="1"/>
      <c r="BY24" s="136"/>
      <c r="BZ24" s="136"/>
      <c r="CA24" s="136"/>
      <c r="CB24" s="136"/>
      <c r="CC24" s="136"/>
      <c r="CD24" s="136"/>
      <c r="CE24" s="136"/>
      <c r="CF24" s="147"/>
      <c r="CG24" s="136"/>
      <c r="CH24" s="147"/>
      <c r="CI24" s="147"/>
      <c r="CJ24" s="136"/>
      <c r="CK24" s="136"/>
      <c r="CL24" s="136"/>
      <c r="CM24" s="136"/>
      <c r="CN24" s="136"/>
      <c r="CO24" s="136"/>
      <c r="CP24" s="136"/>
      <c r="CQ24" s="1"/>
      <c r="CR24" s="1"/>
      <c r="CS24" s="225"/>
      <c r="CT24" s="1"/>
      <c r="CU24" s="136"/>
      <c r="CV24" s="136"/>
      <c r="CW24" s="136"/>
      <c r="CX24" s="136"/>
      <c r="CY24" s="136"/>
      <c r="CZ24" s="136"/>
      <c r="DA24" s="136"/>
      <c r="DB24" s="136"/>
      <c r="DC24" s="136"/>
      <c r="DD24" s="136"/>
      <c r="DE24" s="210"/>
      <c r="DF24" s="210"/>
      <c r="DG24" s="255"/>
      <c r="DH24" s="136"/>
      <c r="DI24" s="1"/>
      <c r="DJ24" s="1"/>
      <c r="DK24" s="102"/>
      <c r="DL24" s="102"/>
      <c r="DM24" s="102"/>
      <c r="DN24" s="102"/>
      <c r="DO24" s="102"/>
      <c r="DP24" s="143"/>
      <c r="DQ24" s="143"/>
      <c r="DR24" s="143"/>
      <c r="DS24" s="102"/>
      <c r="DT24" s="1"/>
      <c r="DU24" s="1"/>
      <c r="DV24" s="1"/>
      <c r="DW24" s="99"/>
      <c r="DX24" s="1"/>
      <c r="EE24" s="1"/>
      <c r="EK24" s="98"/>
      <c r="EL24" s="98"/>
      <c r="EM24" s="98"/>
      <c r="EN24" s="98"/>
      <c r="EO24" s="98"/>
      <c r="EP24" s="98"/>
      <c r="EQ24" s="98"/>
      <c r="ER24" s="241"/>
    </row>
    <row r="25" spans="1:148" s="93" customFormat="1">
      <c r="A25" s="95"/>
      <c r="B25" s="95"/>
      <c r="D25" s="97"/>
      <c r="E25" s="97"/>
      <c r="F25" s="97"/>
      <c r="G25" s="219"/>
      <c r="H25" s="98"/>
      <c r="I25" s="96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92"/>
      <c r="AP25" s="92"/>
      <c r="AQ25" s="92"/>
      <c r="AR25" s="1"/>
      <c r="AS25" s="228"/>
      <c r="AT25" s="1"/>
      <c r="AU25" s="1"/>
      <c r="AV25" s="1"/>
      <c r="AW25" s="1"/>
      <c r="AX25" s="1"/>
      <c r="AY25" s="1"/>
      <c r="AZ25" s="1"/>
      <c r="BA25" s="1"/>
      <c r="BB25" s="1"/>
      <c r="BC25" s="102"/>
      <c r="BD25" s="1"/>
      <c r="BE25" s="1"/>
      <c r="BF25" s="1"/>
      <c r="BG25" s="1"/>
      <c r="BH25" s="1"/>
      <c r="BI25" s="1"/>
      <c r="BJ25" s="1"/>
      <c r="BK25" s="1"/>
      <c r="BL25" s="1"/>
      <c r="BM25" s="1"/>
      <c r="BN25" s="1"/>
      <c r="BO25" s="1"/>
      <c r="BP25" s="1"/>
      <c r="BQ25" s="1"/>
      <c r="BR25" s="1"/>
      <c r="BS25" s="1"/>
      <c r="BT25" s="1"/>
      <c r="BU25" s="1"/>
      <c r="BV25" s="1"/>
      <c r="BW25" s="1"/>
      <c r="BX25" s="1"/>
      <c r="BY25" s="136"/>
      <c r="BZ25" s="136"/>
      <c r="CA25" s="136"/>
      <c r="CB25" s="136"/>
      <c r="CC25" s="136"/>
      <c r="CD25" s="136"/>
      <c r="CE25" s="136"/>
      <c r="CF25" s="147"/>
      <c r="CG25" s="136"/>
      <c r="CH25" s="147"/>
      <c r="CI25" s="147"/>
      <c r="CJ25" s="136"/>
      <c r="CK25" s="136"/>
      <c r="CL25" s="136"/>
      <c r="CM25" s="136"/>
      <c r="CN25" s="136"/>
      <c r="CO25" s="136"/>
      <c r="CP25" s="136"/>
      <c r="CQ25" s="1"/>
      <c r="CR25" s="1"/>
      <c r="CS25" s="225"/>
      <c r="CT25" s="1"/>
      <c r="CU25" s="136"/>
      <c r="CV25" s="136"/>
      <c r="CW25" s="136"/>
      <c r="CX25" s="136"/>
      <c r="CY25" s="136"/>
      <c r="CZ25" s="136"/>
      <c r="DA25" s="136"/>
      <c r="DB25" s="136"/>
      <c r="DC25" s="136"/>
      <c r="DD25" s="136"/>
      <c r="DE25" s="210"/>
      <c r="DF25" s="210"/>
      <c r="DG25" s="255"/>
      <c r="DH25" s="136"/>
      <c r="DI25" s="1"/>
      <c r="DJ25" s="1"/>
      <c r="DK25" s="102"/>
      <c r="DL25" s="102"/>
      <c r="DM25" s="102"/>
      <c r="DN25" s="102"/>
      <c r="DO25" s="102"/>
      <c r="DP25" s="143"/>
      <c r="DQ25" s="143"/>
      <c r="DR25" s="143"/>
      <c r="DS25" s="102"/>
      <c r="DT25" s="1"/>
      <c r="DU25" s="1"/>
      <c r="DV25" s="1"/>
      <c r="DW25" s="99"/>
      <c r="DX25" s="1"/>
      <c r="EE25" s="1"/>
      <c r="EK25" s="98"/>
      <c r="EL25" s="98"/>
      <c r="EM25" s="98"/>
      <c r="EN25" s="98"/>
      <c r="EO25" s="98"/>
      <c r="EP25" s="98"/>
      <c r="EQ25" s="98"/>
      <c r="ER25" s="241"/>
    </row>
    <row r="26" spans="1:148" s="93" customFormat="1">
      <c r="A26" s="95"/>
      <c r="B26" s="95"/>
      <c r="D26" s="97"/>
      <c r="E26" s="97"/>
      <c r="F26" s="97"/>
      <c r="G26" s="219"/>
      <c r="H26" s="98"/>
      <c r="I26" s="96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92"/>
      <c r="AP26" s="92"/>
      <c r="AQ26" s="92"/>
      <c r="AR26" s="1"/>
      <c r="AS26" s="228"/>
      <c r="AT26" s="1"/>
      <c r="AU26" s="1"/>
      <c r="AV26" s="1"/>
      <c r="AW26" s="1"/>
      <c r="AX26" s="1"/>
      <c r="AY26" s="1"/>
      <c r="AZ26" s="1"/>
      <c r="BA26" s="1"/>
      <c r="BB26" s="1"/>
      <c r="BC26" s="102"/>
      <c r="BD26" s="1"/>
      <c r="BE26" s="1"/>
      <c r="BF26" s="1"/>
      <c r="BG26" s="1"/>
      <c r="BH26" s="1"/>
      <c r="BI26" s="1"/>
      <c r="BJ26" s="1"/>
      <c r="BK26" s="1"/>
      <c r="BL26" s="1"/>
      <c r="BM26" s="1"/>
      <c r="BN26" s="1"/>
      <c r="BO26" s="1"/>
      <c r="BP26" s="1"/>
      <c r="BQ26" s="1"/>
      <c r="BR26" s="1"/>
      <c r="BS26" s="1"/>
      <c r="BT26" s="1"/>
      <c r="BU26" s="1"/>
      <c r="BV26" s="1"/>
      <c r="BW26" s="1"/>
      <c r="BX26" s="1"/>
      <c r="BY26" s="136"/>
      <c r="BZ26" s="136"/>
      <c r="CA26" s="136"/>
      <c r="CB26" s="136"/>
      <c r="CC26" s="136"/>
      <c r="CD26" s="136"/>
      <c r="CE26" s="136"/>
      <c r="CF26" s="147"/>
      <c r="CG26" s="136"/>
      <c r="CH26" s="147"/>
      <c r="CI26" s="147"/>
      <c r="CJ26" s="136"/>
      <c r="CK26" s="136"/>
      <c r="CL26" s="136"/>
      <c r="CM26" s="136"/>
      <c r="CN26" s="136"/>
      <c r="CO26" s="136"/>
      <c r="CP26" s="136"/>
      <c r="CQ26" s="1"/>
      <c r="CR26" s="1"/>
      <c r="CS26" s="225"/>
      <c r="CT26" s="1"/>
      <c r="CU26" s="136"/>
      <c r="CV26" s="136"/>
      <c r="CW26" s="136"/>
      <c r="CX26" s="136"/>
      <c r="CY26" s="136"/>
      <c r="CZ26" s="136"/>
      <c r="DA26" s="136"/>
      <c r="DB26" s="136"/>
      <c r="DC26" s="136"/>
      <c r="DD26" s="136"/>
      <c r="DE26" s="210"/>
      <c r="DF26" s="210"/>
      <c r="DG26" s="255"/>
      <c r="DH26" s="136"/>
      <c r="DI26" s="1"/>
      <c r="DJ26" s="1"/>
      <c r="DK26" s="102"/>
      <c r="DL26" s="102"/>
      <c r="DM26" s="102"/>
      <c r="DN26" s="102"/>
      <c r="DO26" s="102"/>
      <c r="DP26" s="143"/>
      <c r="DQ26" s="143"/>
      <c r="DR26" s="143"/>
      <c r="DS26" s="102"/>
      <c r="DT26" s="1"/>
      <c r="DU26" s="1"/>
      <c r="DV26" s="1"/>
      <c r="DW26" s="99"/>
      <c r="DX26" s="1"/>
      <c r="EE26" s="1"/>
      <c r="EK26" s="98"/>
      <c r="EL26" s="98"/>
      <c r="EM26" s="98"/>
      <c r="EN26" s="98"/>
      <c r="EO26" s="98"/>
      <c r="EP26" s="98"/>
      <c r="EQ26" s="98"/>
      <c r="ER26" s="241"/>
    </row>
    <row r="27" spans="1:148" s="93" customFormat="1">
      <c r="A27" s="95"/>
      <c r="B27" s="95"/>
      <c r="D27" s="97"/>
      <c r="E27" s="97"/>
      <c r="F27" s="97"/>
      <c r="G27" s="219"/>
      <c r="H27" s="98"/>
      <c r="I27" s="96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92"/>
      <c r="AP27" s="92"/>
      <c r="AQ27" s="92"/>
      <c r="AR27" s="1"/>
      <c r="AS27" s="228"/>
      <c r="AT27" s="1"/>
      <c r="AU27" s="1"/>
      <c r="AV27" s="1"/>
      <c r="AW27" s="1"/>
      <c r="AX27" s="1"/>
      <c r="AY27" s="1"/>
      <c r="AZ27" s="1"/>
      <c r="BA27" s="1"/>
      <c r="BB27" s="1"/>
      <c r="BC27" s="102"/>
      <c r="BD27" s="1"/>
      <c r="BE27" s="1"/>
      <c r="BF27" s="1"/>
      <c r="BG27" s="1"/>
      <c r="BH27" s="1"/>
      <c r="BI27" s="1"/>
      <c r="BJ27" s="1"/>
      <c r="BK27" s="1"/>
      <c r="BL27" s="1"/>
      <c r="BM27" s="1"/>
      <c r="BN27" s="1"/>
      <c r="BO27" s="1"/>
      <c r="BP27" s="1"/>
      <c r="BQ27" s="1"/>
      <c r="BR27" s="1"/>
      <c r="BS27" s="1"/>
      <c r="BT27" s="1"/>
      <c r="BU27" s="1"/>
      <c r="BV27" s="1"/>
      <c r="BW27" s="1"/>
      <c r="BX27" s="1"/>
      <c r="BY27" s="136"/>
      <c r="BZ27" s="136"/>
      <c r="CA27" s="136"/>
      <c r="CB27" s="136"/>
      <c r="CC27" s="136"/>
      <c r="CD27" s="136"/>
      <c r="CE27" s="136"/>
      <c r="CF27" s="147"/>
      <c r="CG27" s="136"/>
      <c r="CH27" s="147"/>
      <c r="CI27" s="147"/>
      <c r="CJ27" s="136"/>
      <c r="CK27" s="136"/>
      <c r="CL27" s="136"/>
      <c r="CM27" s="136"/>
      <c r="CN27" s="136"/>
      <c r="CO27" s="136"/>
      <c r="CP27" s="136"/>
      <c r="CQ27" s="1"/>
      <c r="CR27" s="1"/>
      <c r="CS27" s="225"/>
      <c r="CT27" s="1"/>
      <c r="CU27" s="136"/>
      <c r="CV27" s="136"/>
      <c r="CW27" s="136"/>
      <c r="CX27" s="136"/>
      <c r="CY27" s="136"/>
      <c r="CZ27" s="136"/>
      <c r="DA27" s="136"/>
      <c r="DB27" s="136"/>
      <c r="DC27" s="136"/>
      <c r="DD27" s="136"/>
      <c r="DE27" s="210"/>
      <c r="DF27" s="210"/>
      <c r="DG27" s="255"/>
      <c r="DH27" s="136"/>
      <c r="DI27" s="1"/>
      <c r="DJ27" s="1"/>
      <c r="DK27" s="102"/>
      <c r="DL27" s="102"/>
      <c r="DM27" s="102"/>
      <c r="DN27" s="102"/>
      <c r="DO27" s="102"/>
      <c r="DP27" s="143"/>
      <c r="DQ27" s="143"/>
      <c r="DR27" s="143"/>
      <c r="DS27" s="102"/>
      <c r="DT27" s="1"/>
      <c r="DU27" s="1"/>
      <c r="DV27" s="1"/>
      <c r="DW27" s="99"/>
      <c r="DX27" s="1"/>
      <c r="EE27" s="1"/>
      <c r="EK27" s="98"/>
      <c r="EL27" s="98"/>
      <c r="EM27" s="98"/>
      <c r="EN27" s="98"/>
      <c r="EO27" s="98"/>
      <c r="EP27" s="98"/>
      <c r="EQ27" s="98"/>
      <c r="ER27" s="241"/>
    </row>
    <row r="28" spans="1:148" s="93" customFormat="1">
      <c r="A28" s="95"/>
      <c r="B28" s="95"/>
      <c r="D28" s="97"/>
      <c r="E28" s="97"/>
      <c r="F28" s="97"/>
      <c r="G28" s="219"/>
      <c r="H28" s="98"/>
      <c r="I28" s="96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92"/>
      <c r="AP28" s="92"/>
      <c r="AQ28" s="92"/>
      <c r="AR28" s="1"/>
      <c r="AS28" s="228"/>
      <c r="AT28" s="1"/>
      <c r="AU28" s="1"/>
      <c r="AV28" s="1"/>
      <c r="AW28" s="1"/>
      <c r="AX28" s="1"/>
      <c r="AY28" s="1"/>
      <c r="AZ28" s="1"/>
      <c r="BA28" s="1"/>
      <c r="BB28" s="1"/>
      <c r="BC28" s="102"/>
      <c r="BD28" s="1"/>
      <c r="BE28" s="1"/>
      <c r="BF28" s="1"/>
      <c r="BG28" s="1"/>
      <c r="BH28" s="1"/>
      <c r="BI28" s="1"/>
      <c r="BJ28" s="1"/>
      <c r="BK28" s="1"/>
      <c r="BL28" s="1"/>
      <c r="BM28" s="1"/>
      <c r="BN28" s="1"/>
      <c r="BO28" s="1"/>
      <c r="BP28" s="1"/>
      <c r="BQ28" s="1"/>
      <c r="BR28" s="1"/>
      <c r="BS28" s="1"/>
      <c r="BT28" s="1"/>
      <c r="BU28" s="1"/>
      <c r="BV28" s="1"/>
      <c r="BW28" s="1"/>
      <c r="BX28" s="1"/>
      <c r="BY28" s="136"/>
      <c r="BZ28" s="136"/>
      <c r="CA28" s="136"/>
      <c r="CB28" s="136"/>
      <c r="CC28" s="136"/>
      <c r="CD28" s="136"/>
      <c r="CE28" s="136"/>
      <c r="CF28" s="147"/>
      <c r="CG28" s="136"/>
      <c r="CH28" s="147"/>
      <c r="CI28" s="147"/>
      <c r="CJ28" s="136"/>
      <c r="CK28" s="136"/>
      <c r="CL28" s="136"/>
      <c r="CM28" s="136"/>
      <c r="CN28" s="136"/>
      <c r="CO28" s="136"/>
      <c r="CP28" s="136"/>
      <c r="CQ28" s="1"/>
      <c r="CR28" s="1"/>
      <c r="CS28" s="225"/>
      <c r="CT28" s="1"/>
      <c r="CU28" s="136"/>
      <c r="CV28" s="136"/>
      <c r="CW28" s="136"/>
      <c r="CX28" s="136"/>
      <c r="CY28" s="136"/>
      <c r="CZ28" s="136"/>
      <c r="DA28" s="136"/>
      <c r="DB28" s="136"/>
      <c r="DC28" s="136"/>
      <c r="DD28" s="136"/>
      <c r="DE28" s="210"/>
      <c r="DF28" s="210"/>
      <c r="DG28" s="255"/>
      <c r="DH28" s="136"/>
      <c r="DI28" s="1"/>
      <c r="DJ28" s="1"/>
      <c r="DK28" s="102"/>
      <c r="DL28" s="102"/>
      <c r="DM28" s="102"/>
      <c r="DN28" s="102"/>
      <c r="DO28" s="102"/>
      <c r="DP28" s="143"/>
      <c r="DQ28" s="143"/>
      <c r="DR28" s="143"/>
      <c r="DS28" s="102"/>
      <c r="DT28" s="1"/>
      <c r="DU28" s="1"/>
      <c r="DV28" s="1"/>
      <c r="DW28" s="99"/>
      <c r="DX28" s="1"/>
      <c r="EE28" s="1"/>
      <c r="EK28" s="98"/>
      <c r="EL28" s="98"/>
      <c r="EM28" s="98"/>
      <c r="EN28" s="98"/>
      <c r="EO28" s="98"/>
      <c r="EP28" s="98"/>
      <c r="EQ28" s="98"/>
      <c r="ER28" s="241"/>
    </row>
    <row r="29" spans="1:148" s="93" customFormat="1">
      <c r="A29" s="95"/>
      <c r="B29" s="95"/>
      <c r="D29" s="97"/>
      <c r="E29" s="97"/>
      <c r="F29" s="97"/>
      <c r="G29" s="219"/>
      <c r="H29" s="98"/>
      <c r="I29" s="96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92"/>
      <c r="AP29" s="92"/>
      <c r="AQ29" s="92"/>
      <c r="AR29" s="1"/>
      <c r="AS29" s="228"/>
      <c r="AT29" s="1"/>
      <c r="AU29" s="1"/>
      <c r="AV29" s="1"/>
      <c r="AW29" s="1"/>
      <c r="AX29" s="1"/>
      <c r="AY29" s="1"/>
      <c r="AZ29" s="1"/>
      <c r="BA29" s="1"/>
      <c r="BB29" s="1"/>
      <c r="BC29" s="102"/>
      <c r="BD29" s="1"/>
      <c r="BE29" s="1"/>
      <c r="BF29" s="1"/>
      <c r="BG29" s="1"/>
      <c r="BH29" s="1"/>
      <c r="BI29" s="1"/>
      <c r="BJ29" s="1"/>
      <c r="BK29" s="1"/>
      <c r="BL29" s="1"/>
      <c r="BM29" s="1"/>
      <c r="BN29" s="1"/>
      <c r="BO29" s="1"/>
      <c r="BP29" s="1"/>
      <c r="BQ29" s="1"/>
      <c r="BR29" s="1"/>
      <c r="BS29" s="1"/>
      <c r="BT29" s="1"/>
      <c r="BU29" s="1"/>
      <c r="BV29" s="1"/>
      <c r="BW29" s="1"/>
      <c r="BX29" s="1"/>
      <c r="BY29" s="136"/>
      <c r="BZ29" s="136"/>
      <c r="CA29" s="136"/>
      <c r="CB29" s="136"/>
      <c r="CC29" s="136"/>
      <c r="CD29" s="136"/>
      <c r="CE29" s="136"/>
      <c r="CF29" s="147"/>
      <c r="CG29" s="136"/>
      <c r="CH29" s="147"/>
      <c r="CI29" s="147"/>
      <c r="CJ29" s="136"/>
      <c r="CK29" s="136"/>
      <c r="CL29" s="136"/>
      <c r="CM29" s="136"/>
      <c r="CN29" s="136"/>
      <c r="CO29" s="136"/>
      <c r="CP29" s="136"/>
      <c r="CQ29" s="1"/>
      <c r="CR29" s="1"/>
      <c r="CS29" s="225"/>
      <c r="CT29" s="1"/>
      <c r="CU29" s="136"/>
      <c r="CV29" s="136"/>
      <c r="CW29" s="136"/>
      <c r="CX29" s="136"/>
      <c r="CY29" s="136"/>
      <c r="CZ29" s="136"/>
      <c r="DA29" s="136"/>
      <c r="DB29" s="136"/>
      <c r="DC29" s="136"/>
      <c r="DD29" s="136"/>
      <c r="DE29" s="210"/>
      <c r="DF29" s="210"/>
      <c r="DG29" s="255"/>
      <c r="DH29" s="136"/>
      <c r="DI29" s="1"/>
      <c r="DJ29" s="1"/>
      <c r="DK29" s="102"/>
      <c r="DL29" s="102"/>
      <c r="DM29" s="102"/>
      <c r="DN29" s="102"/>
      <c r="DO29" s="102"/>
      <c r="DP29" s="143"/>
      <c r="DQ29" s="143"/>
      <c r="DR29" s="143"/>
      <c r="DS29" s="102"/>
      <c r="DT29" s="1"/>
      <c r="DU29" s="1"/>
      <c r="DV29" s="1"/>
      <c r="DW29" s="99"/>
      <c r="DX29" s="1"/>
      <c r="EE29" s="1"/>
      <c r="EK29" s="98"/>
      <c r="EL29" s="98"/>
      <c r="EM29" s="98"/>
      <c r="EN29" s="98"/>
      <c r="EO29" s="98"/>
      <c r="EP29" s="98"/>
      <c r="EQ29" s="98"/>
      <c r="ER29" s="241"/>
    </row>
    <row r="30" spans="1:148" s="93" customFormat="1">
      <c r="A30" s="95"/>
      <c r="B30" s="95"/>
      <c r="D30" s="97"/>
      <c r="E30" s="97"/>
      <c r="F30" s="97"/>
      <c r="G30" s="219"/>
      <c r="H30" s="98"/>
      <c r="I30" s="96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92"/>
      <c r="AP30" s="92"/>
      <c r="AQ30" s="92"/>
      <c r="AR30" s="1"/>
      <c r="AS30" s="228"/>
      <c r="AT30" s="1"/>
      <c r="AU30" s="1"/>
      <c r="AV30" s="1"/>
      <c r="AW30" s="1"/>
      <c r="AX30" s="1"/>
      <c r="AY30" s="1"/>
      <c r="AZ30" s="1"/>
      <c r="BA30" s="1"/>
      <c r="BB30" s="1"/>
      <c r="BC30" s="102"/>
      <c r="BD30" s="1"/>
      <c r="BE30" s="1"/>
      <c r="BF30" s="1"/>
      <c r="BG30" s="1"/>
      <c r="BH30" s="1"/>
      <c r="BI30" s="1"/>
      <c r="BJ30" s="1"/>
      <c r="BK30" s="1"/>
      <c r="BL30" s="1"/>
      <c r="BM30" s="1"/>
      <c r="BN30" s="1"/>
      <c r="BO30" s="1"/>
      <c r="BP30" s="1"/>
      <c r="BQ30" s="1"/>
      <c r="BR30" s="1"/>
      <c r="BS30" s="1"/>
      <c r="BT30" s="1"/>
      <c r="BU30" s="1"/>
      <c r="BV30" s="1"/>
      <c r="BW30" s="1"/>
      <c r="BX30" s="1"/>
      <c r="BY30" s="136"/>
      <c r="BZ30" s="136"/>
      <c r="CA30" s="136"/>
      <c r="CB30" s="136"/>
      <c r="CC30" s="136"/>
      <c r="CD30" s="136"/>
      <c r="CE30" s="136"/>
      <c r="CF30" s="147"/>
      <c r="CG30" s="136"/>
      <c r="CH30" s="147"/>
      <c r="CI30" s="147"/>
      <c r="CJ30" s="136"/>
      <c r="CK30" s="136"/>
      <c r="CL30" s="136"/>
      <c r="CM30" s="136"/>
      <c r="CN30" s="136"/>
      <c r="CO30" s="136"/>
      <c r="CP30" s="136"/>
      <c r="CQ30" s="1"/>
      <c r="CR30" s="1"/>
      <c r="CS30" s="225"/>
      <c r="CT30" s="1"/>
      <c r="CU30" s="136"/>
      <c r="CV30" s="136"/>
      <c r="CW30" s="136"/>
      <c r="CX30" s="136"/>
      <c r="CY30" s="136"/>
      <c r="CZ30" s="136"/>
      <c r="DA30" s="136"/>
      <c r="DB30" s="136"/>
      <c r="DC30" s="136"/>
      <c r="DD30" s="136"/>
      <c r="DE30" s="210"/>
      <c r="DF30" s="210"/>
      <c r="DG30" s="255"/>
      <c r="DH30" s="136"/>
      <c r="DI30" s="1"/>
      <c r="DJ30" s="1"/>
      <c r="DK30" s="102"/>
      <c r="DL30" s="102"/>
      <c r="DM30" s="102"/>
      <c r="DN30" s="102"/>
      <c r="DO30" s="102"/>
      <c r="DP30" s="143"/>
      <c r="DQ30" s="143"/>
      <c r="DR30" s="143"/>
      <c r="DS30" s="102"/>
      <c r="DT30" s="1"/>
      <c r="DU30" s="1"/>
      <c r="DV30" s="1"/>
      <c r="DW30" s="99"/>
      <c r="DX30" s="1"/>
      <c r="EE30" s="1"/>
      <c r="EK30" s="98"/>
      <c r="EL30" s="98"/>
      <c r="EM30" s="98"/>
      <c r="EN30" s="98"/>
      <c r="EO30" s="98"/>
      <c r="EP30" s="98"/>
      <c r="EQ30" s="98"/>
      <c r="ER30" s="241"/>
    </row>
    <row r="31" spans="1:148" s="93" customFormat="1">
      <c r="A31" s="95"/>
      <c r="B31" s="95"/>
      <c r="D31" s="97"/>
      <c r="E31" s="97"/>
      <c r="F31" s="97"/>
      <c r="G31" s="219"/>
      <c r="H31" s="98"/>
      <c r="I31" s="96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92"/>
      <c r="AP31" s="92"/>
      <c r="AQ31" s="92"/>
      <c r="AR31" s="1"/>
      <c r="AS31" s="228"/>
      <c r="AT31" s="1"/>
      <c r="AU31" s="1"/>
      <c r="AV31" s="1"/>
      <c r="AW31" s="1"/>
      <c r="AX31" s="1"/>
      <c r="AY31" s="1"/>
      <c r="AZ31" s="1"/>
      <c r="BA31" s="1"/>
      <c r="BB31" s="1"/>
      <c r="BC31" s="102"/>
      <c r="BD31" s="1"/>
      <c r="BE31" s="1"/>
      <c r="BF31" s="1"/>
      <c r="BG31" s="1"/>
      <c r="BH31" s="1"/>
      <c r="BI31" s="1"/>
      <c r="BJ31" s="1"/>
      <c r="BK31" s="1"/>
      <c r="BL31" s="1"/>
      <c r="BM31" s="1"/>
      <c r="BN31" s="1"/>
      <c r="BO31" s="1"/>
      <c r="BP31" s="1"/>
      <c r="BQ31" s="1"/>
      <c r="BR31" s="1"/>
      <c r="BS31" s="1"/>
      <c r="BT31" s="1"/>
      <c r="BU31" s="1"/>
      <c r="BV31" s="1"/>
      <c r="BW31" s="1"/>
      <c r="BX31" s="1"/>
      <c r="BY31" s="136"/>
      <c r="BZ31" s="136"/>
      <c r="CA31" s="136"/>
      <c r="CB31" s="136"/>
      <c r="CC31" s="136"/>
      <c r="CD31" s="136"/>
      <c r="CE31" s="136"/>
      <c r="CF31" s="147"/>
      <c r="CG31" s="136"/>
      <c r="CH31" s="147"/>
      <c r="CI31" s="147"/>
      <c r="CJ31" s="136"/>
      <c r="CK31" s="136"/>
      <c r="CL31" s="136"/>
      <c r="CM31" s="136"/>
      <c r="CN31" s="136"/>
      <c r="CO31" s="136"/>
      <c r="CP31" s="136"/>
      <c r="CQ31" s="1"/>
      <c r="CR31" s="1"/>
      <c r="CS31" s="225"/>
      <c r="CT31" s="1"/>
      <c r="CU31" s="136"/>
      <c r="CV31" s="136"/>
      <c r="CW31" s="136"/>
      <c r="CX31" s="136"/>
      <c r="CY31" s="136"/>
      <c r="CZ31" s="136"/>
      <c r="DA31" s="136"/>
      <c r="DB31" s="136"/>
      <c r="DC31" s="136"/>
      <c r="DD31" s="136"/>
      <c r="DE31" s="210"/>
      <c r="DF31" s="210"/>
      <c r="DG31" s="255"/>
      <c r="DH31" s="136"/>
      <c r="DI31" s="1"/>
      <c r="DJ31" s="1"/>
      <c r="DK31" s="102"/>
      <c r="DL31" s="102"/>
      <c r="DM31" s="102"/>
      <c r="DN31" s="102"/>
      <c r="DO31" s="102"/>
      <c r="DP31" s="143"/>
      <c r="DQ31" s="143"/>
      <c r="DR31" s="143"/>
      <c r="DS31" s="102"/>
      <c r="DT31" s="1"/>
      <c r="DU31" s="1"/>
      <c r="DV31" s="1"/>
      <c r="DW31" s="99"/>
      <c r="DX31" s="1"/>
      <c r="EE31" s="1"/>
      <c r="EK31" s="98"/>
      <c r="EL31" s="98"/>
      <c r="EM31" s="98"/>
      <c r="EN31" s="98"/>
      <c r="EO31" s="98"/>
      <c r="EP31" s="98"/>
      <c r="EQ31" s="98"/>
      <c r="ER31" s="241"/>
    </row>
    <row r="32" spans="1:148" s="93" customFormat="1">
      <c r="A32" s="95"/>
      <c r="B32" s="95"/>
      <c r="D32" s="97"/>
      <c r="E32" s="97"/>
      <c r="F32" s="97"/>
      <c r="G32" s="219"/>
      <c r="H32" s="98"/>
      <c r="I32" s="96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92"/>
      <c r="AP32" s="92"/>
      <c r="AQ32" s="92"/>
      <c r="AR32" s="1"/>
      <c r="AS32" s="228"/>
      <c r="AT32" s="1"/>
      <c r="AU32" s="1"/>
      <c r="AV32" s="1"/>
      <c r="AW32" s="1"/>
      <c r="AX32" s="1"/>
      <c r="AY32" s="1"/>
      <c r="AZ32" s="1"/>
      <c r="BA32" s="1"/>
      <c r="BB32" s="1"/>
      <c r="BC32" s="102"/>
      <c r="BD32" s="1"/>
      <c r="BE32" s="1"/>
      <c r="BF32" s="1"/>
      <c r="BG32" s="1"/>
      <c r="BH32" s="1"/>
      <c r="BI32" s="1"/>
      <c r="BJ32" s="1"/>
      <c r="BK32" s="1"/>
      <c r="BL32" s="1"/>
      <c r="BM32" s="1"/>
      <c r="BN32" s="1"/>
      <c r="BO32" s="1"/>
      <c r="BP32" s="1"/>
      <c r="BQ32" s="1"/>
      <c r="BR32" s="1"/>
      <c r="BS32" s="1"/>
      <c r="BT32" s="1"/>
      <c r="BU32" s="1"/>
      <c r="BV32" s="1"/>
      <c r="BW32" s="1"/>
      <c r="BX32" s="1"/>
      <c r="BY32" s="136"/>
      <c r="BZ32" s="136"/>
      <c r="CA32" s="136"/>
      <c r="CB32" s="136"/>
      <c r="CC32" s="136"/>
      <c r="CD32" s="136"/>
      <c r="CE32" s="136"/>
      <c r="CF32" s="147"/>
      <c r="CG32" s="136"/>
      <c r="CH32" s="147"/>
      <c r="CI32" s="147"/>
      <c r="CJ32" s="136"/>
      <c r="CK32" s="136"/>
      <c r="CL32" s="136"/>
      <c r="CM32" s="136"/>
      <c r="CN32" s="136"/>
      <c r="CO32" s="136"/>
      <c r="CP32" s="136"/>
      <c r="CQ32" s="1"/>
      <c r="CR32" s="1"/>
      <c r="CS32" s="225"/>
      <c r="CT32" s="1"/>
      <c r="CU32" s="136"/>
      <c r="CV32" s="136"/>
      <c r="CW32" s="136"/>
      <c r="CX32" s="136"/>
      <c r="CY32" s="136"/>
      <c r="CZ32" s="136"/>
      <c r="DA32" s="136"/>
      <c r="DB32" s="136"/>
      <c r="DC32" s="136"/>
      <c r="DD32" s="136"/>
      <c r="DE32" s="210"/>
      <c r="DF32" s="210"/>
      <c r="DG32" s="255"/>
      <c r="DH32" s="136"/>
      <c r="DI32" s="1"/>
      <c r="DJ32" s="1"/>
      <c r="DK32" s="102"/>
      <c r="DL32" s="102"/>
      <c r="DM32" s="102"/>
      <c r="DN32" s="102"/>
      <c r="DO32" s="102"/>
      <c r="DP32" s="143"/>
      <c r="DQ32" s="143"/>
      <c r="DR32" s="143"/>
      <c r="DS32" s="102"/>
      <c r="DT32" s="1"/>
      <c r="DU32" s="1"/>
      <c r="DV32" s="1"/>
      <c r="DW32" s="99"/>
      <c r="DX32" s="1"/>
      <c r="EE32" s="1"/>
      <c r="EK32" s="98"/>
      <c r="EL32" s="98"/>
      <c r="EM32" s="98"/>
      <c r="EN32" s="98"/>
      <c r="EO32" s="98"/>
      <c r="EP32" s="98"/>
      <c r="EQ32" s="98"/>
      <c r="ER32" s="241"/>
    </row>
    <row r="33" spans="1:148" s="93" customFormat="1">
      <c r="A33" s="95"/>
      <c r="B33" s="95"/>
      <c r="D33" s="97"/>
      <c r="E33" s="97"/>
      <c r="F33" s="97"/>
      <c r="G33" s="219"/>
      <c r="H33" s="98"/>
      <c r="I33" s="96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92"/>
      <c r="AP33" s="92"/>
      <c r="AQ33" s="92"/>
      <c r="AR33" s="1"/>
      <c r="AS33" s="228"/>
      <c r="AT33" s="1"/>
      <c r="AU33" s="1"/>
      <c r="AV33" s="1"/>
      <c r="AW33" s="1"/>
      <c r="AX33" s="1"/>
      <c r="AY33" s="1"/>
      <c r="AZ33" s="1"/>
      <c r="BA33" s="1"/>
      <c r="BB33" s="1"/>
      <c r="BC33" s="102"/>
      <c r="BD33" s="1"/>
      <c r="BE33" s="1"/>
      <c r="BF33" s="1"/>
      <c r="BG33" s="1"/>
      <c r="BH33" s="1"/>
      <c r="BI33" s="1"/>
      <c r="BJ33" s="1"/>
      <c r="BK33" s="1"/>
      <c r="BL33" s="1"/>
      <c r="BM33" s="1"/>
      <c r="BN33" s="1"/>
      <c r="BO33" s="1"/>
      <c r="BP33" s="1"/>
      <c r="BQ33" s="1"/>
      <c r="BR33" s="1"/>
      <c r="BS33" s="1"/>
      <c r="BT33" s="1"/>
      <c r="BU33" s="1"/>
      <c r="BV33" s="1"/>
      <c r="BW33" s="1"/>
      <c r="BX33" s="1"/>
      <c r="BY33" s="136"/>
      <c r="BZ33" s="136"/>
      <c r="CA33" s="136"/>
      <c r="CB33" s="136"/>
      <c r="CC33" s="136"/>
      <c r="CD33" s="136"/>
      <c r="CE33" s="136"/>
      <c r="CF33" s="147"/>
      <c r="CG33" s="136"/>
      <c r="CH33" s="147"/>
      <c r="CI33" s="147"/>
      <c r="CJ33" s="136"/>
      <c r="CK33" s="136"/>
      <c r="CL33" s="136"/>
      <c r="CM33" s="136"/>
      <c r="CN33" s="136"/>
      <c r="CO33" s="136"/>
      <c r="CP33" s="136"/>
      <c r="CQ33" s="1"/>
      <c r="CR33" s="1"/>
      <c r="CS33" s="225"/>
      <c r="CT33" s="1"/>
      <c r="CU33" s="136"/>
      <c r="CV33" s="136"/>
      <c r="CW33" s="136"/>
      <c r="CX33" s="136"/>
      <c r="CY33" s="136"/>
      <c r="CZ33" s="136"/>
      <c r="DA33" s="136"/>
      <c r="DB33" s="136"/>
      <c r="DC33" s="136"/>
      <c r="DD33" s="136"/>
      <c r="DE33" s="210"/>
      <c r="DF33" s="210"/>
      <c r="DG33" s="255"/>
      <c r="DH33" s="136"/>
      <c r="DI33" s="1"/>
      <c r="DJ33" s="1"/>
      <c r="DK33" s="102"/>
      <c r="DL33" s="102"/>
      <c r="DM33" s="102"/>
      <c r="DN33" s="102"/>
      <c r="DO33" s="102"/>
      <c r="DP33" s="143"/>
      <c r="DQ33" s="143"/>
      <c r="DR33" s="143"/>
      <c r="DS33" s="102"/>
      <c r="DT33" s="1"/>
      <c r="DU33" s="1"/>
      <c r="DV33" s="1"/>
      <c r="DW33" s="99"/>
      <c r="DX33" s="1"/>
      <c r="EE33" s="1"/>
      <c r="EK33" s="98"/>
      <c r="EL33" s="98"/>
      <c r="EM33" s="98"/>
      <c r="EN33" s="98"/>
      <c r="EO33" s="98"/>
      <c r="EP33" s="98"/>
      <c r="EQ33" s="98"/>
      <c r="ER33" s="241"/>
    </row>
    <row r="34" spans="1:148" s="93" customFormat="1">
      <c r="A34" s="95"/>
      <c r="B34" s="95"/>
      <c r="D34" s="97"/>
      <c r="E34" s="97"/>
      <c r="F34" s="97"/>
      <c r="G34" s="219"/>
      <c r="H34" s="98"/>
      <c r="I34" s="96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92"/>
      <c r="AP34" s="92"/>
      <c r="AQ34" s="92"/>
      <c r="AR34" s="1"/>
      <c r="AS34" s="228"/>
      <c r="AT34" s="1"/>
      <c r="AU34" s="1"/>
      <c r="AV34" s="1"/>
      <c r="AW34" s="1"/>
      <c r="AX34" s="1"/>
      <c r="AY34" s="1"/>
      <c r="AZ34" s="1"/>
      <c r="BA34" s="1"/>
      <c r="BB34" s="1"/>
      <c r="BC34" s="102"/>
      <c r="BD34" s="1"/>
      <c r="BE34" s="1"/>
      <c r="BF34" s="1"/>
      <c r="BG34" s="1"/>
      <c r="BH34" s="1"/>
      <c r="BI34" s="1"/>
      <c r="BJ34" s="1"/>
      <c r="BK34" s="1"/>
      <c r="BL34" s="1"/>
      <c r="BM34" s="1"/>
      <c r="BN34" s="1"/>
      <c r="BO34" s="1"/>
      <c r="BP34" s="1"/>
      <c r="BQ34" s="1"/>
      <c r="BR34" s="1"/>
      <c r="BS34" s="1"/>
      <c r="BT34" s="1"/>
      <c r="BU34" s="1"/>
      <c r="BV34" s="1"/>
      <c r="BW34" s="1"/>
      <c r="BX34" s="1"/>
      <c r="BY34" s="136"/>
      <c r="BZ34" s="136"/>
      <c r="CA34" s="136"/>
      <c r="CB34" s="136"/>
      <c r="CC34" s="136"/>
      <c r="CD34" s="136"/>
      <c r="CE34" s="136"/>
      <c r="CF34" s="147"/>
      <c r="CG34" s="136"/>
      <c r="CH34" s="147"/>
      <c r="CI34" s="147"/>
      <c r="CJ34" s="136"/>
      <c r="CK34" s="136"/>
      <c r="CL34" s="136"/>
      <c r="CM34" s="136"/>
      <c r="CN34" s="136"/>
      <c r="CO34" s="136"/>
      <c r="CP34" s="136"/>
      <c r="CQ34" s="1"/>
      <c r="CR34" s="1"/>
      <c r="CS34" s="225"/>
      <c r="CT34" s="1"/>
      <c r="CU34" s="136"/>
      <c r="CV34" s="136"/>
      <c r="CW34" s="136"/>
      <c r="CX34" s="136"/>
      <c r="CY34" s="136"/>
      <c r="CZ34" s="136"/>
      <c r="DA34" s="136"/>
      <c r="DB34" s="136"/>
      <c r="DC34" s="136"/>
      <c r="DD34" s="136"/>
      <c r="DE34" s="210"/>
      <c r="DF34" s="210"/>
      <c r="DG34" s="255"/>
      <c r="DH34" s="136"/>
      <c r="DI34" s="1"/>
      <c r="DJ34" s="1"/>
      <c r="DK34" s="102"/>
      <c r="DL34" s="102"/>
      <c r="DM34" s="102"/>
      <c r="DN34" s="102"/>
      <c r="DO34" s="102"/>
      <c r="DP34" s="143"/>
      <c r="DQ34" s="143"/>
      <c r="DR34" s="143"/>
      <c r="DS34" s="102"/>
      <c r="DT34" s="1"/>
      <c r="DU34" s="1"/>
      <c r="DV34" s="1"/>
      <c r="DW34" s="99"/>
      <c r="DX34" s="1"/>
      <c r="EE34" s="1"/>
      <c r="EK34" s="98"/>
      <c r="EL34" s="98"/>
      <c r="EM34" s="98"/>
      <c r="EN34" s="98"/>
      <c r="EO34" s="98"/>
      <c r="EP34" s="98"/>
      <c r="EQ34" s="98"/>
      <c r="ER34" s="241"/>
    </row>
    <row r="35" spans="1:148" s="93" customFormat="1">
      <c r="A35" s="95"/>
      <c r="B35" s="95"/>
      <c r="D35" s="97"/>
      <c r="E35" s="97"/>
      <c r="F35" s="97"/>
      <c r="G35" s="219"/>
      <c r="H35" s="98"/>
      <c r="I35" s="96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92"/>
      <c r="AP35" s="92"/>
      <c r="AQ35" s="92"/>
      <c r="AR35" s="1"/>
      <c r="AS35" s="228"/>
      <c r="AT35" s="1"/>
      <c r="AU35" s="1"/>
      <c r="AV35" s="1"/>
      <c r="AW35" s="1"/>
      <c r="AX35" s="1"/>
      <c r="AY35" s="1"/>
      <c r="AZ35" s="1"/>
      <c r="BA35" s="1"/>
      <c r="BB35" s="1"/>
      <c r="BC35" s="102"/>
      <c r="BD35" s="1"/>
      <c r="BE35" s="1"/>
      <c r="BF35" s="1"/>
      <c r="BG35" s="1"/>
      <c r="BH35" s="1"/>
      <c r="BI35" s="1"/>
      <c r="BJ35" s="1"/>
      <c r="BK35" s="1"/>
      <c r="BL35" s="1"/>
      <c r="BM35" s="1"/>
      <c r="BN35" s="1"/>
      <c r="BO35" s="1"/>
      <c r="BP35" s="1"/>
      <c r="BQ35" s="1"/>
      <c r="BR35" s="1"/>
      <c r="BS35" s="1"/>
      <c r="BT35" s="1"/>
      <c r="BU35" s="1"/>
      <c r="BV35" s="1"/>
      <c r="BW35" s="1"/>
      <c r="BX35" s="1"/>
      <c r="BY35" s="136"/>
      <c r="BZ35" s="136"/>
      <c r="CA35" s="136"/>
      <c r="CB35" s="136"/>
      <c r="CC35" s="136"/>
      <c r="CD35" s="136"/>
      <c r="CE35" s="136"/>
      <c r="CF35" s="147"/>
      <c r="CG35" s="136"/>
      <c r="CH35" s="147"/>
      <c r="CI35" s="147"/>
      <c r="CJ35" s="136"/>
      <c r="CK35" s="136"/>
      <c r="CL35" s="136"/>
      <c r="CM35" s="136"/>
      <c r="CN35" s="136"/>
      <c r="CO35" s="136"/>
      <c r="CP35" s="136"/>
      <c r="CQ35" s="1"/>
      <c r="CR35" s="1"/>
      <c r="CS35" s="225"/>
      <c r="CT35" s="1"/>
      <c r="CU35" s="136"/>
      <c r="CV35" s="136"/>
      <c r="CW35" s="136"/>
      <c r="CX35" s="136"/>
      <c r="CY35" s="136"/>
      <c r="CZ35" s="136"/>
      <c r="DA35" s="136"/>
      <c r="DB35" s="136"/>
      <c r="DC35" s="136"/>
      <c r="DD35" s="136"/>
      <c r="DE35" s="210"/>
      <c r="DF35" s="210"/>
      <c r="DG35" s="255"/>
      <c r="DH35" s="136"/>
      <c r="DI35" s="1"/>
      <c r="DJ35" s="1"/>
      <c r="DK35" s="102"/>
      <c r="DL35" s="102"/>
      <c r="DM35" s="102"/>
      <c r="DN35" s="102"/>
      <c r="DO35" s="102"/>
      <c r="DP35" s="143"/>
      <c r="DQ35" s="143"/>
      <c r="DR35" s="143"/>
      <c r="DS35" s="102"/>
      <c r="DT35" s="1"/>
      <c r="DU35" s="1"/>
      <c r="DV35" s="1"/>
      <c r="DW35" s="99"/>
      <c r="DX35" s="1"/>
      <c r="EE35" s="1"/>
      <c r="EK35" s="98"/>
      <c r="EL35" s="98"/>
      <c r="EM35" s="98"/>
      <c r="EN35" s="98"/>
      <c r="EO35" s="98"/>
      <c r="EP35" s="98"/>
      <c r="EQ35" s="98"/>
      <c r="ER35" s="241"/>
    </row>
    <row r="36" spans="1:148" s="93" customFormat="1">
      <c r="A36" s="95"/>
      <c r="B36" s="95"/>
      <c r="D36" s="97"/>
      <c r="E36" s="97"/>
      <c r="F36" s="97"/>
      <c r="G36" s="219"/>
      <c r="H36" s="98"/>
      <c r="I36" s="96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92"/>
      <c r="AP36" s="92"/>
      <c r="AQ36" s="92"/>
      <c r="AR36" s="1"/>
      <c r="AS36" s="228"/>
      <c r="AT36" s="1"/>
      <c r="AU36" s="1"/>
      <c r="AV36" s="1"/>
      <c r="AW36" s="1"/>
      <c r="AX36" s="1"/>
      <c r="AY36" s="1"/>
      <c r="AZ36" s="1"/>
      <c r="BA36" s="1"/>
      <c r="BB36" s="1"/>
      <c r="BC36" s="102"/>
      <c r="BD36" s="1"/>
      <c r="BE36" s="1"/>
      <c r="BF36" s="1"/>
      <c r="BG36" s="1"/>
      <c r="BH36" s="1"/>
      <c r="BI36" s="1"/>
      <c r="BJ36" s="1"/>
      <c r="BK36" s="1"/>
      <c r="BL36" s="1"/>
      <c r="BM36" s="1"/>
      <c r="BN36" s="1"/>
      <c r="BO36" s="1"/>
      <c r="BP36" s="1"/>
      <c r="BQ36" s="1"/>
      <c r="BR36" s="1"/>
      <c r="BS36" s="1"/>
      <c r="BT36" s="1"/>
      <c r="BU36" s="1"/>
      <c r="BV36" s="1"/>
      <c r="BW36" s="1"/>
      <c r="BX36" s="1"/>
      <c r="BY36" s="136"/>
      <c r="BZ36" s="136"/>
      <c r="CA36" s="136"/>
      <c r="CB36" s="136"/>
      <c r="CC36" s="136"/>
      <c r="CD36" s="136"/>
      <c r="CE36" s="136"/>
      <c r="CF36" s="147"/>
      <c r="CG36" s="136"/>
      <c r="CH36" s="147"/>
      <c r="CI36" s="147"/>
      <c r="CJ36" s="136"/>
      <c r="CK36" s="136"/>
      <c r="CL36" s="136"/>
      <c r="CM36" s="136"/>
      <c r="CN36" s="136"/>
      <c r="CO36" s="136"/>
      <c r="CP36" s="136"/>
      <c r="CQ36" s="1"/>
      <c r="CR36" s="1"/>
      <c r="CS36" s="225"/>
      <c r="CT36" s="1"/>
      <c r="CU36" s="136"/>
      <c r="CV36" s="136"/>
      <c r="CW36" s="136"/>
      <c r="CX36" s="136"/>
      <c r="CY36" s="136"/>
      <c r="CZ36" s="136"/>
      <c r="DA36" s="136"/>
      <c r="DB36" s="136"/>
      <c r="DC36" s="136"/>
      <c r="DD36" s="136"/>
      <c r="DE36" s="210"/>
      <c r="DF36" s="210"/>
      <c r="DG36" s="255"/>
      <c r="DH36" s="136"/>
      <c r="DI36" s="1"/>
      <c r="DJ36" s="1"/>
      <c r="DK36" s="102"/>
      <c r="DL36" s="102"/>
      <c r="DM36" s="102"/>
      <c r="DN36" s="102"/>
      <c r="DO36" s="102"/>
      <c r="DP36" s="143"/>
      <c r="DQ36" s="143"/>
      <c r="DR36" s="143"/>
      <c r="DS36" s="102"/>
      <c r="DT36" s="1"/>
      <c r="DU36" s="1"/>
      <c r="DV36" s="1"/>
      <c r="DW36" s="99"/>
      <c r="DX36" s="1"/>
      <c r="EE36" s="1"/>
      <c r="EK36" s="98"/>
      <c r="EL36" s="98"/>
      <c r="EM36" s="98"/>
      <c r="EN36" s="98"/>
      <c r="EO36" s="98"/>
      <c r="EP36" s="98"/>
      <c r="EQ36" s="98"/>
      <c r="ER36" s="241"/>
    </row>
    <row r="37" spans="1:148" s="93" customFormat="1">
      <c r="A37" s="95"/>
      <c r="B37" s="95"/>
      <c r="D37" s="97"/>
      <c r="E37" s="97"/>
      <c r="F37" s="97"/>
      <c r="G37" s="219"/>
      <c r="H37" s="98"/>
      <c r="I37" s="96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92"/>
      <c r="AP37" s="92"/>
      <c r="AQ37" s="92"/>
      <c r="AR37" s="1"/>
      <c r="AS37" s="228"/>
      <c r="AT37" s="1"/>
      <c r="AU37" s="1"/>
      <c r="AV37" s="1"/>
      <c r="AW37" s="1"/>
      <c r="AX37" s="1"/>
      <c r="AY37" s="1"/>
      <c r="AZ37" s="1"/>
      <c r="BA37" s="1"/>
      <c r="BB37" s="1"/>
      <c r="BC37" s="102"/>
      <c r="BD37" s="1"/>
      <c r="BE37" s="1"/>
      <c r="BF37" s="1"/>
      <c r="BG37" s="1"/>
      <c r="BH37" s="1"/>
      <c r="BI37" s="1"/>
      <c r="BJ37" s="1"/>
      <c r="BK37" s="1"/>
      <c r="BL37" s="1"/>
      <c r="BM37" s="1"/>
      <c r="BN37" s="1"/>
      <c r="BO37" s="1"/>
      <c r="BP37" s="1"/>
      <c r="BQ37" s="1"/>
      <c r="BR37" s="1"/>
      <c r="BS37" s="1"/>
      <c r="BT37" s="1"/>
      <c r="BU37" s="1"/>
      <c r="BV37" s="1"/>
      <c r="BW37" s="1"/>
      <c r="BX37" s="1"/>
      <c r="BY37" s="136"/>
      <c r="BZ37" s="136"/>
      <c r="CA37" s="136"/>
      <c r="CB37" s="136"/>
      <c r="CC37" s="136"/>
      <c r="CD37" s="136"/>
      <c r="CE37" s="136"/>
      <c r="CF37" s="147"/>
      <c r="CG37" s="136"/>
      <c r="CH37" s="147"/>
      <c r="CI37" s="147"/>
      <c r="CJ37" s="136"/>
      <c r="CK37" s="136"/>
      <c r="CL37" s="136"/>
      <c r="CM37" s="136"/>
      <c r="CN37" s="136"/>
      <c r="CO37" s="136"/>
      <c r="CP37" s="136"/>
      <c r="CQ37" s="1"/>
      <c r="CR37" s="1"/>
      <c r="CS37" s="225"/>
      <c r="CT37" s="1"/>
      <c r="CU37" s="136"/>
      <c r="CV37" s="136"/>
      <c r="CW37" s="136"/>
      <c r="CX37" s="136"/>
      <c r="CY37" s="136"/>
      <c r="CZ37" s="136"/>
      <c r="DA37" s="136"/>
      <c r="DB37" s="136"/>
      <c r="DC37" s="136"/>
      <c r="DD37" s="136"/>
      <c r="DE37" s="210"/>
      <c r="DF37" s="210"/>
      <c r="DG37" s="255"/>
      <c r="DH37" s="136"/>
      <c r="DI37" s="1"/>
      <c r="DJ37" s="1"/>
      <c r="DK37" s="102"/>
      <c r="DL37" s="102"/>
      <c r="DM37" s="102"/>
      <c r="DN37" s="102"/>
      <c r="DO37" s="102"/>
      <c r="DP37" s="143"/>
      <c r="DQ37" s="143"/>
      <c r="DR37" s="143"/>
      <c r="DS37" s="102"/>
      <c r="DT37" s="1"/>
      <c r="DU37" s="1"/>
      <c r="DV37" s="1"/>
      <c r="DW37" s="99"/>
      <c r="DX37" s="1"/>
      <c r="EE37" s="1"/>
      <c r="EK37" s="98"/>
      <c r="EL37" s="98"/>
      <c r="EM37" s="98"/>
      <c r="EN37" s="98"/>
      <c r="EO37" s="98"/>
      <c r="EP37" s="98"/>
      <c r="EQ37" s="98"/>
      <c r="ER37" s="241"/>
    </row>
    <row r="38" spans="1:148" s="93" customFormat="1">
      <c r="A38" s="95"/>
      <c r="B38" s="95"/>
      <c r="D38" s="97"/>
      <c r="E38" s="97"/>
      <c r="F38" s="97"/>
      <c r="G38" s="219"/>
      <c r="H38" s="98"/>
      <c r="I38" s="96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92"/>
      <c r="AP38" s="92"/>
      <c r="AQ38" s="92"/>
      <c r="AR38" s="1"/>
      <c r="AS38" s="228"/>
      <c r="AT38" s="1"/>
      <c r="AU38" s="1"/>
      <c r="AV38" s="1"/>
      <c r="AW38" s="1"/>
      <c r="AX38" s="1"/>
      <c r="AY38" s="1"/>
      <c r="AZ38" s="1"/>
      <c r="BA38" s="1"/>
      <c r="BB38" s="1"/>
      <c r="BC38" s="102"/>
      <c r="BD38" s="1"/>
      <c r="BE38" s="1"/>
      <c r="BF38" s="1"/>
      <c r="BG38" s="1"/>
      <c r="BH38" s="1"/>
      <c r="BI38" s="1"/>
      <c r="BJ38" s="1"/>
      <c r="BK38" s="1"/>
      <c r="BL38" s="1"/>
      <c r="BM38" s="1"/>
      <c r="BN38" s="1"/>
      <c r="BO38" s="1"/>
      <c r="BP38" s="1"/>
      <c r="BQ38" s="1"/>
      <c r="BR38" s="1"/>
      <c r="BS38" s="1"/>
      <c r="BT38" s="1"/>
      <c r="BU38" s="1"/>
      <c r="BV38" s="1"/>
      <c r="BW38" s="1"/>
      <c r="BX38" s="1"/>
      <c r="BY38" s="136"/>
      <c r="BZ38" s="136"/>
      <c r="CA38" s="136"/>
      <c r="CB38" s="136"/>
      <c r="CC38" s="136"/>
      <c r="CD38" s="136"/>
      <c r="CE38" s="136"/>
      <c r="CF38" s="147"/>
      <c r="CG38" s="136"/>
      <c r="CH38" s="147"/>
      <c r="CI38" s="147"/>
      <c r="CJ38" s="136"/>
      <c r="CK38" s="136"/>
      <c r="CL38" s="136"/>
      <c r="CM38" s="136"/>
      <c r="CN38" s="136"/>
      <c r="CO38" s="136"/>
      <c r="CP38" s="136"/>
      <c r="CQ38" s="1"/>
      <c r="CR38" s="1"/>
      <c r="CS38" s="225"/>
      <c r="CT38" s="1"/>
      <c r="CU38" s="136"/>
      <c r="CV38" s="136"/>
      <c r="CW38" s="136"/>
      <c r="CX38" s="136"/>
      <c r="CY38" s="136"/>
      <c r="CZ38" s="136"/>
      <c r="DA38" s="136"/>
      <c r="DB38" s="136"/>
      <c r="DC38" s="136"/>
      <c r="DD38" s="136"/>
      <c r="DE38" s="210"/>
      <c r="DF38" s="210"/>
      <c r="DG38" s="255"/>
      <c r="DH38" s="136"/>
      <c r="DI38" s="1"/>
      <c r="DJ38" s="1"/>
      <c r="DK38" s="102"/>
      <c r="DL38" s="102"/>
      <c r="DM38" s="102"/>
      <c r="DN38" s="102"/>
      <c r="DO38" s="102"/>
      <c r="DP38" s="143"/>
      <c r="DQ38" s="143"/>
      <c r="DR38" s="143"/>
      <c r="DS38" s="102"/>
      <c r="DT38" s="1"/>
      <c r="DU38" s="1"/>
      <c r="DV38" s="1"/>
      <c r="DW38" s="99"/>
      <c r="DX38" s="1"/>
      <c r="EE38" s="1"/>
      <c r="EK38" s="98"/>
      <c r="EL38" s="98"/>
      <c r="EM38" s="98"/>
      <c r="EN38" s="98"/>
      <c r="EO38" s="98"/>
      <c r="EP38" s="98"/>
      <c r="EQ38" s="98"/>
      <c r="ER38" s="241"/>
    </row>
    <row r="39" spans="1:148" s="93" customFormat="1">
      <c r="A39" s="95"/>
      <c r="B39" s="95"/>
      <c r="D39" s="97"/>
      <c r="E39" s="97"/>
      <c r="F39" s="97"/>
      <c r="G39" s="219"/>
      <c r="H39" s="98"/>
      <c r="I39" s="96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92"/>
      <c r="AP39" s="92"/>
      <c r="AQ39" s="92"/>
      <c r="AR39" s="1"/>
      <c r="AS39" s="228"/>
      <c r="AT39" s="1"/>
      <c r="AU39" s="1"/>
      <c r="AV39" s="1"/>
      <c r="AW39" s="1"/>
      <c r="AX39" s="1"/>
      <c r="AY39" s="1"/>
      <c r="AZ39" s="1"/>
      <c r="BA39" s="1"/>
      <c r="BB39" s="1"/>
      <c r="BC39" s="102"/>
      <c r="BD39" s="1"/>
      <c r="BE39" s="1"/>
      <c r="BF39" s="1"/>
      <c r="BG39" s="1"/>
      <c r="BH39" s="1"/>
      <c r="BI39" s="1"/>
      <c r="BJ39" s="1"/>
      <c r="BK39" s="1"/>
      <c r="BL39" s="1"/>
      <c r="BM39" s="1"/>
      <c r="BN39" s="1"/>
      <c r="BO39" s="1"/>
      <c r="BP39" s="1"/>
      <c r="BQ39" s="1"/>
      <c r="BR39" s="1"/>
      <c r="BS39" s="1"/>
      <c r="BT39" s="1"/>
      <c r="BU39" s="1"/>
      <c r="BV39" s="1"/>
      <c r="BW39" s="1"/>
      <c r="BX39" s="1"/>
      <c r="BY39" s="136"/>
      <c r="BZ39" s="136"/>
      <c r="CA39" s="136"/>
      <c r="CB39" s="136"/>
      <c r="CC39" s="136"/>
      <c r="CD39" s="136"/>
      <c r="CE39" s="136"/>
      <c r="CF39" s="147"/>
      <c r="CG39" s="136"/>
      <c r="CH39" s="147"/>
      <c r="CI39" s="147"/>
      <c r="CJ39" s="136"/>
      <c r="CK39" s="136"/>
      <c r="CL39" s="136"/>
      <c r="CM39" s="136"/>
      <c r="CN39" s="136"/>
      <c r="CO39" s="136"/>
      <c r="CP39" s="136"/>
      <c r="CQ39" s="1"/>
      <c r="CR39" s="1"/>
      <c r="CS39" s="225"/>
      <c r="CT39" s="1"/>
      <c r="CU39" s="136"/>
      <c r="CV39" s="136"/>
      <c r="CW39" s="136"/>
      <c r="CX39" s="136"/>
      <c r="CY39" s="136"/>
      <c r="CZ39" s="136"/>
      <c r="DA39" s="136"/>
      <c r="DB39" s="136"/>
      <c r="DC39" s="136"/>
      <c r="DD39" s="136"/>
      <c r="DE39" s="210"/>
      <c r="DF39" s="210"/>
      <c r="DG39" s="255"/>
      <c r="DH39" s="136"/>
      <c r="DI39" s="1"/>
      <c r="DJ39" s="1"/>
      <c r="DK39" s="102"/>
      <c r="DL39" s="102"/>
      <c r="DM39" s="102"/>
      <c r="DN39" s="102"/>
      <c r="DO39" s="102"/>
      <c r="DP39" s="143"/>
      <c r="DQ39" s="143"/>
      <c r="DR39" s="143"/>
      <c r="DS39" s="102"/>
      <c r="DT39" s="1"/>
      <c r="DU39" s="1"/>
      <c r="DV39" s="1"/>
      <c r="DW39" s="99"/>
      <c r="DX39" s="1"/>
      <c r="EE39" s="1"/>
      <c r="EK39" s="98"/>
      <c r="EL39" s="98"/>
      <c r="EM39" s="98"/>
      <c r="EN39" s="98"/>
      <c r="EO39" s="98"/>
      <c r="EP39" s="98"/>
      <c r="EQ39" s="98"/>
      <c r="ER39" s="241"/>
    </row>
    <row r="40" spans="1:148" s="93" customFormat="1">
      <c r="A40" s="95"/>
      <c r="B40" s="95"/>
      <c r="D40" s="97"/>
      <c r="E40" s="97"/>
      <c r="F40" s="97"/>
      <c r="G40" s="219"/>
      <c r="H40" s="98"/>
      <c r="I40" s="96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92"/>
      <c r="AP40" s="92"/>
      <c r="AQ40" s="92"/>
      <c r="AR40" s="1"/>
      <c r="AS40" s="228"/>
      <c r="AT40" s="1"/>
      <c r="AU40" s="1"/>
      <c r="AV40" s="1"/>
      <c r="AW40" s="1"/>
      <c r="AX40" s="1"/>
      <c r="AY40" s="1"/>
      <c r="AZ40" s="1"/>
      <c r="BA40" s="1"/>
      <c r="BB40" s="1"/>
      <c r="BC40" s="102"/>
      <c r="BD40" s="1"/>
      <c r="BE40" s="1"/>
      <c r="BF40" s="1"/>
      <c r="BG40" s="1"/>
      <c r="BH40" s="1"/>
      <c r="BI40" s="1"/>
      <c r="BJ40" s="1"/>
      <c r="BK40" s="1"/>
      <c r="BL40" s="1"/>
      <c r="BM40" s="1"/>
      <c r="BN40" s="1"/>
      <c r="BO40" s="1"/>
      <c r="BP40" s="1"/>
      <c r="BQ40" s="1"/>
      <c r="BR40" s="1"/>
      <c r="BS40" s="1"/>
      <c r="BT40" s="1"/>
      <c r="BU40" s="1"/>
      <c r="BV40" s="1"/>
      <c r="BW40" s="1"/>
      <c r="BX40" s="1"/>
      <c r="BY40" s="136"/>
      <c r="BZ40" s="136"/>
      <c r="CA40" s="136"/>
      <c r="CB40" s="136"/>
      <c r="CC40" s="136"/>
      <c r="CD40" s="136"/>
      <c r="CE40" s="136"/>
      <c r="CF40" s="147"/>
      <c r="CG40" s="136"/>
      <c r="CH40" s="147"/>
      <c r="CI40" s="147"/>
      <c r="CJ40" s="136"/>
      <c r="CK40" s="136"/>
      <c r="CL40" s="136"/>
      <c r="CM40" s="136"/>
      <c r="CN40" s="136"/>
      <c r="CO40" s="136"/>
      <c r="CP40" s="136"/>
      <c r="CQ40" s="1"/>
      <c r="CR40" s="1"/>
      <c r="CS40" s="225"/>
      <c r="CT40" s="1"/>
      <c r="CU40" s="136"/>
      <c r="CV40" s="136"/>
      <c r="CW40" s="136"/>
      <c r="CX40" s="136"/>
      <c r="CY40" s="136"/>
      <c r="CZ40" s="136"/>
      <c r="DA40" s="136"/>
      <c r="DB40" s="136"/>
      <c r="DC40" s="136"/>
      <c r="DD40" s="136"/>
      <c r="DE40" s="210"/>
      <c r="DF40" s="210"/>
      <c r="DG40" s="255"/>
      <c r="DH40" s="136"/>
      <c r="DI40" s="1"/>
      <c r="DJ40" s="1"/>
      <c r="DK40" s="102"/>
      <c r="DL40" s="102"/>
      <c r="DM40" s="102"/>
      <c r="DN40" s="102"/>
      <c r="DO40" s="102"/>
      <c r="DP40" s="143"/>
      <c r="DQ40" s="143"/>
      <c r="DR40" s="143"/>
      <c r="DS40" s="102"/>
      <c r="DT40" s="1"/>
      <c r="DU40" s="1"/>
      <c r="DV40" s="1"/>
      <c r="DW40" s="99"/>
      <c r="DX40" s="1"/>
      <c r="EE40" s="1"/>
      <c r="EK40" s="98"/>
      <c r="EL40" s="98"/>
      <c r="EM40" s="98"/>
      <c r="EN40" s="98"/>
      <c r="EO40" s="98"/>
      <c r="EP40" s="98"/>
      <c r="EQ40" s="98"/>
      <c r="ER40" s="241"/>
    </row>
    <row r="41" spans="1:148" s="93" customFormat="1">
      <c r="A41" s="95"/>
      <c r="B41" s="95"/>
      <c r="D41" s="97"/>
      <c r="E41" s="97"/>
      <c r="F41" s="97"/>
      <c r="G41" s="219"/>
      <c r="H41" s="98"/>
      <c r="I41" s="96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92"/>
      <c r="AP41" s="92"/>
      <c r="AQ41" s="92"/>
      <c r="AR41" s="1"/>
      <c r="AS41" s="228"/>
      <c r="AT41" s="1"/>
      <c r="AU41" s="1"/>
      <c r="AV41" s="1"/>
      <c r="AW41" s="1"/>
      <c r="AX41" s="1"/>
      <c r="AY41" s="1"/>
      <c r="AZ41" s="1"/>
      <c r="BA41" s="1"/>
      <c r="BB41" s="1"/>
      <c r="BC41" s="102"/>
      <c r="BD41" s="1"/>
      <c r="BE41" s="1"/>
      <c r="BF41" s="1"/>
      <c r="BG41" s="1"/>
      <c r="BH41" s="1"/>
      <c r="BI41" s="1"/>
      <c r="BJ41" s="1"/>
      <c r="BK41" s="1"/>
      <c r="BL41" s="1"/>
      <c r="BM41" s="1"/>
      <c r="BN41" s="1"/>
      <c r="BO41" s="1"/>
      <c r="BP41" s="1"/>
      <c r="BQ41" s="1"/>
      <c r="BR41" s="1"/>
      <c r="BS41" s="1"/>
      <c r="BT41" s="1"/>
      <c r="BU41" s="1"/>
      <c r="BV41" s="1"/>
      <c r="BW41" s="1"/>
      <c r="BX41" s="1"/>
      <c r="BY41" s="136"/>
      <c r="BZ41" s="136"/>
      <c r="CA41" s="136"/>
      <c r="CB41" s="136"/>
      <c r="CC41" s="136"/>
      <c r="CD41" s="136"/>
      <c r="CE41" s="136"/>
      <c r="CF41" s="147"/>
      <c r="CG41" s="136"/>
      <c r="CH41" s="147"/>
      <c r="CI41" s="147"/>
      <c r="CJ41" s="136"/>
      <c r="CK41" s="136"/>
      <c r="CL41" s="136"/>
      <c r="CM41" s="136"/>
      <c r="CN41" s="136"/>
      <c r="CO41" s="136"/>
      <c r="CP41" s="136"/>
      <c r="CQ41" s="1"/>
      <c r="CR41" s="1"/>
      <c r="CS41" s="225"/>
      <c r="CT41" s="1"/>
      <c r="CU41" s="136"/>
      <c r="CV41" s="136"/>
      <c r="CW41" s="136"/>
      <c r="CX41" s="136"/>
      <c r="CY41" s="136"/>
      <c r="CZ41" s="136"/>
      <c r="DA41" s="136"/>
      <c r="DB41" s="136"/>
      <c r="DC41" s="136"/>
      <c r="DD41" s="136"/>
      <c r="DE41" s="210"/>
      <c r="DF41" s="210"/>
      <c r="DG41" s="255"/>
      <c r="DH41" s="136"/>
      <c r="DI41" s="1"/>
      <c r="DJ41" s="1"/>
      <c r="DK41" s="102"/>
      <c r="DL41" s="102"/>
      <c r="DM41" s="102"/>
      <c r="DN41" s="102"/>
      <c r="DO41" s="102"/>
      <c r="DP41" s="143"/>
      <c r="DQ41" s="143"/>
      <c r="DR41" s="143"/>
      <c r="DS41" s="102"/>
      <c r="DT41" s="1"/>
      <c r="DU41" s="1"/>
      <c r="DV41" s="1"/>
      <c r="DW41" s="99"/>
      <c r="DX41" s="1"/>
      <c r="EE41" s="1"/>
      <c r="EK41" s="98"/>
      <c r="EL41" s="98"/>
      <c r="EM41" s="98"/>
      <c r="EN41" s="98"/>
      <c r="EO41" s="98"/>
      <c r="EP41" s="98"/>
      <c r="EQ41" s="98"/>
      <c r="ER41" s="241"/>
    </row>
    <row r="42" spans="1:148" s="93" customFormat="1">
      <c r="A42" s="95"/>
      <c r="B42" s="95"/>
      <c r="D42" s="97"/>
      <c r="E42" s="97"/>
      <c r="F42" s="97"/>
      <c r="G42" s="219"/>
      <c r="H42" s="98"/>
      <c r="I42" s="96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92"/>
      <c r="AP42" s="92"/>
      <c r="AQ42" s="92"/>
      <c r="AR42" s="1"/>
      <c r="AS42" s="228"/>
      <c r="AT42" s="1"/>
      <c r="AU42" s="1"/>
      <c r="AV42" s="1"/>
      <c r="AW42" s="1"/>
      <c r="AX42" s="1"/>
      <c r="AY42" s="1"/>
      <c r="AZ42" s="1"/>
      <c r="BA42" s="1"/>
      <c r="BB42" s="1"/>
      <c r="BC42" s="102"/>
      <c r="BD42" s="1"/>
      <c r="BE42" s="1"/>
      <c r="BF42" s="1"/>
      <c r="BG42" s="1"/>
      <c r="BH42" s="1"/>
      <c r="BI42" s="1"/>
      <c r="BJ42" s="1"/>
      <c r="BK42" s="1"/>
      <c r="BL42" s="1"/>
      <c r="BM42" s="1"/>
      <c r="BN42" s="1"/>
      <c r="BO42" s="1"/>
      <c r="BP42" s="1"/>
      <c r="BQ42" s="1"/>
      <c r="BR42" s="1"/>
      <c r="BS42" s="1"/>
      <c r="BT42" s="1"/>
      <c r="BU42" s="1"/>
      <c r="BV42" s="1"/>
      <c r="BW42" s="1"/>
      <c r="BX42" s="1"/>
      <c r="BY42" s="136"/>
      <c r="BZ42" s="136"/>
      <c r="CA42" s="136"/>
      <c r="CB42" s="136"/>
      <c r="CC42" s="136"/>
      <c r="CD42" s="136"/>
      <c r="CE42" s="136"/>
      <c r="CF42" s="147"/>
      <c r="CG42" s="136"/>
      <c r="CH42" s="147"/>
      <c r="CI42" s="147"/>
      <c r="CJ42" s="136"/>
      <c r="CK42" s="136"/>
      <c r="CL42" s="136"/>
      <c r="CM42" s="136"/>
      <c r="CN42" s="136"/>
      <c r="CO42" s="136"/>
      <c r="CP42" s="136"/>
      <c r="CQ42" s="1"/>
      <c r="CR42" s="1"/>
      <c r="CS42" s="225"/>
      <c r="CT42" s="1"/>
      <c r="CU42" s="136"/>
      <c r="CV42" s="136"/>
      <c r="CW42" s="136"/>
      <c r="CX42" s="136"/>
      <c r="CY42" s="136"/>
      <c r="CZ42" s="136"/>
      <c r="DA42" s="136"/>
      <c r="DB42" s="136"/>
      <c r="DC42" s="136"/>
      <c r="DD42" s="136"/>
      <c r="DE42" s="210"/>
      <c r="DF42" s="210"/>
      <c r="DG42" s="255"/>
      <c r="DH42" s="136"/>
      <c r="DI42" s="1"/>
      <c r="DJ42" s="1"/>
      <c r="DK42" s="102"/>
      <c r="DL42" s="102"/>
      <c r="DM42" s="102"/>
      <c r="DN42" s="102"/>
      <c r="DO42" s="102"/>
      <c r="DP42" s="143"/>
      <c r="DQ42" s="143"/>
      <c r="DR42" s="143"/>
      <c r="DS42" s="102"/>
      <c r="DT42" s="1"/>
      <c r="DU42" s="1"/>
      <c r="DV42" s="1"/>
      <c r="DW42" s="99"/>
      <c r="DX42" s="1"/>
      <c r="EE42" s="1"/>
      <c r="EK42" s="98"/>
      <c r="EL42" s="98"/>
      <c r="EM42" s="98"/>
      <c r="EN42" s="98"/>
      <c r="EO42" s="98"/>
      <c r="EP42" s="98"/>
      <c r="EQ42" s="98"/>
      <c r="ER42" s="241"/>
    </row>
    <row r="43" spans="1:148" s="93" customFormat="1">
      <c r="A43" s="95"/>
      <c r="B43" s="95"/>
      <c r="D43" s="97"/>
      <c r="E43" s="97"/>
      <c r="F43" s="97"/>
      <c r="G43" s="219"/>
      <c r="H43" s="98"/>
      <c r="I43" s="96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92"/>
      <c r="AP43" s="92"/>
      <c r="AQ43" s="92"/>
      <c r="AR43" s="1"/>
      <c r="AS43" s="228"/>
      <c r="AT43" s="1"/>
      <c r="AU43" s="1"/>
      <c r="AV43" s="1"/>
      <c r="AW43" s="1"/>
      <c r="AX43" s="1"/>
      <c r="AY43" s="1"/>
      <c r="AZ43" s="1"/>
      <c r="BA43" s="1"/>
      <c r="BB43" s="1"/>
      <c r="BC43" s="102"/>
      <c r="BD43" s="1"/>
      <c r="BE43" s="1"/>
      <c r="BF43" s="1"/>
      <c r="BG43" s="1"/>
      <c r="BH43" s="1"/>
      <c r="BI43" s="1"/>
      <c r="BJ43" s="1"/>
      <c r="BK43" s="1"/>
      <c r="BL43" s="1"/>
      <c r="BM43" s="1"/>
      <c r="BN43" s="1"/>
      <c r="BO43" s="1"/>
      <c r="BP43" s="1"/>
      <c r="BQ43" s="1"/>
      <c r="BR43" s="1"/>
      <c r="BS43" s="1"/>
      <c r="BT43" s="1"/>
      <c r="BU43" s="1"/>
      <c r="BV43" s="1"/>
      <c r="BW43" s="1"/>
      <c r="BX43" s="1"/>
      <c r="BY43" s="136"/>
      <c r="BZ43" s="136"/>
      <c r="CA43" s="136"/>
      <c r="CB43" s="136"/>
      <c r="CC43" s="136"/>
      <c r="CD43" s="136"/>
      <c r="CE43" s="136"/>
      <c r="CF43" s="147"/>
      <c r="CG43" s="136"/>
      <c r="CH43" s="147"/>
      <c r="CI43" s="147"/>
      <c r="CJ43" s="136"/>
      <c r="CK43" s="136"/>
      <c r="CL43" s="136"/>
      <c r="CM43" s="136"/>
      <c r="CN43" s="136"/>
      <c r="CO43" s="136"/>
      <c r="CP43" s="136"/>
      <c r="CQ43" s="1"/>
      <c r="CR43" s="1"/>
      <c r="CS43" s="225"/>
      <c r="CT43" s="1"/>
      <c r="CU43" s="136"/>
      <c r="CV43" s="136"/>
      <c r="CW43" s="136"/>
      <c r="CX43" s="136"/>
      <c r="CY43" s="136"/>
      <c r="CZ43" s="136"/>
      <c r="DA43" s="136"/>
      <c r="DB43" s="136"/>
      <c r="DC43" s="136"/>
      <c r="DD43" s="136"/>
      <c r="DE43" s="210"/>
      <c r="DF43" s="210"/>
      <c r="DG43" s="255"/>
      <c r="DH43" s="136"/>
      <c r="DI43" s="1"/>
      <c r="DJ43" s="1"/>
      <c r="DK43" s="102"/>
      <c r="DL43" s="102"/>
      <c r="DM43" s="102"/>
      <c r="DN43" s="102"/>
      <c r="DO43" s="102"/>
      <c r="DP43" s="143"/>
      <c r="DQ43" s="143"/>
      <c r="DR43" s="143"/>
      <c r="DS43" s="102"/>
      <c r="DT43" s="1"/>
      <c r="DU43" s="1"/>
      <c r="DV43" s="1"/>
      <c r="DW43" s="99"/>
      <c r="DX43" s="1"/>
      <c r="EE43" s="1"/>
      <c r="EK43" s="98"/>
      <c r="EL43" s="98"/>
      <c r="EM43" s="98"/>
      <c r="EN43" s="98"/>
      <c r="EO43" s="98"/>
      <c r="EP43" s="98"/>
      <c r="EQ43" s="98"/>
      <c r="ER43" s="241"/>
    </row>
    <row r="44" spans="1:148" s="93" customFormat="1">
      <c r="A44" s="95"/>
      <c r="B44" s="95"/>
      <c r="D44" s="97"/>
      <c r="E44" s="97"/>
      <c r="F44" s="97"/>
      <c r="G44" s="219"/>
      <c r="H44" s="98"/>
      <c r="I44" s="96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92"/>
      <c r="AP44" s="92"/>
      <c r="AQ44" s="92"/>
      <c r="AR44" s="1"/>
      <c r="AS44" s="228"/>
      <c r="AT44" s="1"/>
      <c r="AU44" s="1"/>
      <c r="AV44" s="1"/>
      <c r="AW44" s="1"/>
      <c r="AX44" s="1"/>
      <c r="AY44" s="1"/>
      <c r="AZ44" s="1"/>
      <c r="BA44" s="1"/>
      <c r="BB44" s="1"/>
      <c r="BC44" s="102"/>
      <c r="BD44" s="1"/>
      <c r="BE44" s="1"/>
      <c r="BF44" s="1"/>
      <c r="BG44" s="1"/>
      <c r="BH44" s="1"/>
      <c r="BI44" s="1"/>
      <c r="BJ44" s="1"/>
      <c r="BK44" s="1"/>
      <c r="BL44" s="1"/>
      <c r="BM44" s="1"/>
      <c r="BN44" s="1"/>
      <c r="BO44" s="1"/>
      <c r="BP44" s="1"/>
      <c r="BQ44" s="1"/>
      <c r="BR44" s="1"/>
      <c r="BS44" s="1"/>
      <c r="BT44" s="1"/>
      <c r="BU44" s="1"/>
      <c r="BV44" s="1"/>
      <c r="BW44" s="1"/>
      <c r="BX44" s="1"/>
      <c r="BY44" s="136"/>
      <c r="BZ44" s="136"/>
      <c r="CA44" s="136"/>
      <c r="CB44" s="136"/>
      <c r="CC44" s="136"/>
      <c r="CD44" s="136"/>
      <c r="CE44" s="136"/>
      <c r="CF44" s="147"/>
      <c r="CG44" s="136"/>
      <c r="CH44" s="147"/>
      <c r="CI44" s="147"/>
      <c r="CJ44" s="136"/>
      <c r="CK44" s="136"/>
      <c r="CL44" s="136"/>
      <c r="CM44" s="136"/>
      <c r="CN44" s="136"/>
      <c r="CO44" s="136"/>
      <c r="CP44" s="136"/>
      <c r="CQ44" s="1"/>
      <c r="CR44" s="1"/>
      <c r="CS44" s="225"/>
      <c r="CT44" s="1"/>
      <c r="CU44" s="136"/>
      <c r="CV44" s="136"/>
      <c r="CW44" s="136"/>
      <c r="CX44" s="136"/>
      <c r="CY44" s="136"/>
      <c r="CZ44" s="136"/>
      <c r="DA44" s="136"/>
      <c r="DB44" s="136"/>
      <c r="DC44" s="136"/>
      <c r="DD44" s="136"/>
      <c r="DE44" s="210"/>
      <c r="DF44" s="210"/>
      <c r="DG44" s="255"/>
      <c r="DH44" s="136"/>
      <c r="DI44" s="1"/>
      <c r="DJ44" s="1"/>
      <c r="DK44" s="102"/>
      <c r="DL44" s="102"/>
      <c r="DM44" s="102"/>
      <c r="DN44" s="102"/>
      <c r="DO44" s="102"/>
      <c r="DP44" s="143"/>
      <c r="DQ44" s="143"/>
      <c r="DR44" s="143"/>
      <c r="DS44" s="102"/>
      <c r="DT44" s="1"/>
      <c r="DU44" s="1"/>
      <c r="DV44" s="1"/>
      <c r="DW44" s="99"/>
      <c r="DX44" s="1"/>
      <c r="EE44" s="1"/>
      <c r="EK44" s="98"/>
      <c r="EL44" s="98"/>
      <c r="EM44" s="98"/>
      <c r="EN44" s="98"/>
      <c r="EO44" s="98"/>
      <c r="EP44" s="98"/>
      <c r="EQ44" s="98"/>
      <c r="ER44" s="241"/>
    </row>
    <row r="45" spans="1:148" s="93" customFormat="1">
      <c r="A45" s="95"/>
      <c r="B45" s="95"/>
      <c r="D45" s="97"/>
      <c r="E45" s="97"/>
      <c r="F45" s="97"/>
      <c r="G45" s="219"/>
      <c r="H45" s="98"/>
      <c r="I45" s="96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92"/>
      <c r="AP45" s="92"/>
      <c r="AQ45" s="92"/>
      <c r="AR45" s="1"/>
      <c r="AS45" s="228"/>
      <c r="AT45" s="1"/>
      <c r="AU45" s="1"/>
      <c r="AV45" s="1"/>
      <c r="AW45" s="1"/>
      <c r="AX45" s="1"/>
      <c r="AY45" s="1"/>
      <c r="AZ45" s="1"/>
      <c r="BA45" s="1"/>
      <c r="BB45" s="1"/>
      <c r="BC45" s="102"/>
      <c r="BD45" s="1"/>
      <c r="BE45" s="1"/>
      <c r="BF45" s="1"/>
      <c r="BG45" s="1"/>
      <c r="BH45" s="1"/>
      <c r="BI45" s="1"/>
      <c r="BJ45" s="1"/>
      <c r="BK45" s="1"/>
      <c r="BL45" s="1"/>
      <c r="BM45" s="1"/>
      <c r="BN45" s="1"/>
      <c r="BO45" s="1"/>
      <c r="BP45" s="1"/>
      <c r="BQ45" s="1"/>
      <c r="BR45" s="1"/>
      <c r="BS45" s="1"/>
      <c r="BT45" s="1"/>
      <c r="BU45" s="1"/>
      <c r="BV45" s="1"/>
      <c r="BW45" s="1"/>
      <c r="BX45" s="1"/>
      <c r="BY45" s="136"/>
      <c r="BZ45" s="136"/>
      <c r="CA45" s="136"/>
      <c r="CB45" s="136"/>
      <c r="CC45" s="136"/>
      <c r="CD45" s="136"/>
      <c r="CE45" s="136"/>
      <c r="CF45" s="147"/>
      <c r="CG45" s="136"/>
      <c r="CH45" s="147"/>
      <c r="CI45" s="147"/>
      <c r="CJ45" s="136"/>
      <c r="CK45" s="136"/>
      <c r="CL45" s="136"/>
      <c r="CM45" s="136"/>
      <c r="CN45" s="136"/>
      <c r="CO45" s="136"/>
      <c r="CP45" s="136"/>
      <c r="CQ45" s="1"/>
      <c r="CR45" s="1"/>
      <c r="CS45" s="225"/>
      <c r="CT45" s="1"/>
      <c r="CU45" s="136"/>
      <c r="CV45" s="136"/>
      <c r="CW45" s="136"/>
      <c r="CX45" s="136"/>
      <c r="CY45" s="136"/>
      <c r="CZ45" s="136"/>
      <c r="DA45" s="136"/>
      <c r="DB45" s="136"/>
      <c r="DC45" s="136"/>
      <c r="DD45" s="136"/>
      <c r="DE45" s="210"/>
      <c r="DF45" s="210"/>
      <c r="DG45" s="255"/>
      <c r="DH45" s="136"/>
      <c r="DI45" s="1"/>
      <c r="DJ45" s="1"/>
      <c r="DK45" s="102"/>
      <c r="DL45" s="102"/>
      <c r="DM45" s="102"/>
      <c r="DN45" s="102"/>
      <c r="DO45" s="102"/>
      <c r="DP45" s="143"/>
      <c r="DQ45" s="143"/>
      <c r="DR45" s="143"/>
      <c r="DS45" s="102"/>
      <c r="DT45" s="1"/>
      <c r="DU45" s="1"/>
      <c r="DV45" s="1"/>
      <c r="DW45" s="99"/>
      <c r="DX45" s="1"/>
      <c r="EE45" s="1"/>
      <c r="EK45" s="98"/>
      <c r="EL45" s="98"/>
      <c r="EM45" s="98"/>
      <c r="EN45" s="98"/>
      <c r="EO45" s="98"/>
      <c r="EP45" s="98"/>
      <c r="EQ45" s="98"/>
      <c r="ER45" s="241"/>
    </row>
    <row r="46" spans="1:148" s="93" customFormat="1">
      <c r="A46" s="95"/>
      <c r="B46" s="95"/>
      <c r="D46" s="97"/>
      <c r="E46" s="97"/>
      <c r="F46" s="97"/>
      <c r="G46" s="219"/>
      <c r="H46" s="98"/>
      <c r="I46" s="96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92"/>
      <c r="AP46" s="92"/>
      <c r="AQ46" s="92"/>
      <c r="AR46" s="1"/>
      <c r="AS46" s="228"/>
      <c r="AT46" s="1"/>
      <c r="AU46" s="1"/>
      <c r="AV46" s="1"/>
      <c r="AW46" s="1"/>
      <c r="AX46" s="1"/>
      <c r="AY46" s="1"/>
      <c r="AZ46" s="1"/>
      <c r="BA46" s="1"/>
      <c r="BB46" s="1"/>
      <c r="BC46" s="102"/>
      <c r="BD46" s="1"/>
      <c r="BE46" s="1"/>
      <c r="BF46" s="1"/>
      <c r="BG46" s="1"/>
      <c r="BH46" s="1"/>
      <c r="BI46" s="1"/>
      <c r="BJ46" s="1"/>
      <c r="BK46" s="1"/>
      <c r="BL46" s="1"/>
      <c r="BM46" s="1"/>
      <c r="BN46" s="1"/>
      <c r="BO46" s="1"/>
      <c r="BP46" s="1"/>
      <c r="BQ46" s="1"/>
      <c r="BR46" s="1"/>
      <c r="BS46" s="1"/>
      <c r="BT46" s="1"/>
      <c r="BU46" s="1"/>
      <c r="BV46" s="1"/>
      <c r="BW46" s="1"/>
      <c r="BX46" s="1"/>
      <c r="BY46" s="136"/>
      <c r="BZ46" s="136"/>
      <c r="CA46" s="136"/>
      <c r="CB46" s="136"/>
      <c r="CC46" s="136"/>
      <c r="CD46" s="136"/>
      <c r="CE46" s="136"/>
      <c r="CF46" s="147"/>
      <c r="CG46" s="136"/>
      <c r="CH46" s="147"/>
      <c r="CI46" s="147"/>
      <c r="CJ46" s="136"/>
      <c r="CK46" s="136"/>
      <c r="CL46" s="136"/>
      <c r="CM46" s="136"/>
      <c r="CN46" s="136"/>
      <c r="CO46" s="136"/>
      <c r="CP46" s="136"/>
      <c r="CQ46" s="1"/>
      <c r="CR46" s="1"/>
      <c r="CS46" s="225"/>
      <c r="CT46" s="1"/>
      <c r="CU46" s="136"/>
      <c r="CV46" s="136"/>
      <c r="CW46" s="136"/>
      <c r="CX46" s="136"/>
      <c r="CY46" s="136"/>
      <c r="CZ46" s="136"/>
      <c r="DA46" s="136"/>
      <c r="DB46" s="136"/>
      <c r="DC46" s="136"/>
      <c r="DD46" s="136"/>
      <c r="DE46" s="210"/>
      <c r="DF46" s="210"/>
      <c r="DG46" s="255"/>
      <c r="DH46" s="136"/>
      <c r="DI46" s="1"/>
      <c r="DJ46" s="1"/>
      <c r="DK46" s="102"/>
      <c r="DL46" s="102"/>
      <c r="DM46" s="102"/>
      <c r="DN46" s="102"/>
      <c r="DO46" s="102"/>
      <c r="DP46" s="143"/>
      <c r="DQ46" s="143"/>
      <c r="DR46" s="143"/>
      <c r="DS46" s="102"/>
      <c r="DT46" s="1"/>
      <c r="DU46" s="1"/>
      <c r="DV46" s="1"/>
      <c r="DW46" s="99"/>
      <c r="DX46" s="1"/>
      <c r="EE46" s="1"/>
      <c r="EK46" s="98"/>
      <c r="EL46" s="98"/>
      <c r="EM46" s="98"/>
      <c r="EN46" s="98"/>
      <c r="EO46" s="98"/>
      <c r="EP46" s="98"/>
      <c r="EQ46" s="98"/>
      <c r="ER46" s="241"/>
    </row>
    <row r="47" spans="1:148" s="93" customFormat="1">
      <c r="A47" s="95"/>
      <c r="B47" s="95"/>
      <c r="D47" s="97"/>
      <c r="E47" s="97"/>
      <c r="F47" s="97"/>
      <c r="G47" s="219"/>
      <c r="H47" s="98"/>
      <c r="I47" s="96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92"/>
      <c r="AP47" s="92"/>
      <c r="AQ47" s="92"/>
      <c r="AR47" s="1"/>
      <c r="AS47" s="228"/>
      <c r="AT47" s="1"/>
      <c r="AU47" s="1"/>
      <c r="AV47" s="1"/>
      <c r="AW47" s="1"/>
      <c r="AX47" s="1"/>
      <c r="AY47" s="1"/>
      <c r="AZ47" s="1"/>
      <c r="BA47" s="1"/>
      <c r="BB47" s="1"/>
      <c r="BC47" s="102"/>
      <c r="BD47" s="1"/>
      <c r="BE47" s="1"/>
      <c r="BF47" s="1"/>
      <c r="BG47" s="1"/>
      <c r="BH47" s="1"/>
      <c r="BI47" s="1"/>
      <c r="BJ47" s="1"/>
      <c r="BK47" s="1"/>
      <c r="BL47" s="1"/>
      <c r="BM47" s="1"/>
      <c r="BN47" s="1"/>
      <c r="BO47" s="1"/>
      <c r="BP47" s="1"/>
      <c r="BQ47" s="1"/>
      <c r="BR47" s="1"/>
      <c r="BS47" s="1"/>
      <c r="BT47" s="1"/>
      <c r="BU47" s="1"/>
      <c r="BV47" s="1"/>
      <c r="BW47" s="1"/>
      <c r="BX47" s="1"/>
      <c r="BY47" s="136"/>
      <c r="BZ47" s="136"/>
      <c r="CA47" s="136"/>
      <c r="CB47" s="136"/>
      <c r="CC47" s="136"/>
      <c r="CD47" s="136"/>
      <c r="CE47" s="136"/>
      <c r="CF47" s="147"/>
      <c r="CG47" s="136"/>
      <c r="CH47" s="147"/>
      <c r="CI47" s="147"/>
      <c r="CJ47" s="136"/>
      <c r="CK47" s="136"/>
      <c r="CL47" s="136"/>
      <c r="CM47" s="136"/>
      <c r="CN47" s="136"/>
      <c r="CO47" s="136"/>
      <c r="CP47" s="136"/>
      <c r="CQ47" s="1"/>
      <c r="CR47" s="1"/>
      <c r="CS47" s="225"/>
      <c r="CT47" s="1"/>
      <c r="CU47" s="136"/>
      <c r="CV47" s="136"/>
      <c r="CW47" s="136"/>
      <c r="CX47" s="136"/>
      <c r="CY47" s="136"/>
      <c r="CZ47" s="136"/>
      <c r="DA47" s="136"/>
      <c r="DB47" s="136"/>
      <c r="DC47" s="136"/>
      <c r="DD47" s="136"/>
      <c r="DE47" s="210"/>
      <c r="DF47" s="210"/>
      <c r="DG47" s="255"/>
      <c r="DH47" s="136"/>
      <c r="DI47" s="1"/>
      <c r="DJ47" s="1"/>
      <c r="DK47" s="102"/>
      <c r="DL47" s="102"/>
      <c r="DM47" s="102"/>
      <c r="DN47" s="102"/>
      <c r="DO47" s="102"/>
      <c r="DP47" s="143"/>
      <c r="DQ47" s="143"/>
      <c r="DR47" s="143"/>
      <c r="DS47" s="102"/>
      <c r="DT47" s="1"/>
      <c r="DU47" s="1"/>
      <c r="DV47" s="1"/>
      <c r="DW47" s="99"/>
      <c r="DX47" s="1"/>
      <c r="EE47" s="1"/>
      <c r="EK47" s="98"/>
      <c r="EL47" s="98"/>
      <c r="EM47" s="98"/>
      <c r="EN47" s="98"/>
      <c r="EO47" s="98"/>
      <c r="EP47" s="98"/>
      <c r="EQ47" s="98"/>
      <c r="ER47" s="241"/>
    </row>
    <row r="48" spans="1:148" s="93" customFormat="1">
      <c r="A48" s="95"/>
      <c r="B48" s="95"/>
      <c r="D48" s="97"/>
      <c r="E48" s="97"/>
      <c r="F48" s="97"/>
      <c r="G48" s="219"/>
      <c r="H48" s="98"/>
      <c r="I48" s="96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92"/>
      <c r="AP48" s="92"/>
      <c r="AQ48" s="92"/>
      <c r="AR48" s="1"/>
      <c r="AS48" s="228"/>
      <c r="AT48" s="1"/>
      <c r="AU48" s="1"/>
      <c r="AV48" s="1"/>
      <c r="AW48" s="1"/>
      <c r="AX48" s="1"/>
      <c r="AY48" s="1"/>
      <c r="AZ48" s="1"/>
      <c r="BA48" s="1"/>
      <c r="BB48" s="1"/>
      <c r="BC48" s="102"/>
      <c r="BD48" s="1"/>
      <c r="BE48" s="1"/>
      <c r="BF48" s="1"/>
      <c r="BG48" s="1"/>
      <c r="BH48" s="1"/>
      <c r="BI48" s="1"/>
      <c r="BJ48" s="1"/>
      <c r="BK48" s="1"/>
      <c r="BL48" s="1"/>
      <c r="BM48" s="1"/>
      <c r="BN48" s="1"/>
      <c r="BO48" s="1"/>
      <c r="BP48" s="1"/>
      <c r="BQ48" s="1"/>
      <c r="BR48" s="1"/>
      <c r="BS48" s="1"/>
      <c r="BT48" s="1"/>
      <c r="BU48" s="1"/>
      <c r="BV48" s="1"/>
      <c r="BW48" s="1"/>
      <c r="BX48" s="1"/>
      <c r="BY48" s="136"/>
      <c r="BZ48" s="136"/>
      <c r="CA48" s="136"/>
      <c r="CB48" s="136"/>
      <c r="CC48" s="136"/>
      <c r="CD48" s="136"/>
      <c r="CE48" s="136"/>
      <c r="CF48" s="147"/>
      <c r="CG48" s="136"/>
      <c r="CH48" s="147"/>
      <c r="CI48" s="147"/>
      <c r="CJ48" s="136"/>
      <c r="CK48" s="136"/>
      <c r="CL48" s="136"/>
      <c r="CM48" s="136"/>
      <c r="CN48" s="136"/>
      <c r="CO48" s="136"/>
      <c r="CP48" s="136"/>
      <c r="CQ48" s="1"/>
      <c r="CR48" s="1"/>
      <c r="CS48" s="225"/>
      <c r="CT48" s="1"/>
      <c r="CU48" s="136"/>
      <c r="CV48" s="136"/>
      <c r="CW48" s="136"/>
      <c r="CX48" s="136"/>
      <c r="CY48" s="136"/>
      <c r="CZ48" s="136"/>
      <c r="DA48" s="136"/>
      <c r="DB48" s="136"/>
      <c r="DC48" s="136"/>
      <c r="DD48" s="136"/>
      <c r="DE48" s="210"/>
      <c r="DF48" s="210"/>
      <c r="DG48" s="255"/>
      <c r="DH48" s="136"/>
      <c r="DI48" s="1"/>
      <c r="DJ48" s="1"/>
      <c r="DK48" s="102"/>
      <c r="DL48" s="102"/>
      <c r="DM48" s="102"/>
      <c r="DN48" s="102"/>
      <c r="DO48" s="102"/>
      <c r="DP48" s="143"/>
      <c r="DQ48" s="143"/>
      <c r="DR48" s="143"/>
      <c r="DS48" s="102"/>
      <c r="DT48" s="1"/>
      <c r="DU48" s="1"/>
      <c r="DV48" s="1"/>
      <c r="DW48" s="99"/>
      <c r="DX48" s="1"/>
      <c r="EE48" s="1"/>
      <c r="EK48" s="98"/>
      <c r="EL48" s="98"/>
      <c r="EM48" s="98"/>
      <c r="EN48" s="98"/>
      <c r="EO48" s="98"/>
      <c r="EP48" s="98"/>
      <c r="EQ48" s="98"/>
      <c r="ER48" s="241"/>
    </row>
    <row r="49" spans="1:148" s="93" customFormat="1">
      <c r="A49" s="95"/>
      <c r="B49" s="95"/>
      <c r="D49" s="97"/>
      <c r="E49" s="97"/>
      <c r="F49" s="97"/>
      <c r="G49" s="219"/>
      <c r="H49" s="98"/>
      <c r="I49" s="96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92"/>
      <c r="AP49" s="92"/>
      <c r="AQ49" s="92"/>
      <c r="AR49" s="1"/>
      <c r="AS49" s="228"/>
      <c r="AT49" s="1"/>
      <c r="AU49" s="1"/>
      <c r="AV49" s="1"/>
      <c r="AW49" s="1"/>
      <c r="AX49" s="1"/>
      <c r="AY49" s="1"/>
      <c r="AZ49" s="1"/>
      <c r="BA49" s="1"/>
      <c r="BB49" s="1"/>
      <c r="BC49" s="102"/>
      <c r="BD49" s="1"/>
      <c r="BE49" s="1"/>
      <c r="BF49" s="1"/>
      <c r="BG49" s="1"/>
      <c r="BH49" s="1"/>
      <c r="BI49" s="1"/>
      <c r="BJ49" s="1"/>
      <c r="BK49" s="1"/>
      <c r="BL49" s="1"/>
      <c r="BM49" s="1"/>
      <c r="BN49" s="1"/>
      <c r="BO49" s="1"/>
      <c r="BP49" s="1"/>
      <c r="BQ49" s="1"/>
      <c r="BR49" s="1"/>
      <c r="BS49" s="1"/>
      <c r="BT49" s="1"/>
      <c r="BU49" s="1"/>
      <c r="BV49" s="1"/>
      <c r="BW49" s="1"/>
      <c r="BX49" s="1"/>
      <c r="BY49" s="136"/>
      <c r="BZ49" s="136"/>
      <c r="CA49" s="136"/>
      <c r="CB49" s="136"/>
      <c r="CC49" s="136"/>
      <c r="CD49" s="136"/>
      <c r="CE49" s="136"/>
      <c r="CF49" s="147"/>
      <c r="CG49" s="136"/>
      <c r="CH49" s="147"/>
      <c r="CI49" s="147"/>
      <c r="CJ49" s="136"/>
      <c r="CK49" s="136"/>
      <c r="CL49" s="136"/>
      <c r="CM49" s="136"/>
      <c r="CN49" s="136"/>
      <c r="CO49" s="136"/>
      <c r="CP49" s="136"/>
      <c r="CQ49" s="1"/>
      <c r="CR49" s="1"/>
      <c r="CS49" s="225"/>
      <c r="CT49" s="1"/>
      <c r="CU49" s="136"/>
      <c r="CV49" s="136"/>
      <c r="CW49" s="136"/>
      <c r="CX49" s="136"/>
      <c r="CY49" s="136"/>
      <c r="CZ49" s="136"/>
      <c r="DA49" s="136"/>
      <c r="DB49" s="136"/>
      <c r="DC49" s="136"/>
      <c r="DD49" s="136"/>
      <c r="DE49" s="210"/>
      <c r="DF49" s="210"/>
      <c r="DG49" s="255"/>
      <c r="DH49" s="136"/>
      <c r="DI49" s="1"/>
      <c r="DJ49" s="1"/>
      <c r="DK49" s="102"/>
      <c r="DL49" s="102"/>
      <c r="DM49" s="102"/>
      <c r="DN49" s="102"/>
      <c r="DO49" s="102"/>
      <c r="DP49" s="143"/>
      <c r="DQ49" s="143"/>
      <c r="DR49" s="143"/>
      <c r="DS49" s="102"/>
      <c r="DT49" s="1"/>
      <c r="DU49" s="1"/>
      <c r="DV49" s="1"/>
      <c r="DW49" s="99"/>
      <c r="DX49" s="1"/>
      <c r="EE49" s="1"/>
      <c r="EK49" s="98"/>
      <c r="EL49" s="98"/>
      <c r="EM49" s="98"/>
      <c r="EN49" s="98"/>
      <c r="EO49" s="98"/>
      <c r="EP49" s="98"/>
      <c r="EQ49" s="98"/>
      <c r="ER49" s="241"/>
    </row>
    <row r="50" spans="1:148" s="93" customFormat="1">
      <c r="A50" s="95"/>
      <c r="B50" s="95"/>
      <c r="D50" s="97"/>
      <c r="E50" s="97"/>
      <c r="F50" s="97"/>
      <c r="G50" s="219"/>
      <c r="H50" s="98"/>
      <c r="I50" s="96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92"/>
      <c r="AP50" s="92"/>
      <c r="AQ50" s="92"/>
      <c r="AR50" s="1"/>
      <c r="AS50" s="228"/>
      <c r="AT50" s="1"/>
      <c r="AU50" s="1"/>
      <c r="AV50" s="1"/>
      <c r="AW50" s="1"/>
      <c r="AX50" s="1"/>
      <c r="AY50" s="1"/>
      <c r="AZ50" s="1"/>
      <c r="BA50" s="1"/>
      <c r="BB50" s="1"/>
      <c r="BC50" s="102"/>
      <c r="BD50" s="1"/>
      <c r="BE50" s="1"/>
      <c r="BF50" s="1"/>
      <c r="BG50" s="1"/>
      <c r="BH50" s="1"/>
      <c r="BI50" s="1"/>
      <c r="BJ50" s="1"/>
      <c r="BK50" s="1"/>
      <c r="BL50" s="1"/>
      <c r="BM50" s="1"/>
      <c r="BN50" s="1"/>
      <c r="BO50" s="1"/>
      <c r="BP50" s="1"/>
      <c r="BQ50" s="1"/>
      <c r="BR50" s="1"/>
      <c r="BS50" s="1"/>
      <c r="BT50" s="1"/>
      <c r="BU50" s="1"/>
      <c r="BV50" s="1"/>
      <c r="BW50" s="1"/>
      <c r="BX50" s="1"/>
      <c r="BY50" s="136"/>
      <c r="BZ50" s="136"/>
      <c r="CA50" s="136"/>
      <c r="CB50" s="136"/>
      <c r="CC50" s="136"/>
      <c r="CD50" s="136"/>
      <c r="CE50" s="136"/>
      <c r="CF50" s="147"/>
      <c r="CG50" s="136"/>
      <c r="CH50" s="147"/>
      <c r="CI50" s="147"/>
      <c r="CJ50" s="136"/>
      <c r="CK50" s="136"/>
      <c r="CL50" s="136"/>
      <c r="CM50" s="136"/>
      <c r="CN50" s="136"/>
      <c r="CO50" s="136"/>
      <c r="CP50" s="136"/>
      <c r="CQ50" s="1"/>
      <c r="CR50" s="1"/>
      <c r="CS50" s="225"/>
      <c r="CT50" s="1"/>
      <c r="CU50" s="136"/>
      <c r="CV50" s="136"/>
      <c r="CW50" s="136"/>
      <c r="CX50" s="136"/>
      <c r="CY50" s="136"/>
      <c r="CZ50" s="136"/>
      <c r="DA50" s="136"/>
      <c r="DB50" s="136"/>
      <c r="DC50" s="136"/>
      <c r="DD50" s="136"/>
      <c r="DE50" s="210"/>
      <c r="DF50" s="210"/>
      <c r="DG50" s="255"/>
      <c r="DH50" s="136"/>
      <c r="DI50" s="1"/>
      <c r="DJ50" s="1"/>
      <c r="DK50" s="102"/>
      <c r="DL50" s="102"/>
      <c r="DM50" s="102"/>
      <c r="DN50" s="102"/>
      <c r="DO50" s="102"/>
      <c r="DP50" s="143"/>
      <c r="DQ50" s="143"/>
      <c r="DR50" s="143"/>
      <c r="DS50" s="102"/>
      <c r="DT50" s="1"/>
      <c r="DU50" s="1"/>
      <c r="DV50" s="1"/>
      <c r="DW50" s="99"/>
      <c r="DX50" s="1"/>
      <c r="EE50" s="1"/>
      <c r="EK50" s="98"/>
      <c r="EL50" s="98"/>
      <c r="EM50" s="98"/>
      <c r="EN50" s="98"/>
      <c r="EO50" s="98"/>
      <c r="EP50" s="98"/>
      <c r="EQ50" s="98"/>
      <c r="ER50" s="241"/>
    </row>
    <row r="51" spans="1:148" s="93" customFormat="1">
      <c r="A51" s="95"/>
      <c r="B51" s="95"/>
      <c r="D51" s="97"/>
      <c r="E51" s="97"/>
      <c r="F51" s="97"/>
      <c r="G51" s="219"/>
      <c r="H51" s="98"/>
      <c r="I51" s="96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92"/>
      <c r="AP51" s="92"/>
      <c r="AQ51" s="92"/>
      <c r="AR51" s="1"/>
      <c r="AS51" s="228"/>
      <c r="AT51" s="1"/>
      <c r="AU51" s="1"/>
      <c r="AV51" s="1"/>
      <c r="AW51" s="1"/>
      <c r="AX51" s="1"/>
      <c r="AY51" s="1"/>
      <c r="AZ51" s="1"/>
      <c r="BA51" s="1"/>
      <c r="BB51" s="1"/>
      <c r="BC51" s="102"/>
      <c r="BD51" s="1"/>
      <c r="BE51" s="1"/>
      <c r="BF51" s="1"/>
      <c r="BG51" s="1"/>
      <c r="BH51" s="1"/>
      <c r="BI51" s="1"/>
      <c r="BJ51" s="1"/>
      <c r="BK51" s="1"/>
      <c r="BL51" s="1"/>
      <c r="BM51" s="1"/>
      <c r="BN51" s="1"/>
      <c r="BO51" s="1"/>
      <c r="BP51" s="1"/>
      <c r="BQ51" s="1"/>
      <c r="BR51" s="1"/>
      <c r="BS51" s="1"/>
      <c r="BT51" s="1"/>
      <c r="BU51" s="1"/>
      <c r="BV51" s="1"/>
      <c r="BW51" s="1"/>
      <c r="BX51" s="1"/>
      <c r="BY51" s="136"/>
      <c r="BZ51" s="136"/>
      <c r="CA51" s="136"/>
      <c r="CB51" s="136"/>
      <c r="CC51" s="136"/>
      <c r="CD51" s="136"/>
      <c r="CE51" s="136"/>
      <c r="CF51" s="147"/>
      <c r="CG51" s="136"/>
      <c r="CH51" s="147"/>
      <c r="CI51" s="147"/>
      <c r="CJ51" s="136"/>
      <c r="CK51" s="136"/>
      <c r="CL51" s="136"/>
      <c r="CM51" s="136"/>
      <c r="CN51" s="136"/>
      <c r="CO51" s="136"/>
      <c r="CP51" s="136"/>
      <c r="CQ51" s="1"/>
      <c r="CR51" s="1"/>
      <c r="CS51" s="225"/>
      <c r="CT51" s="1"/>
      <c r="CU51" s="136"/>
      <c r="CV51" s="136"/>
      <c r="CW51" s="136"/>
      <c r="CX51" s="136"/>
      <c r="CY51" s="136"/>
      <c r="CZ51" s="136"/>
      <c r="DA51" s="136"/>
      <c r="DB51" s="136"/>
      <c r="DC51" s="136"/>
      <c r="DD51" s="136"/>
      <c r="DE51" s="210"/>
      <c r="DF51" s="210"/>
      <c r="DG51" s="255"/>
      <c r="DH51" s="136"/>
      <c r="DI51" s="1"/>
      <c r="DJ51" s="1"/>
      <c r="DK51" s="102"/>
      <c r="DL51" s="102"/>
      <c r="DM51" s="102"/>
      <c r="DN51" s="102"/>
      <c r="DO51" s="102"/>
      <c r="DP51" s="143"/>
      <c r="DQ51" s="143"/>
      <c r="DR51" s="143"/>
      <c r="DS51" s="102"/>
      <c r="DT51" s="1"/>
      <c r="DU51" s="1"/>
      <c r="DV51" s="1"/>
      <c r="DW51" s="99"/>
      <c r="DX51" s="1"/>
      <c r="EE51" s="1"/>
      <c r="EK51" s="98"/>
      <c r="EL51" s="98"/>
      <c r="EM51" s="98"/>
      <c r="EN51" s="98"/>
      <c r="EO51" s="98"/>
      <c r="EP51" s="98"/>
      <c r="EQ51" s="98"/>
      <c r="ER51" s="241"/>
    </row>
    <row r="52" spans="1:148" s="93" customFormat="1">
      <c r="A52" s="95"/>
      <c r="B52" s="95"/>
      <c r="D52" s="97"/>
      <c r="E52" s="97"/>
      <c r="F52" s="97"/>
      <c r="G52" s="219"/>
      <c r="H52" s="98"/>
      <c r="I52" s="96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92"/>
      <c r="AP52" s="92"/>
      <c r="AQ52" s="92"/>
      <c r="AR52" s="1"/>
      <c r="AS52" s="228"/>
      <c r="AT52" s="1"/>
      <c r="AU52" s="1"/>
      <c r="AV52" s="1"/>
      <c r="AW52" s="1"/>
      <c r="AX52" s="1"/>
      <c r="AY52" s="1"/>
      <c r="AZ52" s="1"/>
      <c r="BA52" s="1"/>
      <c r="BB52" s="1"/>
      <c r="BC52" s="102"/>
      <c r="BD52" s="1"/>
      <c r="BE52" s="1"/>
      <c r="BF52" s="1"/>
      <c r="BG52" s="1"/>
      <c r="BH52" s="1"/>
      <c r="BI52" s="1"/>
      <c r="BJ52" s="1"/>
      <c r="BK52" s="1"/>
      <c r="BL52" s="1"/>
      <c r="BM52" s="1"/>
      <c r="BN52" s="1"/>
      <c r="BO52" s="1"/>
      <c r="BP52" s="1"/>
      <c r="BQ52" s="1"/>
      <c r="BR52" s="1"/>
      <c r="BS52" s="1"/>
      <c r="BT52" s="1"/>
      <c r="BU52" s="1"/>
      <c r="BV52" s="1"/>
      <c r="BW52" s="1"/>
      <c r="BX52" s="1"/>
      <c r="BY52" s="136"/>
      <c r="BZ52" s="136"/>
      <c r="CA52" s="136"/>
      <c r="CB52" s="136"/>
      <c r="CC52" s="136"/>
      <c r="CD52" s="136"/>
      <c r="CE52" s="136"/>
      <c r="CF52" s="147"/>
      <c r="CG52" s="136"/>
      <c r="CH52" s="147"/>
      <c r="CI52" s="147"/>
      <c r="CJ52" s="136"/>
      <c r="CK52" s="136"/>
      <c r="CL52" s="136"/>
      <c r="CM52" s="136"/>
      <c r="CN52" s="136"/>
      <c r="CO52" s="136"/>
      <c r="CP52" s="136"/>
      <c r="CQ52" s="1"/>
      <c r="CR52" s="1"/>
      <c r="CS52" s="225"/>
      <c r="CT52" s="1"/>
      <c r="CU52" s="136"/>
      <c r="CV52" s="136"/>
      <c r="CW52" s="136"/>
      <c r="CX52" s="136"/>
      <c r="CY52" s="136"/>
      <c r="CZ52" s="136"/>
      <c r="DA52" s="136"/>
      <c r="DB52" s="136"/>
      <c r="DC52" s="136"/>
      <c r="DD52" s="136"/>
      <c r="DE52" s="210"/>
      <c r="DF52" s="210"/>
      <c r="DG52" s="255"/>
      <c r="DH52" s="136"/>
      <c r="DI52" s="1"/>
      <c r="DJ52" s="1"/>
      <c r="DK52" s="102"/>
      <c r="DL52" s="102"/>
      <c r="DM52" s="102"/>
      <c r="DN52" s="102"/>
      <c r="DO52" s="102"/>
      <c r="DP52" s="143"/>
      <c r="DQ52" s="143"/>
      <c r="DR52" s="143"/>
      <c r="DS52" s="102"/>
      <c r="DT52" s="1"/>
      <c r="DU52" s="1"/>
      <c r="DV52" s="1"/>
      <c r="DW52" s="99"/>
      <c r="DX52" s="1"/>
      <c r="EE52" s="1"/>
      <c r="EK52" s="98"/>
      <c r="EL52" s="98"/>
      <c r="EM52" s="98"/>
      <c r="EN52" s="98"/>
      <c r="EO52" s="98"/>
      <c r="EP52" s="98"/>
      <c r="EQ52" s="98"/>
      <c r="ER52" s="241"/>
    </row>
    <row r="53" spans="1:148" s="93" customFormat="1">
      <c r="A53" s="95"/>
      <c r="B53" s="95"/>
      <c r="D53" s="97"/>
      <c r="E53" s="97"/>
      <c r="F53" s="97"/>
      <c r="G53" s="219"/>
      <c r="H53" s="98"/>
      <c r="I53" s="96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92"/>
      <c r="AP53" s="92"/>
      <c r="AQ53" s="92"/>
      <c r="AR53" s="1"/>
      <c r="AS53" s="228"/>
      <c r="AT53" s="1"/>
      <c r="AU53" s="1"/>
      <c r="AV53" s="1"/>
      <c r="AW53" s="1"/>
      <c r="AX53" s="1"/>
      <c r="AY53" s="1"/>
      <c r="AZ53" s="1"/>
      <c r="BA53" s="1"/>
      <c r="BB53" s="1"/>
      <c r="BC53" s="102"/>
      <c r="BD53" s="1"/>
      <c r="BE53" s="1"/>
      <c r="BF53" s="1"/>
      <c r="BG53" s="1"/>
      <c r="BH53" s="1"/>
      <c r="BI53" s="1"/>
      <c r="BJ53" s="1"/>
      <c r="BK53" s="1"/>
      <c r="BL53" s="1"/>
      <c r="BM53" s="1"/>
      <c r="BN53" s="1"/>
      <c r="BO53" s="1"/>
      <c r="BP53" s="1"/>
      <c r="BQ53" s="1"/>
      <c r="BR53" s="1"/>
      <c r="BS53" s="1"/>
      <c r="BT53" s="1"/>
      <c r="BU53" s="1"/>
      <c r="BV53" s="1"/>
      <c r="BW53" s="1"/>
      <c r="BX53" s="1"/>
      <c r="BY53" s="136"/>
      <c r="BZ53" s="136"/>
      <c r="CA53" s="136"/>
      <c r="CB53" s="136"/>
      <c r="CC53" s="136"/>
      <c r="CD53" s="136"/>
      <c r="CE53" s="136"/>
      <c r="CF53" s="147"/>
      <c r="CG53" s="136"/>
      <c r="CH53" s="147"/>
      <c r="CI53" s="147"/>
      <c r="CJ53" s="136"/>
      <c r="CK53" s="136"/>
      <c r="CL53" s="136"/>
      <c r="CM53" s="136"/>
      <c r="CN53" s="136"/>
      <c r="CO53" s="136"/>
      <c r="CP53" s="136"/>
      <c r="CQ53" s="1"/>
      <c r="CR53" s="1"/>
      <c r="CS53" s="225"/>
      <c r="CT53" s="1"/>
      <c r="CU53" s="136"/>
      <c r="CV53" s="136"/>
      <c r="CW53" s="136"/>
      <c r="CX53" s="136"/>
      <c r="CY53" s="136"/>
      <c r="CZ53" s="136"/>
      <c r="DA53" s="136"/>
      <c r="DB53" s="136"/>
      <c r="DC53" s="136"/>
      <c r="DD53" s="136"/>
      <c r="DE53" s="210"/>
      <c r="DF53" s="210"/>
      <c r="DG53" s="255"/>
      <c r="DH53" s="136"/>
      <c r="DI53" s="1"/>
      <c r="DJ53" s="1"/>
      <c r="DK53" s="102"/>
      <c r="DL53" s="102"/>
      <c r="DM53" s="102"/>
      <c r="DN53" s="102"/>
      <c r="DO53" s="102"/>
      <c r="DP53" s="143"/>
      <c r="DQ53" s="143"/>
      <c r="DR53" s="143"/>
      <c r="DS53" s="102"/>
      <c r="DT53" s="1"/>
      <c r="DU53" s="1"/>
      <c r="DV53" s="1"/>
      <c r="DW53" s="99"/>
      <c r="DX53" s="1"/>
      <c r="EE53" s="1"/>
      <c r="EK53" s="98"/>
      <c r="EL53" s="98"/>
      <c r="EM53" s="98"/>
      <c r="EN53" s="98"/>
      <c r="EO53" s="98"/>
      <c r="EP53" s="98"/>
      <c r="EQ53" s="98"/>
      <c r="ER53" s="241"/>
    </row>
    <row r="54" spans="1:148" s="93" customFormat="1">
      <c r="A54" s="95"/>
      <c r="B54" s="95"/>
      <c r="D54" s="97"/>
      <c r="E54" s="97"/>
      <c r="F54" s="97"/>
      <c r="G54" s="219"/>
      <c r="H54" s="98"/>
      <c r="I54" s="96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92"/>
      <c r="AP54" s="92"/>
      <c r="AQ54" s="92"/>
      <c r="AR54" s="1"/>
      <c r="AS54" s="228"/>
      <c r="AT54" s="1"/>
      <c r="AU54" s="1"/>
      <c r="AV54" s="1"/>
      <c r="AW54" s="1"/>
      <c r="AX54" s="1"/>
      <c r="AY54" s="1"/>
      <c r="AZ54" s="1"/>
      <c r="BA54" s="1"/>
      <c r="BB54" s="1"/>
      <c r="BC54" s="102"/>
      <c r="BD54" s="1"/>
      <c r="BE54" s="1"/>
      <c r="BF54" s="1"/>
      <c r="BG54" s="1"/>
      <c r="BH54" s="1"/>
      <c r="BI54" s="1"/>
      <c r="BJ54" s="1"/>
      <c r="BK54" s="1"/>
      <c r="BL54" s="1"/>
      <c r="BM54" s="1"/>
      <c r="BN54" s="1"/>
      <c r="BO54" s="1"/>
      <c r="BP54" s="1"/>
      <c r="BQ54" s="1"/>
      <c r="BR54" s="1"/>
      <c r="BS54" s="1"/>
      <c r="BT54" s="1"/>
      <c r="BU54" s="1"/>
      <c r="BV54" s="1"/>
      <c r="BW54" s="1"/>
      <c r="BX54" s="1"/>
      <c r="BY54" s="136"/>
      <c r="BZ54" s="136"/>
      <c r="CA54" s="136"/>
      <c r="CB54" s="136"/>
      <c r="CC54" s="136"/>
      <c r="CD54" s="136"/>
      <c r="CE54" s="136"/>
      <c r="CF54" s="147"/>
      <c r="CG54" s="136"/>
      <c r="CH54" s="147"/>
      <c r="CI54" s="147"/>
      <c r="CJ54" s="136"/>
      <c r="CK54" s="136"/>
      <c r="CL54" s="136"/>
      <c r="CM54" s="136"/>
      <c r="CN54" s="136"/>
      <c r="CO54" s="136"/>
      <c r="CP54" s="136"/>
      <c r="CQ54" s="1"/>
      <c r="CR54" s="1"/>
      <c r="CS54" s="225"/>
      <c r="CT54" s="1"/>
      <c r="CU54" s="136"/>
      <c r="CV54" s="136"/>
      <c r="CW54" s="136"/>
      <c r="CX54" s="136"/>
      <c r="CY54" s="136"/>
      <c r="CZ54" s="136"/>
      <c r="DA54" s="136"/>
      <c r="DB54" s="136"/>
      <c r="DC54" s="136"/>
      <c r="DD54" s="136"/>
      <c r="DE54" s="210"/>
      <c r="DF54" s="210"/>
      <c r="DG54" s="255"/>
      <c r="DH54" s="136"/>
      <c r="DI54" s="1"/>
      <c r="DJ54" s="1"/>
      <c r="DK54" s="102"/>
      <c r="DL54" s="102"/>
      <c r="DM54" s="102"/>
      <c r="DN54" s="102"/>
      <c r="DO54" s="102"/>
      <c r="DP54" s="143"/>
      <c r="DQ54" s="143"/>
      <c r="DR54" s="143"/>
      <c r="DS54" s="102"/>
      <c r="DT54" s="1"/>
      <c r="DU54" s="1"/>
      <c r="DV54" s="1"/>
      <c r="DW54" s="99"/>
      <c r="DX54" s="1"/>
      <c r="EE54" s="1"/>
      <c r="EK54" s="98"/>
      <c r="EL54" s="98"/>
      <c r="EM54" s="98"/>
      <c r="EN54" s="98"/>
      <c r="EO54" s="98"/>
      <c r="EP54" s="98"/>
      <c r="EQ54" s="98"/>
      <c r="ER54" s="241"/>
    </row>
    <row r="55" spans="1:148" s="93" customFormat="1">
      <c r="A55" s="95"/>
      <c r="B55" s="95"/>
      <c r="D55" s="97"/>
      <c r="E55" s="97"/>
      <c r="F55" s="97"/>
      <c r="G55" s="219"/>
      <c r="H55" s="98"/>
      <c r="I55" s="96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92"/>
      <c r="AP55" s="92"/>
      <c r="AQ55" s="92"/>
      <c r="AR55" s="1"/>
      <c r="AS55" s="228"/>
      <c r="AT55" s="1"/>
      <c r="AU55" s="1"/>
      <c r="AV55" s="1"/>
      <c r="AW55" s="1"/>
      <c r="AX55" s="1"/>
      <c r="AY55" s="1"/>
      <c r="AZ55" s="1"/>
      <c r="BA55" s="1"/>
      <c r="BB55" s="1"/>
      <c r="BC55" s="102"/>
      <c r="BD55" s="1"/>
      <c r="BE55" s="1"/>
      <c r="BF55" s="1"/>
      <c r="BG55" s="1"/>
      <c r="BH55" s="1"/>
      <c r="BI55" s="1"/>
      <c r="BJ55" s="1"/>
      <c r="BK55" s="1"/>
      <c r="BL55" s="1"/>
      <c r="BM55" s="1"/>
      <c r="BN55" s="1"/>
      <c r="BO55" s="1"/>
      <c r="BP55" s="1"/>
      <c r="BQ55" s="1"/>
      <c r="BR55" s="1"/>
      <c r="BS55" s="1"/>
      <c r="BT55" s="1"/>
      <c r="BU55" s="1"/>
      <c r="BV55" s="1"/>
      <c r="BW55" s="1"/>
      <c r="BX55" s="1"/>
      <c r="BY55" s="136"/>
      <c r="BZ55" s="136"/>
      <c r="CA55" s="136"/>
      <c r="CB55" s="136"/>
      <c r="CC55" s="136"/>
      <c r="CD55" s="136"/>
      <c r="CE55" s="136"/>
      <c r="CF55" s="147"/>
      <c r="CG55" s="136"/>
      <c r="CH55" s="147"/>
      <c r="CI55" s="147"/>
      <c r="CJ55" s="136"/>
      <c r="CK55" s="136"/>
      <c r="CL55" s="136"/>
      <c r="CM55" s="136"/>
      <c r="CN55" s="136"/>
      <c r="CO55" s="136"/>
      <c r="CP55" s="136"/>
      <c r="CQ55" s="1"/>
      <c r="CR55" s="1"/>
      <c r="CS55" s="225"/>
      <c r="CT55" s="1"/>
      <c r="CU55" s="136"/>
      <c r="CV55" s="136"/>
      <c r="CW55" s="136"/>
      <c r="CX55" s="136"/>
      <c r="CY55" s="136"/>
      <c r="CZ55" s="136"/>
      <c r="DA55" s="136"/>
      <c r="DB55" s="136"/>
      <c r="DC55" s="136"/>
      <c r="DD55" s="136"/>
      <c r="DE55" s="210"/>
      <c r="DF55" s="210"/>
      <c r="DG55" s="255"/>
      <c r="DH55" s="136"/>
      <c r="DI55" s="1"/>
      <c r="DJ55" s="1"/>
      <c r="DK55" s="102"/>
      <c r="DL55" s="102"/>
      <c r="DM55" s="102"/>
      <c r="DN55" s="102"/>
      <c r="DO55" s="102"/>
      <c r="DP55" s="143"/>
      <c r="DQ55" s="143"/>
      <c r="DR55" s="143"/>
      <c r="DS55" s="102"/>
      <c r="DT55" s="1"/>
      <c r="DU55" s="1"/>
      <c r="DV55" s="1"/>
      <c r="DW55" s="99"/>
      <c r="DX55" s="1"/>
      <c r="EE55" s="1"/>
      <c r="EK55" s="98"/>
      <c r="EL55" s="98"/>
      <c r="EM55" s="98"/>
      <c r="EN55" s="98"/>
      <c r="EO55" s="98"/>
      <c r="EP55" s="98"/>
      <c r="EQ55" s="98"/>
      <c r="ER55" s="241"/>
    </row>
    <row r="56" spans="1:148" s="93" customFormat="1">
      <c r="A56" s="95"/>
      <c r="B56" s="95"/>
      <c r="D56" s="97"/>
      <c r="E56" s="97"/>
      <c r="F56" s="97"/>
      <c r="G56" s="219"/>
      <c r="H56" s="98"/>
      <c r="I56" s="96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92"/>
      <c r="AP56" s="92"/>
      <c r="AQ56" s="92"/>
      <c r="AR56" s="1"/>
      <c r="AS56" s="228"/>
      <c r="AT56" s="1"/>
      <c r="AU56" s="1"/>
      <c r="AV56" s="1"/>
      <c r="AW56" s="1"/>
      <c r="AX56" s="1"/>
      <c r="AY56" s="1"/>
      <c r="AZ56" s="1"/>
      <c r="BA56" s="1"/>
      <c r="BB56" s="1"/>
      <c r="BC56" s="102"/>
      <c r="BD56" s="1"/>
      <c r="BE56" s="1"/>
      <c r="BF56" s="1"/>
      <c r="BG56" s="1"/>
      <c r="BH56" s="1"/>
      <c r="BI56" s="1"/>
      <c r="BJ56" s="1"/>
      <c r="BK56" s="1"/>
      <c r="BL56" s="1"/>
      <c r="BM56" s="1"/>
      <c r="BN56" s="1"/>
      <c r="BO56" s="1"/>
      <c r="BP56" s="1"/>
      <c r="BQ56" s="1"/>
      <c r="BR56" s="1"/>
      <c r="BS56" s="1"/>
      <c r="BT56" s="1"/>
      <c r="BU56" s="1"/>
      <c r="BV56" s="1"/>
      <c r="BW56" s="1"/>
      <c r="BX56" s="1"/>
      <c r="BY56" s="136"/>
      <c r="BZ56" s="136"/>
      <c r="CA56" s="136"/>
      <c r="CB56" s="136"/>
      <c r="CC56" s="136"/>
      <c r="CD56" s="136"/>
      <c r="CE56" s="136"/>
      <c r="CF56" s="147"/>
      <c r="CG56" s="136"/>
      <c r="CH56" s="147"/>
      <c r="CI56" s="147"/>
      <c r="CJ56" s="136"/>
      <c r="CK56" s="136"/>
      <c r="CL56" s="136"/>
      <c r="CM56" s="136"/>
      <c r="CN56" s="136"/>
      <c r="CO56" s="136"/>
      <c r="CP56" s="136"/>
      <c r="CQ56" s="1"/>
      <c r="CR56" s="1"/>
      <c r="CS56" s="225"/>
      <c r="CT56" s="1"/>
      <c r="CU56" s="136"/>
      <c r="CV56" s="136"/>
      <c r="CW56" s="136"/>
      <c r="CX56" s="136"/>
      <c r="CY56" s="136"/>
      <c r="CZ56" s="136"/>
      <c r="DA56" s="136"/>
      <c r="DB56" s="136"/>
      <c r="DC56" s="136"/>
      <c r="DD56" s="136"/>
      <c r="DE56" s="210"/>
      <c r="DF56" s="210"/>
      <c r="DG56" s="255"/>
      <c r="DH56" s="136"/>
      <c r="DI56" s="1"/>
      <c r="DJ56" s="1"/>
      <c r="DK56" s="102"/>
      <c r="DL56" s="102"/>
      <c r="DM56" s="102"/>
      <c r="DN56" s="102"/>
      <c r="DO56" s="102"/>
      <c r="DP56" s="143"/>
      <c r="DQ56" s="143"/>
      <c r="DR56" s="143"/>
      <c r="DS56" s="102"/>
      <c r="DT56" s="1"/>
      <c r="DU56" s="1"/>
      <c r="DV56" s="1"/>
      <c r="DW56" s="99"/>
      <c r="DX56" s="1"/>
      <c r="EE56" s="1"/>
      <c r="EK56" s="98"/>
      <c r="EL56" s="98"/>
      <c r="EM56" s="98"/>
      <c r="EN56" s="98"/>
      <c r="EO56" s="98"/>
      <c r="EP56" s="98"/>
      <c r="EQ56" s="98"/>
      <c r="ER56" s="241"/>
    </row>
    <row r="57" spans="1:148" s="93" customFormat="1">
      <c r="A57" s="95"/>
      <c r="B57" s="95"/>
      <c r="D57" s="97"/>
      <c r="E57" s="97"/>
      <c r="F57" s="97"/>
      <c r="G57" s="219"/>
      <c r="H57" s="98"/>
      <c r="I57" s="96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92"/>
      <c r="AP57" s="92"/>
      <c r="AQ57" s="92"/>
      <c r="AR57" s="1"/>
      <c r="AS57" s="228"/>
      <c r="AT57" s="1"/>
      <c r="AU57" s="1"/>
      <c r="AV57" s="1"/>
      <c r="AW57" s="1"/>
      <c r="AX57" s="1"/>
      <c r="AY57" s="1"/>
      <c r="AZ57" s="1"/>
      <c r="BA57" s="1"/>
      <c r="BB57" s="1"/>
      <c r="BC57" s="102"/>
      <c r="BD57" s="1"/>
      <c r="BE57" s="1"/>
      <c r="BF57" s="1"/>
      <c r="BG57" s="1"/>
      <c r="BH57" s="1"/>
      <c r="BI57" s="1"/>
      <c r="BJ57" s="1"/>
      <c r="BK57" s="1"/>
      <c r="BL57" s="1"/>
      <c r="BM57" s="1"/>
      <c r="BN57" s="1"/>
      <c r="BO57" s="1"/>
      <c r="BP57" s="1"/>
      <c r="BQ57" s="1"/>
      <c r="BR57" s="1"/>
      <c r="BS57" s="1"/>
      <c r="BT57" s="1"/>
      <c r="BU57" s="1"/>
      <c r="BV57" s="1"/>
      <c r="BW57" s="1"/>
      <c r="BX57" s="1"/>
      <c r="BY57" s="136"/>
      <c r="BZ57" s="136"/>
      <c r="CA57" s="136"/>
      <c r="CB57" s="136"/>
      <c r="CC57" s="136"/>
      <c r="CD57" s="136"/>
      <c r="CE57" s="136"/>
      <c r="CF57" s="147"/>
      <c r="CG57" s="136"/>
      <c r="CH57" s="147"/>
      <c r="CI57" s="147"/>
      <c r="CJ57" s="136"/>
      <c r="CK57" s="136"/>
      <c r="CL57" s="136"/>
      <c r="CM57" s="136"/>
      <c r="CN57" s="136"/>
      <c r="CO57" s="136"/>
      <c r="CP57" s="136"/>
      <c r="CQ57" s="1"/>
      <c r="CR57" s="1"/>
      <c r="CS57" s="225"/>
      <c r="CT57" s="1"/>
      <c r="CU57" s="136"/>
      <c r="CV57" s="136"/>
      <c r="CW57" s="136"/>
      <c r="CX57" s="136"/>
      <c r="CY57" s="136"/>
      <c r="CZ57" s="136"/>
      <c r="DA57" s="136"/>
      <c r="DB57" s="136"/>
      <c r="DC57" s="136"/>
      <c r="DD57" s="136"/>
      <c r="DE57" s="210"/>
      <c r="DF57" s="210"/>
      <c r="DG57" s="255"/>
      <c r="DH57" s="136"/>
      <c r="DI57" s="1"/>
      <c r="DJ57" s="1"/>
      <c r="DK57" s="102"/>
      <c r="DL57" s="102"/>
      <c r="DM57" s="102"/>
      <c r="DN57" s="102"/>
      <c r="DO57" s="102"/>
      <c r="DP57" s="143"/>
      <c r="DQ57" s="143"/>
      <c r="DR57" s="143"/>
      <c r="DS57" s="102"/>
      <c r="DT57" s="1"/>
      <c r="DU57" s="1"/>
      <c r="DV57" s="1"/>
      <c r="DW57" s="99"/>
      <c r="DX57" s="1"/>
      <c r="EE57" s="1"/>
      <c r="EK57" s="98"/>
      <c r="EL57" s="98"/>
      <c r="EM57" s="98"/>
      <c r="EN57" s="98"/>
      <c r="EO57" s="98"/>
      <c r="EP57" s="98"/>
      <c r="EQ57" s="98"/>
      <c r="ER57" s="241"/>
    </row>
    <row r="58" spans="1:148" s="93" customFormat="1">
      <c r="A58" s="95"/>
      <c r="B58" s="95"/>
      <c r="D58" s="97"/>
      <c r="E58" s="97"/>
      <c r="F58" s="97"/>
      <c r="G58" s="219"/>
      <c r="H58" s="98"/>
      <c r="I58" s="96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92"/>
      <c r="AP58" s="92"/>
      <c r="AQ58" s="92"/>
      <c r="AR58" s="1"/>
      <c r="AS58" s="228"/>
      <c r="AT58" s="1"/>
      <c r="AU58" s="1"/>
      <c r="AV58" s="1"/>
      <c r="AW58" s="1"/>
      <c r="AX58" s="1"/>
      <c r="AY58" s="1"/>
      <c r="AZ58" s="1"/>
      <c r="BA58" s="1"/>
      <c r="BB58" s="1"/>
      <c r="BC58" s="102"/>
      <c r="BD58" s="1"/>
      <c r="BE58" s="1"/>
      <c r="BF58" s="1"/>
      <c r="BG58" s="1"/>
      <c r="BH58" s="1"/>
      <c r="BI58" s="1"/>
      <c r="BJ58" s="1"/>
      <c r="BK58" s="1"/>
      <c r="BL58" s="1"/>
      <c r="BM58" s="1"/>
      <c r="BN58" s="1"/>
      <c r="BO58" s="1"/>
      <c r="BP58" s="1"/>
      <c r="BQ58" s="1"/>
      <c r="BR58" s="1"/>
      <c r="BS58" s="1"/>
      <c r="BT58" s="1"/>
      <c r="BU58" s="1"/>
      <c r="BV58" s="1"/>
      <c r="BW58" s="1"/>
      <c r="BX58" s="1"/>
      <c r="BY58" s="136"/>
      <c r="BZ58" s="136"/>
      <c r="CA58" s="136"/>
      <c r="CB58" s="136"/>
      <c r="CC58" s="136"/>
      <c r="CD58" s="136"/>
      <c r="CE58" s="136"/>
      <c r="CF58" s="147"/>
      <c r="CG58" s="136"/>
      <c r="CH58" s="147"/>
      <c r="CI58" s="147"/>
      <c r="CJ58" s="136"/>
      <c r="CK58" s="136"/>
      <c r="CL58" s="136"/>
      <c r="CM58" s="136"/>
      <c r="CN58" s="136"/>
      <c r="CO58" s="136"/>
      <c r="CP58" s="136"/>
      <c r="CQ58" s="1"/>
      <c r="CR58" s="1"/>
      <c r="CS58" s="225"/>
      <c r="CT58" s="1"/>
      <c r="CU58" s="136"/>
      <c r="CV58" s="136"/>
      <c r="CW58" s="136"/>
      <c r="CX58" s="136"/>
      <c r="CY58" s="136"/>
      <c r="CZ58" s="136"/>
      <c r="DA58" s="136"/>
      <c r="DB58" s="136"/>
      <c r="DC58" s="136"/>
      <c r="DD58" s="136"/>
      <c r="DE58" s="210"/>
      <c r="DF58" s="210"/>
      <c r="DG58" s="255"/>
      <c r="DH58" s="136"/>
      <c r="DI58" s="1"/>
      <c r="DJ58" s="1"/>
      <c r="DK58" s="102"/>
      <c r="DL58" s="102"/>
      <c r="DM58" s="102"/>
      <c r="DN58" s="102"/>
      <c r="DO58" s="102"/>
      <c r="DP58" s="143"/>
      <c r="DQ58" s="143"/>
      <c r="DR58" s="143"/>
      <c r="DS58" s="102"/>
      <c r="DT58" s="1"/>
      <c r="DU58" s="1"/>
      <c r="DV58" s="1"/>
      <c r="DW58" s="99"/>
      <c r="DX58" s="1"/>
      <c r="EE58" s="1"/>
      <c r="EK58" s="98"/>
      <c r="EL58" s="98"/>
      <c r="EM58" s="98"/>
      <c r="EN58" s="98"/>
      <c r="EO58" s="98"/>
      <c r="EP58" s="98"/>
      <c r="EQ58" s="98"/>
      <c r="ER58" s="241"/>
    </row>
    <row r="59" spans="1:148" s="93" customFormat="1">
      <c r="A59" s="95"/>
      <c r="B59" s="95"/>
      <c r="D59" s="97"/>
      <c r="E59" s="97"/>
      <c r="F59" s="97"/>
      <c r="G59" s="219"/>
      <c r="H59" s="98"/>
      <c r="I59" s="96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92"/>
      <c r="AP59" s="92"/>
      <c r="AQ59" s="92"/>
      <c r="AR59" s="1"/>
      <c r="AS59" s="228"/>
      <c r="AT59" s="1"/>
      <c r="AU59" s="1"/>
      <c r="AV59" s="1"/>
      <c r="AW59" s="1"/>
      <c r="AX59" s="1"/>
      <c r="AY59" s="1"/>
      <c r="AZ59" s="1"/>
      <c r="BA59" s="1"/>
      <c r="BB59" s="1"/>
      <c r="BC59" s="102"/>
      <c r="BD59" s="1"/>
      <c r="BE59" s="1"/>
      <c r="BF59" s="1"/>
      <c r="BG59" s="1"/>
      <c r="BH59" s="1"/>
      <c r="BI59" s="1"/>
      <c r="BJ59" s="1"/>
      <c r="BK59" s="1"/>
      <c r="BL59" s="1"/>
      <c r="BM59" s="1"/>
      <c r="BN59" s="1"/>
      <c r="BO59" s="1"/>
      <c r="BP59" s="1"/>
      <c r="BQ59" s="1"/>
      <c r="BR59" s="1"/>
      <c r="BS59" s="1"/>
      <c r="BT59" s="1"/>
      <c r="BU59" s="1"/>
      <c r="BV59" s="1"/>
      <c r="BW59" s="1"/>
      <c r="BX59" s="1"/>
      <c r="BY59" s="136"/>
      <c r="BZ59" s="136"/>
      <c r="CA59" s="136"/>
      <c r="CB59" s="136"/>
      <c r="CC59" s="136"/>
      <c r="CD59" s="136"/>
      <c r="CE59" s="136"/>
      <c r="CF59" s="147"/>
      <c r="CG59" s="136"/>
      <c r="CH59" s="147"/>
      <c r="CI59" s="147"/>
      <c r="CJ59" s="136"/>
      <c r="CK59" s="136"/>
      <c r="CL59" s="136"/>
      <c r="CM59" s="136"/>
      <c r="CN59" s="136"/>
      <c r="CO59" s="136"/>
      <c r="CP59" s="136"/>
      <c r="CQ59" s="1"/>
      <c r="CR59" s="1"/>
      <c r="CS59" s="225"/>
      <c r="CT59" s="1"/>
      <c r="CU59" s="136"/>
      <c r="CV59" s="136"/>
      <c r="CW59" s="136"/>
      <c r="CX59" s="136"/>
      <c r="CY59" s="136"/>
      <c r="CZ59" s="136"/>
      <c r="DA59" s="136"/>
      <c r="DB59" s="136"/>
      <c r="DC59" s="136"/>
      <c r="DD59" s="136"/>
      <c r="DE59" s="210"/>
      <c r="DF59" s="210"/>
      <c r="DG59" s="255"/>
      <c r="DH59" s="136"/>
      <c r="DI59" s="1"/>
      <c r="DJ59" s="1"/>
      <c r="DK59" s="102"/>
      <c r="DL59" s="102"/>
      <c r="DM59" s="102"/>
      <c r="DN59" s="102"/>
      <c r="DO59" s="102"/>
      <c r="DP59" s="143"/>
      <c r="DQ59" s="143"/>
      <c r="DR59" s="143"/>
      <c r="DS59" s="102"/>
      <c r="DT59" s="1"/>
      <c r="DU59" s="1"/>
      <c r="DV59" s="1"/>
      <c r="DW59" s="99"/>
      <c r="DX59" s="1"/>
      <c r="EE59" s="1"/>
      <c r="EK59" s="98"/>
      <c r="EL59" s="98"/>
      <c r="EM59" s="98"/>
      <c r="EN59" s="98"/>
      <c r="EO59" s="98"/>
      <c r="EP59" s="98"/>
      <c r="EQ59" s="98"/>
      <c r="ER59" s="241"/>
    </row>
    <row r="60" spans="1:148" s="93" customFormat="1">
      <c r="A60" s="95"/>
      <c r="B60" s="95"/>
      <c r="D60" s="97"/>
      <c r="E60" s="97"/>
      <c r="F60" s="97"/>
      <c r="G60" s="219"/>
      <c r="H60" s="98"/>
      <c r="I60" s="96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92"/>
      <c r="AP60" s="92"/>
      <c r="AQ60" s="92"/>
      <c r="AR60" s="1"/>
      <c r="AS60" s="228"/>
      <c r="AT60" s="1"/>
      <c r="AU60" s="1"/>
      <c r="AV60" s="1"/>
      <c r="AW60" s="1"/>
      <c r="AX60" s="1"/>
      <c r="AY60" s="1"/>
      <c r="AZ60" s="1"/>
      <c r="BA60" s="1"/>
      <c r="BB60" s="1"/>
      <c r="BC60" s="102"/>
      <c r="BD60" s="1"/>
      <c r="BE60" s="1"/>
      <c r="BF60" s="1"/>
      <c r="BG60" s="1"/>
      <c r="BH60" s="1"/>
      <c r="BI60" s="1"/>
      <c r="BJ60" s="1"/>
      <c r="BK60" s="1"/>
      <c r="BL60" s="1"/>
      <c r="BM60" s="1"/>
      <c r="BN60" s="1"/>
      <c r="BO60" s="1"/>
      <c r="BP60" s="1"/>
      <c r="BQ60" s="1"/>
      <c r="BR60" s="1"/>
      <c r="BS60" s="1"/>
      <c r="BT60" s="1"/>
      <c r="BU60" s="1"/>
      <c r="BV60" s="1"/>
      <c r="BW60" s="1"/>
      <c r="BX60" s="1"/>
      <c r="BY60" s="136"/>
      <c r="BZ60" s="136"/>
      <c r="CA60" s="136"/>
      <c r="CB60" s="136"/>
      <c r="CC60" s="136"/>
      <c r="CD60" s="136"/>
      <c r="CE60" s="136"/>
      <c r="CF60" s="147"/>
      <c r="CG60" s="136"/>
      <c r="CH60" s="147"/>
      <c r="CI60" s="147"/>
      <c r="CJ60" s="136"/>
      <c r="CK60" s="136"/>
      <c r="CL60" s="136"/>
      <c r="CM60" s="136"/>
      <c r="CN60" s="136"/>
      <c r="CO60" s="136"/>
      <c r="CP60" s="136"/>
      <c r="CQ60" s="1"/>
      <c r="CR60" s="1"/>
      <c r="CS60" s="225"/>
      <c r="CT60" s="1"/>
      <c r="CU60" s="136"/>
      <c r="CV60" s="136"/>
      <c r="CW60" s="136"/>
      <c r="CX60" s="136"/>
      <c r="CY60" s="136"/>
      <c r="CZ60" s="136"/>
      <c r="DA60" s="136"/>
      <c r="DB60" s="136"/>
      <c r="DC60" s="136"/>
      <c r="DD60" s="136"/>
      <c r="DE60" s="210"/>
      <c r="DF60" s="210"/>
      <c r="DG60" s="255"/>
      <c r="DH60" s="136"/>
      <c r="DI60" s="1"/>
      <c r="DJ60" s="1"/>
      <c r="DK60" s="102"/>
      <c r="DL60" s="102"/>
      <c r="DM60" s="102"/>
      <c r="DN60" s="102"/>
      <c r="DO60" s="102"/>
      <c r="DP60" s="143"/>
      <c r="DQ60" s="143"/>
      <c r="DR60" s="143"/>
      <c r="DS60" s="102"/>
      <c r="DT60" s="1"/>
      <c r="DU60" s="1"/>
      <c r="DV60" s="1"/>
      <c r="DW60" s="99"/>
      <c r="DX60" s="1"/>
      <c r="EE60" s="1"/>
      <c r="EK60" s="98"/>
      <c r="EL60" s="98"/>
      <c r="EM60" s="98"/>
      <c r="EN60" s="98"/>
      <c r="EO60" s="98"/>
      <c r="EP60" s="98"/>
      <c r="EQ60" s="98"/>
      <c r="ER60" s="241"/>
    </row>
    <row r="61" spans="1:148" s="93" customFormat="1">
      <c r="A61" s="95"/>
      <c r="B61" s="95"/>
      <c r="D61" s="97"/>
      <c r="E61" s="97"/>
      <c r="F61" s="97"/>
      <c r="G61" s="219"/>
      <c r="H61" s="98"/>
      <c r="I61" s="96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92"/>
      <c r="AP61" s="92"/>
      <c r="AQ61" s="92"/>
      <c r="AR61" s="1"/>
      <c r="AS61" s="228"/>
      <c r="AT61" s="1"/>
      <c r="AU61" s="1"/>
      <c r="AV61" s="1"/>
      <c r="AW61" s="1"/>
      <c r="AX61" s="1"/>
      <c r="AY61" s="1"/>
      <c r="AZ61" s="1"/>
      <c r="BA61" s="1"/>
      <c r="BB61" s="1"/>
      <c r="BC61" s="102"/>
      <c r="BD61" s="1"/>
      <c r="BE61" s="1"/>
      <c r="BF61" s="1"/>
      <c r="BG61" s="1"/>
      <c r="BH61" s="1"/>
      <c r="BI61" s="1"/>
      <c r="BJ61" s="1"/>
      <c r="BK61" s="1"/>
      <c r="BL61" s="1"/>
      <c r="BM61" s="1"/>
      <c r="BN61" s="1"/>
      <c r="BO61" s="1"/>
      <c r="BP61" s="1"/>
      <c r="BQ61" s="1"/>
      <c r="BR61" s="1"/>
      <c r="BS61" s="1"/>
      <c r="BT61" s="1"/>
      <c r="BU61" s="1"/>
      <c r="BV61" s="1"/>
      <c r="BW61" s="1"/>
      <c r="BX61" s="1"/>
      <c r="BY61" s="136"/>
      <c r="BZ61" s="136"/>
      <c r="CA61" s="136"/>
      <c r="CB61" s="136"/>
      <c r="CC61" s="136"/>
      <c r="CD61" s="136"/>
      <c r="CE61" s="136"/>
      <c r="CF61" s="147"/>
      <c r="CG61" s="136"/>
      <c r="CH61" s="147"/>
      <c r="CI61" s="147"/>
      <c r="CJ61" s="136"/>
      <c r="CK61" s="136"/>
      <c r="CL61" s="136"/>
      <c r="CM61" s="136"/>
      <c r="CN61" s="136"/>
      <c r="CO61" s="136"/>
      <c r="CP61" s="136"/>
      <c r="CQ61" s="1"/>
      <c r="CR61" s="1"/>
      <c r="CS61" s="225"/>
      <c r="CT61" s="1"/>
      <c r="CU61" s="136"/>
      <c r="CV61" s="136"/>
      <c r="CW61" s="136"/>
      <c r="CX61" s="136"/>
      <c r="CY61" s="136"/>
      <c r="CZ61" s="136"/>
      <c r="DA61" s="136"/>
      <c r="DB61" s="136"/>
      <c r="DC61" s="136"/>
      <c r="DD61" s="136"/>
      <c r="DE61" s="210"/>
      <c r="DF61" s="210"/>
      <c r="DG61" s="255"/>
      <c r="DH61" s="136"/>
      <c r="DI61" s="1"/>
      <c r="DJ61" s="1"/>
      <c r="DK61" s="102"/>
      <c r="DL61" s="102"/>
      <c r="DM61" s="102"/>
      <c r="DN61" s="102"/>
      <c r="DO61" s="102"/>
      <c r="DP61" s="143"/>
      <c r="DQ61" s="143"/>
      <c r="DR61" s="143"/>
      <c r="DS61" s="102"/>
      <c r="DT61" s="1"/>
      <c r="DU61" s="1"/>
      <c r="DV61" s="1"/>
      <c r="DW61" s="99"/>
      <c r="DX61" s="1"/>
      <c r="EE61" s="1"/>
      <c r="EK61" s="98"/>
      <c r="EL61" s="98"/>
      <c r="EM61" s="98"/>
      <c r="EN61" s="98"/>
      <c r="EO61" s="98"/>
      <c r="EP61" s="98"/>
      <c r="EQ61" s="98"/>
      <c r="ER61" s="241"/>
    </row>
    <row r="62" spans="1:148" s="93" customFormat="1">
      <c r="A62" s="95"/>
      <c r="B62" s="95"/>
      <c r="D62" s="97"/>
      <c r="E62" s="97"/>
      <c r="F62" s="97"/>
      <c r="G62" s="219"/>
      <c r="H62" s="98"/>
      <c r="I62" s="96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92"/>
      <c r="AP62" s="92"/>
      <c r="AQ62" s="92"/>
      <c r="AR62" s="1"/>
      <c r="AS62" s="228"/>
      <c r="AT62" s="1"/>
      <c r="AU62" s="1"/>
      <c r="AV62" s="1"/>
      <c r="AW62" s="1"/>
      <c r="AX62" s="1"/>
      <c r="AY62" s="1"/>
      <c r="AZ62" s="1"/>
      <c r="BA62" s="1"/>
      <c r="BB62" s="1"/>
      <c r="BC62" s="102"/>
      <c r="BD62" s="1"/>
      <c r="BE62" s="1"/>
      <c r="BF62" s="1"/>
      <c r="BG62" s="1"/>
      <c r="BH62" s="1"/>
      <c r="BI62" s="1"/>
      <c r="BJ62" s="1"/>
      <c r="BK62" s="1"/>
      <c r="BL62" s="1"/>
      <c r="BM62" s="1"/>
      <c r="BN62" s="1"/>
      <c r="BO62" s="1"/>
      <c r="BP62" s="1"/>
      <c r="BQ62" s="1"/>
      <c r="BR62" s="1"/>
      <c r="BS62" s="1"/>
      <c r="BT62" s="1"/>
      <c r="BU62" s="1"/>
      <c r="BV62" s="1"/>
      <c r="BW62" s="1"/>
      <c r="BX62" s="1"/>
      <c r="BY62" s="136"/>
      <c r="BZ62" s="136"/>
      <c r="CA62" s="136"/>
      <c r="CB62" s="136"/>
      <c r="CC62" s="136"/>
      <c r="CD62" s="136"/>
      <c r="CE62" s="136"/>
      <c r="CF62" s="147"/>
      <c r="CG62" s="136"/>
      <c r="CH62" s="147"/>
      <c r="CI62" s="147"/>
      <c r="CJ62" s="136"/>
      <c r="CK62" s="136"/>
      <c r="CL62" s="136"/>
      <c r="CM62" s="136"/>
      <c r="CN62" s="136"/>
      <c r="CO62" s="136"/>
      <c r="CP62" s="136"/>
      <c r="CQ62" s="1"/>
      <c r="CR62" s="1"/>
      <c r="CS62" s="225"/>
      <c r="CT62" s="1"/>
      <c r="CU62" s="136"/>
      <c r="CV62" s="136"/>
      <c r="CW62" s="136"/>
      <c r="CX62" s="136"/>
      <c r="CY62" s="136"/>
      <c r="CZ62" s="136"/>
      <c r="DA62" s="136"/>
      <c r="DB62" s="136"/>
      <c r="DC62" s="136"/>
      <c r="DD62" s="136"/>
      <c r="DE62" s="210"/>
      <c r="DF62" s="210"/>
      <c r="DG62" s="255"/>
      <c r="DH62" s="136"/>
      <c r="DI62" s="1"/>
      <c r="DJ62" s="1"/>
      <c r="DK62" s="102"/>
      <c r="DL62" s="102"/>
      <c r="DM62" s="102"/>
      <c r="DN62" s="102"/>
      <c r="DO62" s="102"/>
      <c r="DP62" s="143"/>
      <c r="DQ62" s="143"/>
      <c r="DR62" s="143"/>
      <c r="DS62" s="102"/>
      <c r="DT62" s="1"/>
      <c r="DU62" s="1"/>
      <c r="DV62" s="1"/>
      <c r="DW62" s="99"/>
      <c r="DX62" s="1"/>
      <c r="EE62" s="1"/>
      <c r="EK62" s="98"/>
      <c r="EL62" s="98"/>
      <c r="EM62" s="98"/>
      <c r="EN62" s="98"/>
      <c r="EO62" s="98"/>
      <c r="EP62" s="98"/>
      <c r="EQ62" s="98"/>
      <c r="ER62" s="241"/>
    </row>
    <row r="63" spans="1:148" s="93" customFormat="1">
      <c r="A63" s="95"/>
      <c r="B63" s="95"/>
      <c r="D63" s="97"/>
      <c r="E63" s="97"/>
      <c r="F63" s="97"/>
      <c r="G63" s="219"/>
      <c r="H63" s="98"/>
      <c r="I63" s="96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92"/>
      <c r="AP63" s="92"/>
      <c r="AQ63" s="92"/>
      <c r="AR63" s="1"/>
      <c r="AS63" s="228"/>
      <c r="AT63" s="1"/>
      <c r="AU63" s="1"/>
      <c r="AV63" s="1"/>
      <c r="AW63" s="1"/>
      <c r="AX63" s="1"/>
      <c r="AY63" s="1"/>
      <c r="AZ63" s="1"/>
      <c r="BA63" s="1"/>
      <c r="BB63" s="1"/>
      <c r="BC63" s="102"/>
      <c r="BD63" s="1"/>
      <c r="BE63" s="1"/>
      <c r="BF63" s="1"/>
      <c r="BG63" s="1"/>
      <c r="BH63" s="1"/>
      <c r="BI63" s="1"/>
      <c r="BJ63" s="1"/>
      <c r="BK63" s="1"/>
      <c r="BL63" s="1"/>
      <c r="BM63" s="1"/>
      <c r="BN63" s="1"/>
      <c r="BO63" s="1"/>
      <c r="BP63" s="1"/>
      <c r="BQ63" s="1"/>
      <c r="BR63" s="1"/>
      <c r="BS63" s="1"/>
      <c r="BT63" s="1"/>
      <c r="BU63" s="1"/>
      <c r="BV63" s="1"/>
      <c r="BW63" s="1"/>
      <c r="BX63" s="1"/>
      <c r="BY63" s="136"/>
      <c r="BZ63" s="136"/>
      <c r="CA63" s="136"/>
      <c r="CB63" s="136"/>
      <c r="CC63" s="136"/>
      <c r="CD63" s="136"/>
      <c r="CE63" s="136"/>
      <c r="CF63" s="147"/>
      <c r="CG63" s="136"/>
      <c r="CH63" s="147"/>
      <c r="CI63" s="147"/>
      <c r="CJ63" s="136"/>
      <c r="CK63" s="136"/>
      <c r="CL63" s="136"/>
      <c r="CM63" s="136"/>
      <c r="CN63" s="136"/>
      <c r="CO63" s="136"/>
      <c r="CP63" s="136"/>
      <c r="CQ63" s="1"/>
      <c r="CR63" s="1"/>
      <c r="CS63" s="225"/>
      <c r="CT63" s="1"/>
      <c r="CU63" s="136"/>
      <c r="CV63" s="136"/>
      <c r="CW63" s="136"/>
      <c r="CX63" s="136"/>
      <c r="CY63" s="136"/>
      <c r="CZ63" s="136"/>
      <c r="DA63" s="136"/>
      <c r="DB63" s="136"/>
      <c r="DC63" s="136"/>
      <c r="DD63" s="136"/>
      <c r="DE63" s="210"/>
      <c r="DF63" s="210"/>
      <c r="DG63" s="255"/>
      <c r="DH63" s="136"/>
      <c r="DI63" s="1"/>
      <c r="DJ63" s="1"/>
      <c r="DK63" s="102"/>
      <c r="DL63" s="102"/>
      <c r="DM63" s="102"/>
      <c r="DN63" s="102"/>
      <c r="DO63" s="102"/>
      <c r="DP63" s="143"/>
      <c r="DQ63" s="143"/>
      <c r="DR63" s="143"/>
      <c r="DS63" s="102"/>
      <c r="DT63" s="1"/>
      <c r="DU63" s="1"/>
      <c r="DV63" s="1"/>
      <c r="DW63" s="99"/>
      <c r="DX63" s="1"/>
      <c r="EE63" s="1"/>
      <c r="EK63" s="98"/>
      <c r="EL63" s="98"/>
      <c r="EM63" s="98"/>
      <c r="EN63" s="98"/>
      <c r="EO63" s="98"/>
      <c r="EP63" s="98"/>
      <c r="EQ63" s="98"/>
      <c r="ER63" s="241"/>
    </row>
    <row r="64" spans="1:148" s="93" customFormat="1">
      <c r="A64" s="95"/>
      <c r="B64" s="95"/>
      <c r="D64" s="97"/>
      <c r="E64" s="97"/>
      <c r="F64" s="97"/>
      <c r="G64" s="219"/>
      <c r="H64" s="98"/>
      <c r="I64" s="96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92"/>
      <c r="AP64" s="92"/>
      <c r="AQ64" s="92"/>
      <c r="AR64" s="1"/>
      <c r="AS64" s="228"/>
      <c r="AT64" s="1"/>
      <c r="AU64" s="1"/>
      <c r="AV64" s="1"/>
      <c r="AW64" s="1"/>
      <c r="AX64" s="1"/>
      <c r="AY64" s="1"/>
      <c r="AZ64" s="1"/>
      <c r="BA64" s="1"/>
      <c r="BB64" s="1"/>
      <c r="BC64" s="102"/>
      <c r="BD64" s="1"/>
      <c r="BE64" s="1"/>
      <c r="BF64" s="1"/>
      <c r="BG64" s="1"/>
      <c r="BH64" s="1"/>
      <c r="BI64" s="1"/>
      <c r="BJ64" s="1"/>
      <c r="BK64" s="1"/>
      <c r="BL64" s="1"/>
      <c r="BM64" s="1"/>
      <c r="BN64" s="1"/>
      <c r="BO64" s="1"/>
      <c r="BP64" s="1"/>
      <c r="BQ64" s="1"/>
      <c r="BR64" s="1"/>
      <c r="BS64" s="1"/>
      <c r="BT64" s="1"/>
      <c r="BU64" s="1"/>
      <c r="BV64" s="1"/>
      <c r="BW64" s="1"/>
      <c r="BX64" s="1"/>
      <c r="BY64" s="136"/>
      <c r="BZ64" s="136"/>
      <c r="CA64" s="136"/>
      <c r="CB64" s="136"/>
      <c r="CC64" s="136"/>
      <c r="CD64" s="136"/>
      <c r="CE64" s="136"/>
      <c r="CF64" s="147"/>
      <c r="CG64" s="136"/>
      <c r="CH64" s="147"/>
      <c r="CI64" s="147"/>
      <c r="CJ64" s="136"/>
      <c r="CK64" s="136"/>
      <c r="CL64" s="136"/>
      <c r="CM64" s="136"/>
      <c r="CN64" s="136"/>
      <c r="CO64" s="136"/>
      <c r="CP64" s="136"/>
      <c r="CQ64" s="1"/>
      <c r="CR64" s="1"/>
      <c r="CS64" s="225"/>
      <c r="CT64" s="1"/>
      <c r="CU64" s="136"/>
      <c r="CV64" s="136"/>
      <c r="CW64" s="136"/>
      <c r="CX64" s="136"/>
      <c r="CY64" s="136"/>
      <c r="CZ64" s="136"/>
      <c r="DA64" s="136"/>
      <c r="DB64" s="136"/>
      <c r="DC64" s="136"/>
      <c r="DD64" s="136"/>
      <c r="DE64" s="210"/>
      <c r="DF64" s="210"/>
      <c r="DG64" s="255"/>
      <c r="DH64" s="136"/>
      <c r="DI64" s="1"/>
      <c r="DJ64" s="1"/>
      <c r="DK64" s="102"/>
      <c r="DL64" s="102"/>
      <c r="DM64" s="102"/>
      <c r="DN64" s="102"/>
      <c r="DO64" s="102"/>
      <c r="DP64" s="143"/>
      <c r="DQ64" s="143"/>
      <c r="DR64" s="143"/>
      <c r="DS64" s="102"/>
      <c r="DT64" s="1"/>
      <c r="DU64" s="1"/>
      <c r="DV64" s="1"/>
      <c r="DW64" s="99"/>
      <c r="DX64" s="1"/>
      <c r="EE64" s="1"/>
      <c r="EK64" s="98"/>
      <c r="EL64" s="98"/>
      <c r="EM64" s="98"/>
      <c r="EN64" s="98"/>
      <c r="EO64" s="98"/>
      <c r="EP64" s="98"/>
      <c r="EQ64" s="98"/>
      <c r="ER64" s="241"/>
    </row>
    <row r="65" spans="1:148" s="93" customFormat="1">
      <c r="A65" s="95"/>
      <c r="B65" s="95"/>
      <c r="D65" s="97"/>
      <c r="E65" s="97"/>
      <c r="F65" s="97"/>
      <c r="G65" s="219"/>
      <c r="H65" s="98"/>
      <c r="I65" s="96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92"/>
      <c r="AP65" s="92"/>
      <c r="AQ65" s="92"/>
      <c r="AR65" s="1"/>
      <c r="AS65" s="228"/>
      <c r="AT65" s="1"/>
      <c r="AU65" s="1"/>
      <c r="AV65" s="1"/>
      <c r="AW65" s="1"/>
      <c r="AX65" s="1"/>
      <c r="AY65" s="1"/>
      <c r="AZ65" s="1"/>
      <c r="BA65" s="1"/>
      <c r="BB65" s="1"/>
      <c r="BC65" s="102"/>
      <c r="BD65" s="1"/>
      <c r="BE65" s="1"/>
      <c r="BF65" s="1"/>
      <c r="BG65" s="1"/>
      <c r="BH65" s="1"/>
      <c r="BI65" s="1"/>
      <c r="BJ65" s="1"/>
      <c r="BK65" s="1"/>
      <c r="BL65" s="1"/>
      <c r="BM65" s="1"/>
      <c r="BN65" s="1"/>
      <c r="BO65" s="1"/>
      <c r="BP65" s="1"/>
      <c r="BQ65" s="1"/>
      <c r="BR65" s="1"/>
      <c r="BS65" s="1"/>
      <c r="BT65" s="1"/>
      <c r="BU65" s="1"/>
      <c r="BV65" s="1"/>
      <c r="BW65" s="1"/>
      <c r="BX65" s="1"/>
      <c r="BY65" s="136"/>
      <c r="BZ65" s="136"/>
      <c r="CA65" s="136"/>
      <c r="CB65" s="136"/>
      <c r="CC65" s="136"/>
      <c r="CD65" s="136"/>
      <c r="CE65" s="136"/>
      <c r="CF65" s="147"/>
      <c r="CG65" s="136"/>
      <c r="CH65" s="147"/>
      <c r="CI65" s="147"/>
      <c r="CJ65" s="136"/>
      <c r="CK65" s="136"/>
      <c r="CL65" s="136"/>
      <c r="CM65" s="136"/>
      <c r="CN65" s="136"/>
      <c r="CO65" s="136"/>
      <c r="CP65" s="136"/>
      <c r="CQ65" s="1"/>
      <c r="CR65" s="1"/>
      <c r="CS65" s="225"/>
      <c r="CT65" s="1"/>
      <c r="CU65" s="136"/>
      <c r="CV65" s="136"/>
      <c r="CW65" s="136"/>
      <c r="CX65" s="136"/>
      <c r="CY65" s="136"/>
      <c r="CZ65" s="136"/>
      <c r="DA65" s="136"/>
      <c r="DB65" s="136"/>
      <c r="DC65" s="136"/>
      <c r="DD65" s="136"/>
      <c r="DE65" s="210"/>
      <c r="DF65" s="210"/>
      <c r="DG65" s="255"/>
      <c r="DH65" s="136"/>
      <c r="DI65" s="1"/>
      <c r="DJ65" s="1"/>
      <c r="DK65" s="102"/>
      <c r="DL65" s="102"/>
      <c r="DM65" s="102"/>
      <c r="DN65" s="102"/>
      <c r="DO65" s="102"/>
      <c r="DP65" s="143"/>
      <c r="DQ65" s="143"/>
      <c r="DR65" s="143"/>
      <c r="DS65" s="102"/>
      <c r="DT65" s="1"/>
      <c r="DU65" s="1"/>
      <c r="DV65" s="1"/>
      <c r="DW65" s="99"/>
      <c r="DX65" s="1"/>
      <c r="EE65" s="1"/>
      <c r="EK65" s="98"/>
      <c r="EL65" s="98"/>
      <c r="EM65" s="98"/>
      <c r="EN65" s="98"/>
      <c r="EO65" s="98"/>
      <c r="EP65" s="98"/>
      <c r="EQ65" s="98"/>
      <c r="ER65" s="241"/>
    </row>
    <row r="66" spans="1:148" s="93" customFormat="1">
      <c r="A66" s="95"/>
      <c r="B66" s="95"/>
      <c r="D66" s="97"/>
      <c r="E66" s="97"/>
      <c r="F66" s="97"/>
      <c r="G66" s="219"/>
      <c r="H66" s="98"/>
      <c r="I66" s="96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92"/>
      <c r="AP66" s="92"/>
      <c r="AQ66" s="92"/>
      <c r="AR66" s="1"/>
      <c r="AS66" s="228"/>
      <c r="AT66" s="1"/>
      <c r="AU66" s="1"/>
      <c r="AV66" s="1"/>
      <c r="AW66" s="1"/>
      <c r="AX66" s="1"/>
      <c r="AY66" s="1"/>
      <c r="AZ66" s="1"/>
      <c r="BA66" s="1"/>
      <c r="BB66" s="1"/>
      <c r="BC66" s="102"/>
      <c r="BD66" s="1"/>
      <c r="BE66" s="1"/>
      <c r="BF66" s="1"/>
      <c r="BG66" s="1"/>
      <c r="BH66" s="1"/>
      <c r="BI66" s="1"/>
      <c r="BJ66" s="1"/>
      <c r="BK66" s="1"/>
      <c r="BL66" s="1"/>
      <c r="BM66" s="1"/>
      <c r="BN66" s="1"/>
      <c r="BO66" s="1"/>
      <c r="BP66" s="1"/>
      <c r="BQ66" s="1"/>
      <c r="BR66" s="1"/>
      <c r="BS66" s="1"/>
      <c r="BT66" s="1"/>
      <c r="BU66" s="1"/>
      <c r="BV66" s="1"/>
      <c r="BW66" s="1"/>
      <c r="BX66" s="1"/>
      <c r="BY66" s="136"/>
      <c r="BZ66" s="136"/>
      <c r="CA66" s="136"/>
      <c r="CB66" s="136"/>
      <c r="CC66" s="136"/>
      <c r="CD66" s="136"/>
      <c r="CE66" s="136"/>
      <c r="CF66" s="147"/>
      <c r="CG66" s="136"/>
      <c r="CH66" s="147"/>
      <c r="CI66" s="147"/>
      <c r="CJ66" s="136"/>
      <c r="CK66" s="136"/>
      <c r="CL66" s="136"/>
      <c r="CM66" s="136"/>
      <c r="CN66" s="136"/>
      <c r="CO66" s="136"/>
      <c r="CP66" s="136"/>
      <c r="CQ66" s="1"/>
      <c r="CR66" s="1"/>
      <c r="CS66" s="225"/>
      <c r="CT66" s="1"/>
      <c r="CU66" s="136"/>
      <c r="CV66" s="136"/>
      <c r="CW66" s="136"/>
      <c r="CX66" s="136"/>
      <c r="CY66" s="136"/>
      <c r="CZ66" s="136"/>
      <c r="DA66" s="136"/>
      <c r="DB66" s="136"/>
      <c r="DC66" s="136"/>
      <c r="DD66" s="136"/>
      <c r="DE66" s="210"/>
      <c r="DF66" s="210"/>
      <c r="DG66" s="255"/>
      <c r="DH66" s="136"/>
      <c r="DI66" s="1"/>
      <c r="DJ66" s="1"/>
      <c r="DK66" s="102"/>
      <c r="DL66" s="102"/>
      <c r="DM66" s="102"/>
      <c r="DN66" s="102"/>
      <c r="DO66" s="102"/>
      <c r="DP66" s="143"/>
      <c r="DQ66" s="143"/>
      <c r="DR66" s="143"/>
      <c r="DS66" s="102"/>
      <c r="DT66" s="1"/>
      <c r="DU66" s="1"/>
      <c r="DV66" s="1"/>
      <c r="DW66" s="99"/>
      <c r="DX66" s="1"/>
      <c r="EE66" s="1"/>
      <c r="EK66" s="98"/>
      <c r="EL66" s="98"/>
      <c r="EM66" s="98"/>
      <c r="EN66" s="98"/>
      <c r="EO66" s="98"/>
      <c r="EP66" s="98"/>
      <c r="EQ66" s="98"/>
      <c r="ER66" s="241"/>
    </row>
    <row r="67" spans="1:148" s="93" customFormat="1">
      <c r="A67" s="95"/>
      <c r="B67" s="95"/>
      <c r="D67" s="97"/>
      <c r="E67" s="97"/>
      <c r="F67" s="97"/>
      <c r="G67" s="219"/>
      <c r="H67" s="98"/>
      <c r="I67" s="96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92"/>
      <c r="AP67" s="92"/>
      <c r="AQ67" s="92"/>
      <c r="AR67" s="1"/>
      <c r="AS67" s="228"/>
      <c r="AT67" s="1"/>
      <c r="AU67" s="1"/>
      <c r="AV67" s="1"/>
      <c r="AW67" s="1"/>
      <c r="AX67" s="1"/>
      <c r="AY67" s="1"/>
      <c r="AZ67" s="1"/>
      <c r="BA67" s="1"/>
      <c r="BB67" s="1"/>
      <c r="BC67" s="102"/>
      <c r="BD67" s="1"/>
      <c r="BE67" s="1"/>
      <c r="BF67" s="1"/>
      <c r="BG67" s="1"/>
      <c r="BH67" s="1"/>
      <c r="BI67" s="1"/>
      <c r="BJ67" s="1"/>
      <c r="BK67" s="1"/>
      <c r="BL67" s="1"/>
      <c r="BM67" s="1"/>
      <c r="BN67" s="1"/>
      <c r="BO67" s="1"/>
      <c r="BP67" s="1"/>
      <c r="BQ67" s="1"/>
      <c r="BR67" s="1"/>
      <c r="BS67" s="1"/>
      <c r="BT67" s="1"/>
      <c r="BU67" s="1"/>
      <c r="BV67" s="1"/>
      <c r="BW67" s="1"/>
      <c r="BX67" s="1"/>
      <c r="BY67" s="136"/>
      <c r="BZ67" s="136"/>
      <c r="CA67" s="136"/>
      <c r="CB67" s="136"/>
      <c r="CC67" s="136"/>
      <c r="CD67" s="136"/>
      <c r="CE67" s="136"/>
      <c r="CF67" s="147"/>
      <c r="CG67" s="136"/>
      <c r="CH67" s="147"/>
      <c r="CI67" s="147"/>
      <c r="CJ67" s="136"/>
      <c r="CK67" s="136"/>
      <c r="CL67" s="136"/>
      <c r="CM67" s="136"/>
      <c r="CN67" s="136"/>
      <c r="CO67" s="136"/>
      <c r="CP67" s="136"/>
      <c r="CQ67" s="1"/>
      <c r="CR67" s="1"/>
      <c r="CS67" s="225"/>
      <c r="CT67" s="1"/>
      <c r="CU67" s="136"/>
      <c r="CV67" s="136"/>
      <c r="CW67" s="136"/>
      <c r="CX67" s="136"/>
      <c r="CY67" s="136"/>
      <c r="CZ67" s="136"/>
      <c r="DA67" s="136"/>
      <c r="DB67" s="136"/>
      <c r="DC67" s="136"/>
      <c r="DD67" s="136"/>
      <c r="DE67" s="210"/>
      <c r="DF67" s="210"/>
      <c r="DG67" s="255"/>
      <c r="DH67" s="136"/>
      <c r="DI67" s="1"/>
      <c r="DJ67" s="1"/>
      <c r="DK67" s="102"/>
      <c r="DL67" s="102"/>
      <c r="DM67" s="102"/>
      <c r="DN67" s="102"/>
      <c r="DO67" s="102"/>
      <c r="DP67" s="143"/>
      <c r="DQ67" s="143"/>
      <c r="DR67" s="143"/>
      <c r="DS67" s="102"/>
      <c r="DT67" s="1"/>
      <c r="DU67" s="1"/>
      <c r="DV67" s="1"/>
      <c r="DW67" s="99"/>
      <c r="DX67" s="1"/>
      <c r="EE67" s="1"/>
      <c r="EK67" s="98"/>
      <c r="EL67" s="98"/>
      <c r="EM67" s="98"/>
      <c r="EN67" s="98"/>
      <c r="EO67" s="98"/>
      <c r="EP67" s="98"/>
      <c r="EQ67" s="98"/>
      <c r="ER67" s="241"/>
    </row>
    <row r="68" spans="1:148" s="93" customFormat="1">
      <c r="A68" s="95"/>
      <c r="B68" s="95"/>
      <c r="D68" s="97"/>
      <c r="E68" s="97"/>
      <c r="F68" s="97"/>
      <c r="G68" s="219"/>
      <c r="H68" s="98"/>
      <c r="I68" s="96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92"/>
      <c r="AP68" s="92"/>
      <c r="AQ68" s="92"/>
      <c r="AR68" s="1"/>
      <c r="AS68" s="228"/>
      <c r="AT68" s="1"/>
      <c r="AU68" s="1"/>
      <c r="AV68" s="1"/>
      <c r="AW68" s="1"/>
      <c r="AX68" s="1"/>
      <c r="AY68" s="1"/>
      <c r="AZ68" s="1"/>
      <c r="BA68" s="1"/>
      <c r="BB68" s="1"/>
      <c r="BC68" s="102"/>
      <c r="BD68" s="1"/>
      <c r="BE68" s="1"/>
      <c r="BF68" s="1"/>
      <c r="BG68" s="1"/>
      <c r="BH68" s="1"/>
      <c r="BI68" s="1"/>
      <c r="BJ68" s="1"/>
      <c r="BK68" s="1"/>
      <c r="BL68" s="1"/>
      <c r="BM68" s="1"/>
      <c r="BN68" s="1"/>
      <c r="BO68" s="1"/>
      <c r="BP68" s="1"/>
      <c r="BQ68" s="1"/>
      <c r="BR68" s="1"/>
      <c r="BS68" s="1"/>
      <c r="BT68" s="1"/>
      <c r="BU68" s="1"/>
      <c r="BV68" s="1"/>
      <c r="BW68" s="1"/>
      <c r="BX68" s="1"/>
      <c r="BY68" s="136"/>
      <c r="BZ68" s="136"/>
      <c r="CA68" s="136"/>
      <c r="CB68" s="136"/>
      <c r="CC68" s="136"/>
      <c r="CD68" s="136"/>
      <c r="CE68" s="136"/>
      <c r="CF68" s="147"/>
      <c r="CG68" s="136"/>
      <c r="CH68" s="147"/>
      <c r="CI68" s="147"/>
      <c r="CJ68" s="136"/>
      <c r="CK68" s="136"/>
      <c r="CL68" s="136"/>
      <c r="CM68" s="136"/>
      <c r="CN68" s="136"/>
      <c r="CO68" s="136"/>
      <c r="CP68" s="136"/>
      <c r="CQ68" s="1"/>
      <c r="CR68" s="1"/>
      <c r="CS68" s="225"/>
      <c r="CT68" s="1"/>
      <c r="CU68" s="136"/>
      <c r="CV68" s="136"/>
      <c r="CW68" s="136"/>
      <c r="CX68" s="136"/>
      <c r="CY68" s="136"/>
      <c r="CZ68" s="136"/>
      <c r="DA68" s="136"/>
      <c r="DB68" s="136"/>
      <c r="DC68" s="136"/>
      <c r="DD68" s="136"/>
      <c r="DE68" s="210"/>
      <c r="DF68" s="210"/>
      <c r="DG68" s="255"/>
      <c r="DH68" s="136"/>
      <c r="DI68" s="1"/>
      <c r="DJ68" s="1"/>
      <c r="DK68" s="102"/>
      <c r="DL68" s="102"/>
      <c r="DM68" s="102"/>
      <c r="DN68" s="102"/>
      <c r="DO68" s="102"/>
      <c r="DP68" s="143"/>
      <c r="DQ68" s="143"/>
      <c r="DR68" s="143"/>
      <c r="DS68" s="102"/>
      <c r="DT68" s="1"/>
      <c r="DU68" s="1"/>
      <c r="DV68" s="1"/>
      <c r="DW68" s="99"/>
      <c r="DX68" s="1"/>
      <c r="EE68" s="1"/>
      <c r="EK68" s="98"/>
      <c r="EL68" s="98"/>
      <c r="EM68" s="98"/>
      <c r="EN68" s="98"/>
      <c r="EO68" s="98"/>
      <c r="EP68" s="98"/>
      <c r="EQ68" s="98"/>
      <c r="ER68" s="241"/>
    </row>
    <row r="69" spans="1:148" s="93" customFormat="1">
      <c r="A69" s="95"/>
      <c r="B69" s="95"/>
      <c r="D69" s="97"/>
      <c r="E69" s="97"/>
      <c r="F69" s="97"/>
      <c r="G69" s="219"/>
      <c r="H69" s="98"/>
      <c r="I69" s="96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92"/>
      <c r="AP69" s="92"/>
      <c r="AQ69" s="92"/>
      <c r="AR69" s="1"/>
      <c r="AS69" s="228"/>
      <c r="AT69" s="1"/>
      <c r="AU69" s="1"/>
      <c r="AV69" s="1"/>
      <c r="AW69" s="1"/>
      <c r="AX69" s="1"/>
      <c r="AY69" s="1"/>
      <c r="AZ69" s="1"/>
      <c r="BA69" s="1"/>
      <c r="BB69" s="1"/>
      <c r="BC69" s="102"/>
      <c r="BD69" s="1"/>
      <c r="BE69" s="1"/>
      <c r="BF69" s="1"/>
      <c r="BG69" s="1"/>
      <c r="BH69" s="1"/>
      <c r="BI69" s="1"/>
      <c r="BJ69" s="1"/>
      <c r="BK69" s="1"/>
      <c r="BL69" s="1"/>
      <c r="BM69" s="1"/>
      <c r="BN69" s="1"/>
      <c r="BO69" s="1"/>
      <c r="BP69" s="1"/>
      <c r="BQ69" s="1"/>
      <c r="BR69" s="1"/>
      <c r="BS69" s="1"/>
      <c r="BT69" s="1"/>
      <c r="BU69" s="1"/>
      <c r="BV69" s="1"/>
      <c r="BW69" s="1"/>
      <c r="BX69" s="1"/>
      <c r="BY69" s="136"/>
      <c r="BZ69" s="136"/>
      <c r="CA69" s="136"/>
      <c r="CB69" s="136"/>
      <c r="CC69" s="136"/>
      <c r="CD69" s="136"/>
      <c r="CE69" s="136"/>
      <c r="CF69" s="147"/>
      <c r="CG69" s="136"/>
      <c r="CH69" s="147"/>
      <c r="CI69" s="147"/>
      <c r="CJ69" s="136"/>
      <c r="CK69" s="136"/>
      <c r="CL69" s="136"/>
      <c r="CM69" s="136"/>
      <c r="CN69" s="136"/>
      <c r="CO69" s="136"/>
      <c r="CP69" s="136"/>
      <c r="CQ69" s="1"/>
      <c r="CR69" s="1"/>
      <c r="CS69" s="225"/>
      <c r="CT69" s="1"/>
      <c r="CU69" s="136"/>
      <c r="CV69" s="136"/>
      <c r="CW69" s="136"/>
      <c r="CX69" s="136"/>
      <c r="CY69" s="136"/>
      <c r="CZ69" s="136"/>
      <c r="DA69" s="136"/>
      <c r="DB69" s="136"/>
      <c r="DC69" s="136"/>
      <c r="DD69" s="136"/>
      <c r="DE69" s="210"/>
      <c r="DF69" s="210"/>
      <c r="DG69" s="255"/>
      <c r="DH69" s="136"/>
      <c r="DI69" s="1"/>
      <c r="DJ69" s="1"/>
      <c r="DK69" s="102"/>
      <c r="DL69" s="102"/>
      <c r="DM69" s="102"/>
      <c r="DN69" s="102"/>
      <c r="DO69" s="102"/>
      <c r="DP69" s="143"/>
      <c r="DQ69" s="143"/>
      <c r="DR69" s="143"/>
      <c r="DS69" s="102"/>
      <c r="DT69" s="1"/>
      <c r="DU69" s="1"/>
      <c r="DV69" s="1"/>
      <c r="DW69" s="99"/>
      <c r="DX69" s="1"/>
      <c r="EE69" s="1"/>
      <c r="EK69" s="98"/>
      <c r="EL69" s="98"/>
      <c r="EM69" s="98"/>
      <c r="EN69" s="98"/>
      <c r="EO69" s="98"/>
      <c r="EP69" s="98"/>
      <c r="EQ69" s="98"/>
      <c r="ER69" s="241"/>
    </row>
    <row r="70" spans="1:148" s="93" customFormat="1">
      <c r="A70" s="95"/>
      <c r="B70" s="95"/>
      <c r="D70" s="97"/>
      <c r="E70" s="97"/>
      <c r="F70" s="97"/>
      <c r="G70" s="219"/>
      <c r="H70" s="98"/>
      <c r="I70" s="96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92"/>
      <c r="AP70" s="92"/>
      <c r="AQ70" s="92"/>
      <c r="AR70" s="1"/>
      <c r="AS70" s="228"/>
      <c r="AT70" s="1"/>
      <c r="AU70" s="1"/>
      <c r="AV70" s="1"/>
      <c r="AW70" s="1"/>
      <c r="AX70" s="1"/>
      <c r="AY70" s="1"/>
      <c r="AZ70" s="1"/>
      <c r="BA70" s="1"/>
      <c r="BB70" s="1"/>
      <c r="BC70" s="102"/>
      <c r="BD70" s="1"/>
      <c r="BE70" s="1"/>
      <c r="BF70" s="1"/>
      <c r="BG70" s="1"/>
      <c r="BH70" s="1"/>
      <c r="BI70" s="1"/>
      <c r="BJ70" s="1"/>
      <c r="BK70" s="1"/>
      <c r="BL70" s="1"/>
      <c r="BM70" s="1"/>
      <c r="BN70" s="1"/>
      <c r="BO70" s="1"/>
      <c r="BP70" s="1"/>
      <c r="BQ70" s="1"/>
      <c r="BR70" s="1"/>
      <c r="BS70" s="1"/>
      <c r="BT70" s="1"/>
      <c r="BU70" s="1"/>
      <c r="BV70" s="1"/>
      <c r="BW70" s="1"/>
      <c r="BX70" s="1"/>
      <c r="BY70" s="136"/>
      <c r="BZ70" s="136"/>
      <c r="CA70" s="136"/>
      <c r="CB70" s="136"/>
      <c r="CC70" s="136"/>
      <c r="CD70" s="136"/>
      <c r="CE70" s="136"/>
      <c r="CF70" s="147"/>
      <c r="CG70" s="136"/>
      <c r="CH70" s="147"/>
      <c r="CI70" s="147"/>
      <c r="CJ70" s="136"/>
      <c r="CK70" s="136"/>
      <c r="CL70" s="136"/>
      <c r="CM70" s="136"/>
      <c r="CN70" s="136"/>
      <c r="CO70" s="136"/>
      <c r="CP70" s="136"/>
      <c r="CQ70" s="1"/>
      <c r="CR70" s="1"/>
      <c r="CS70" s="225"/>
      <c r="CT70" s="1"/>
      <c r="CU70" s="136"/>
      <c r="CV70" s="136"/>
      <c r="CW70" s="136"/>
      <c r="CX70" s="136"/>
      <c r="CY70" s="136"/>
      <c r="CZ70" s="136"/>
      <c r="DA70" s="136"/>
      <c r="DB70" s="136"/>
      <c r="DC70" s="136"/>
      <c r="DD70" s="136"/>
      <c r="DE70" s="210"/>
      <c r="DF70" s="210"/>
      <c r="DG70" s="255"/>
      <c r="DH70" s="136"/>
      <c r="DI70" s="1"/>
      <c r="DJ70" s="1"/>
      <c r="DK70" s="102"/>
      <c r="DL70" s="102"/>
      <c r="DM70" s="102"/>
      <c r="DN70" s="102"/>
      <c r="DO70" s="102"/>
      <c r="DP70" s="143"/>
      <c r="DQ70" s="143"/>
      <c r="DR70" s="143"/>
      <c r="DS70" s="102"/>
      <c r="DT70" s="1"/>
      <c r="DU70" s="1"/>
      <c r="DV70" s="1"/>
      <c r="DW70" s="99"/>
      <c r="DX70" s="1"/>
      <c r="EE70" s="1"/>
      <c r="EK70" s="98"/>
      <c r="EL70" s="98"/>
      <c r="EM70" s="98"/>
      <c r="EN70" s="98"/>
      <c r="EO70" s="98"/>
      <c r="EP70" s="98"/>
      <c r="EQ70" s="98"/>
      <c r="ER70" s="241"/>
    </row>
    <row r="71" spans="1:148" s="93" customFormat="1">
      <c r="A71" s="95"/>
      <c r="B71" s="95"/>
      <c r="D71" s="97"/>
      <c r="E71" s="97"/>
      <c r="F71" s="97"/>
      <c r="G71" s="219"/>
      <c r="H71" s="98"/>
      <c r="I71" s="96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92"/>
      <c r="AP71" s="92"/>
      <c r="AQ71" s="92"/>
      <c r="AR71" s="1"/>
      <c r="AS71" s="228"/>
      <c r="AT71" s="1"/>
      <c r="AU71" s="1"/>
      <c r="AV71" s="1"/>
      <c r="AW71" s="1"/>
      <c r="AX71" s="1"/>
      <c r="AY71" s="1"/>
      <c r="AZ71" s="1"/>
      <c r="BA71" s="1"/>
      <c r="BB71" s="1"/>
      <c r="BC71" s="102"/>
      <c r="BD71" s="1"/>
      <c r="BE71" s="1"/>
      <c r="BF71" s="1"/>
      <c r="BG71" s="1"/>
      <c r="BH71" s="1"/>
      <c r="BI71" s="1"/>
      <c r="BJ71" s="1"/>
      <c r="BK71" s="1"/>
      <c r="BL71" s="1"/>
      <c r="BM71" s="1"/>
      <c r="BN71" s="1"/>
      <c r="BO71" s="1"/>
      <c r="BP71" s="1"/>
      <c r="BQ71" s="1"/>
      <c r="BR71" s="1"/>
      <c r="BS71" s="1"/>
      <c r="BT71" s="1"/>
      <c r="BU71" s="1"/>
      <c r="BV71" s="1"/>
      <c r="BW71" s="1"/>
      <c r="BX71" s="1"/>
      <c r="BY71" s="136"/>
      <c r="BZ71" s="136"/>
      <c r="CA71" s="136"/>
      <c r="CB71" s="136"/>
      <c r="CC71" s="136"/>
      <c r="CD71" s="136"/>
      <c r="CE71" s="136"/>
      <c r="CF71" s="147"/>
      <c r="CG71" s="136"/>
      <c r="CH71" s="147"/>
      <c r="CI71" s="147"/>
      <c r="CJ71" s="136"/>
      <c r="CK71" s="136"/>
      <c r="CL71" s="136"/>
      <c r="CM71" s="136"/>
      <c r="CN71" s="136"/>
      <c r="CO71" s="136"/>
      <c r="CP71" s="136"/>
      <c r="CQ71" s="1"/>
      <c r="CR71" s="1"/>
      <c r="CS71" s="225"/>
      <c r="CT71" s="1"/>
      <c r="CU71" s="136"/>
      <c r="CV71" s="136"/>
      <c r="CW71" s="136"/>
      <c r="CX71" s="136"/>
      <c r="CY71" s="136"/>
      <c r="CZ71" s="136"/>
      <c r="DA71" s="136"/>
      <c r="DB71" s="136"/>
      <c r="DC71" s="136"/>
      <c r="DD71" s="136"/>
      <c r="DE71" s="210"/>
      <c r="DF71" s="210"/>
      <c r="DG71" s="255"/>
      <c r="DH71" s="136"/>
      <c r="DI71" s="1"/>
      <c r="DJ71" s="1"/>
      <c r="DK71" s="102"/>
      <c r="DL71" s="102"/>
      <c r="DM71" s="102"/>
      <c r="DN71" s="102"/>
      <c r="DO71" s="102"/>
      <c r="DP71" s="143"/>
      <c r="DQ71" s="143"/>
      <c r="DR71" s="143"/>
      <c r="DS71" s="102"/>
      <c r="DT71" s="1"/>
      <c r="DU71" s="1"/>
      <c r="DV71" s="1"/>
      <c r="DW71" s="99"/>
      <c r="DX71" s="1"/>
      <c r="EE71" s="1"/>
      <c r="EK71" s="98"/>
      <c r="EL71" s="98"/>
      <c r="EM71" s="98"/>
      <c r="EN71" s="98"/>
      <c r="EO71" s="98"/>
      <c r="EP71" s="98"/>
      <c r="EQ71" s="98"/>
      <c r="ER71" s="241"/>
    </row>
    <row r="72" spans="1:148" s="93" customFormat="1">
      <c r="A72" s="95"/>
      <c r="B72" s="95"/>
      <c r="D72" s="97"/>
      <c r="E72" s="97"/>
      <c r="F72" s="97"/>
      <c r="G72" s="219"/>
      <c r="H72" s="98"/>
      <c r="I72" s="96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92"/>
      <c r="AP72" s="92"/>
      <c r="AQ72" s="92"/>
      <c r="AR72" s="1"/>
      <c r="AS72" s="228"/>
      <c r="AT72" s="1"/>
      <c r="AU72" s="1"/>
      <c r="AV72" s="1"/>
      <c r="AW72" s="1"/>
      <c r="AX72" s="1"/>
      <c r="AY72" s="1"/>
      <c r="AZ72" s="1"/>
      <c r="BA72" s="1"/>
      <c r="BB72" s="1"/>
      <c r="BC72" s="102"/>
      <c r="BD72" s="1"/>
      <c r="BE72" s="1"/>
      <c r="BF72" s="1"/>
      <c r="BG72" s="1"/>
      <c r="BH72" s="1"/>
      <c r="BI72" s="1"/>
      <c r="BJ72" s="1"/>
      <c r="BK72" s="1"/>
      <c r="BL72" s="1"/>
      <c r="BM72" s="1"/>
      <c r="BN72" s="1"/>
      <c r="BO72" s="1"/>
      <c r="BP72" s="1"/>
      <c r="BQ72" s="1"/>
      <c r="BR72" s="1"/>
      <c r="BS72" s="1"/>
      <c r="BT72" s="1"/>
      <c r="BU72" s="1"/>
      <c r="BV72" s="1"/>
      <c r="BW72" s="1"/>
      <c r="BX72" s="1"/>
      <c r="BY72" s="136"/>
      <c r="BZ72" s="136"/>
      <c r="CA72" s="136"/>
      <c r="CB72" s="136"/>
      <c r="CC72" s="136"/>
      <c r="CD72" s="136"/>
      <c r="CE72" s="136"/>
      <c r="CF72" s="147"/>
      <c r="CG72" s="136"/>
      <c r="CH72" s="147"/>
      <c r="CI72" s="147"/>
      <c r="CJ72" s="136"/>
      <c r="CK72" s="136"/>
      <c r="CL72" s="136"/>
      <c r="CM72" s="136"/>
      <c r="CN72" s="136"/>
      <c r="CO72" s="136"/>
      <c r="CP72" s="136"/>
      <c r="CQ72" s="1"/>
      <c r="CR72" s="1"/>
      <c r="CS72" s="225"/>
      <c r="CT72" s="1"/>
      <c r="CU72" s="136"/>
      <c r="CV72" s="136"/>
      <c r="CW72" s="136"/>
      <c r="CX72" s="136"/>
      <c r="CY72" s="136"/>
      <c r="CZ72" s="136"/>
      <c r="DA72" s="136"/>
      <c r="DB72" s="136"/>
      <c r="DC72" s="136"/>
      <c r="DD72" s="136"/>
      <c r="DE72" s="210"/>
      <c r="DF72" s="210"/>
      <c r="DG72" s="255"/>
      <c r="DH72" s="136"/>
      <c r="DI72" s="1"/>
      <c r="DJ72" s="1"/>
      <c r="DK72" s="102"/>
      <c r="DL72" s="102"/>
      <c r="DM72" s="102"/>
      <c r="DN72" s="102"/>
      <c r="DO72" s="102"/>
      <c r="DP72" s="143"/>
      <c r="DQ72" s="143"/>
      <c r="DR72" s="143"/>
      <c r="DS72" s="102"/>
      <c r="DT72" s="1"/>
      <c r="DU72" s="1"/>
      <c r="DV72" s="1"/>
      <c r="DW72" s="99"/>
      <c r="DX72" s="1"/>
      <c r="EE72" s="1"/>
      <c r="EK72" s="98"/>
      <c r="EL72" s="98"/>
      <c r="EM72" s="98"/>
      <c r="EN72" s="98"/>
      <c r="EO72" s="98"/>
      <c r="EP72" s="98"/>
      <c r="EQ72" s="98"/>
      <c r="ER72" s="241"/>
    </row>
    <row r="73" spans="1:148" s="93" customFormat="1">
      <c r="A73" s="95"/>
      <c r="B73" s="95"/>
      <c r="D73" s="97"/>
      <c r="E73" s="97"/>
      <c r="F73" s="97"/>
      <c r="G73" s="219"/>
      <c r="H73" s="98"/>
      <c r="I73" s="96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92"/>
      <c r="AP73" s="92"/>
      <c r="AQ73" s="92"/>
      <c r="AR73" s="1"/>
      <c r="AS73" s="228"/>
      <c r="AT73" s="1"/>
      <c r="AU73" s="1"/>
      <c r="AV73" s="1"/>
      <c r="AW73" s="1"/>
      <c r="AX73" s="1"/>
      <c r="AY73" s="1"/>
      <c r="AZ73" s="1"/>
      <c r="BA73" s="1"/>
      <c r="BB73" s="1"/>
      <c r="BC73" s="102"/>
      <c r="BD73" s="1"/>
      <c r="BE73" s="1"/>
      <c r="BF73" s="1"/>
      <c r="BG73" s="1"/>
      <c r="BH73" s="1"/>
      <c r="BI73" s="1"/>
      <c r="BJ73" s="1"/>
      <c r="BK73" s="1"/>
      <c r="BL73" s="1"/>
      <c r="BM73" s="1"/>
      <c r="BN73" s="1"/>
      <c r="BO73" s="1"/>
      <c r="BP73" s="1"/>
      <c r="BQ73" s="1"/>
      <c r="BR73" s="1"/>
      <c r="BS73" s="1"/>
      <c r="BT73" s="1"/>
      <c r="BU73" s="1"/>
      <c r="BV73" s="1"/>
      <c r="BW73" s="1"/>
      <c r="BX73" s="1"/>
      <c r="BY73" s="136"/>
      <c r="BZ73" s="136"/>
      <c r="CA73" s="136"/>
      <c r="CB73" s="136"/>
      <c r="CC73" s="136"/>
      <c r="CD73" s="136"/>
      <c r="CE73" s="136"/>
      <c r="CF73" s="147"/>
      <c r="CG73" s="136"/>
      <c r="CH73" s="147"/>
      <c r="CI73" s="147"/>
      <c r="CJ73" s="136"/>
      <c r="CK73" s="136"/>
      <c r="CL73" s="136"/>
      <c r="CM73" s="136"/>
      <c r="CN73" s="136"/>
      <c r="CO73" s="136"/>
      <c r="CP73" s="136"/>
      <c r="CQ73" s="1"/>
      <c r="CR73" s="1"/>
      <c r="CS73" s="225"/>
      <c r="CT73" s="1"/>
      <c r="CU73" s="136"/>
      <c r="CV73" s="136"/>
      <c r="CW73" s="136"/>
      <c r="CX73" s="136"/>
      <c r="CY73" s="136"/>
      <c r="CZ73" s="136"/>
      <c r="DA73" s="136"/>
      <c r="DB73" s="136"/>
      <c r="DC73" s="136"/>
      <c r="DD73" s="136"/>
      <c r="DE73" s="210"/>
      <c r="DF73" s="210"/>
      <c r="DG73" s="255"/>
      <c r="DH73" s="136"/>
      <c r="DI73" s="1"/>
      <c r="DJ73" s="1"/>
      <c r="DK73" s="102"/>
      <c r="DL73" s="102"/>
      <c r="DM73" s="102"/>
      <c r="DN73" s="102"/>
      <c r="DO73" s="102"/>
      <c r="DP73" s="143"/>
      <c r="DQ73" s="143"/>
      <c r="DR73" s="143"/>
      <c r="DS73" s="102"/>
      <c r="DT73" s="1"/>
      <c r="DU73" s="1"/>
      <c r="DV73" s="1"/>
      <c r="DW73" s="99"/>
      <c r="DX73" s="1"/>
      <c r="EE73" s="1"/>
      <c r="EK73" s="98"/>
      <c r="EL73" s="98"/>
      <c r="EM73" s="98"/>
      <c r="EN73" s="98"/>
      <c r="EO73" s="98"/>
      <c r="EP73" s="98"/>
      <c r="EQ73" s="98"/>
      <c r="ER73" s="241"/>
    </row>
    <row r="74" spans="1:148" s="93" customFormat="1">
      <c r="A74" s="95"/>
      <c r="B74" s="95"/>
      <c r="D74" s="97"/>
      <c r="E74" s="97"/>
      <c r="F74" s="97"/>
      <c r="G74" s="219"/>
      <c r="H74" s="98"/>
      <c r="I74" s="96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92"/>
      <c r="AP74" s="92"/>
      <c r="AQ74" s="92"/>
      <c r="AR74" s="1"/>
      <c r="AS74" s="228"/>
      <c r="AT74" s="1"/>
      <c r="AU74" s="1"/>
      <c r="AV74" s="1"/>
      <c r="AW74" s="1"/>
      <c r="AX74" s="1"/>
      <c r="AY74" s="1"/>
      <c r="AZ74" s="1"/>
      <c r="BA74" s="1"/>
      <c r="BB74" s="1"/>
      <c r="BC74" s="102"/>
      <c r="BD74" s="1"/>
      <c r="BE74" s="1"/>
      <c r="BF74" s="1"/>
      <c r="BG74" s="1"/>
      <c r="BH74" s="1"/>
      <c r="BI74" s="1"/>
      <c r="BJ74" s="1"/>
      <c r="BK74" s="1"/>
      <c r="BL74" s="1"/>
      <c r="BM74" s="1"/>
      <c r="BN74" s="1"/>
      <c r="BO74" s="1"/>
      <c r="BP74" s="1"/>
      <c r="BQ74" s="1"/>
      <c r="BR74" s="1"/>
      <c r="BS74" s="1"/>
      <c r="BT74" s="1"/>
      <c r="BU74" s="1"/>
      <c r="BV74" s="1"/>
      <c r="BW74" s="1"/>
      <c r="BX74" s="1"/>
      <c r="BY74" s="136"/>
      <c r="BZ74" s="136"/>
      <c r="CA74" s="136"/>
      <c r="CB74" s="136"/>
      <c r="CC74" s="136"/>
      <c r="CD74" s="136"/>
      <c r="CE74" s="136"/>
      <c r="CF74" s="147"/>
      <c r="CG74" s="136"/>
      <c r="CH74" s="147"/>
      <c r="CI74" s="147"/>
      <c r="CJ74" s="136"/>
      <c r="CK74" s="136"/>
      <c r="CL74" s="136"/>
      <c r="CM74" s="136"/>
      <c r="CN74" s="136"/>
      <c r="CO74" s="136"/>
      <c r="CP74" s="136"/>
      <c r="CQ74" s="1"/>
      <c r="CR74" s="1"/>
      <c r="CS74" s="225"/>
      <c r="CT74" s="1"/>
      <c r="CU74" s="136"/>
      <c r="CV74" s="136"/>
      <c r="CW74" s="136"/>
      <c r="CX74" s="136"/>
      <c r="CY74" s="136"/>
      <c r="CZ74" s="136"/>
      <c r="DA74" s="136"/>
      <c r="DB74" s="136"/>
      <c r="DC74" s="136"/>
      <c r="DD74" s="136"/>
      <c r="DE74" s="210"/>
      <c r="DF74" s="210"/>
      <c r="DG74" s="255"/>
      <c r="DH74" s="136"/>
      <c r="DI74" s="1"/>
      <c r="DJ74" s="1"/>
      <c r="DK74" s="102"/>
      <c r="DL74" s="102"/>
      <c r="DM74" s="102"/>
      <c r="DN74" s="102"/>
      <c r="DO74" s="102"/>
      <c r="DP74" s="143"/>
      <c r="DQ74" s="143"/>
      <c r="DR74" s="143"/>
      <c r="DS74" s="102"/>
      <c r="DT74" s="1"/>
      <c r="DU74" s="1"/>
      <c r="DV74" s="1"/>
      <c r="DW74" s="99"/>
      <c r="DX74" s="1"/>
      <c r="EE74" s="1"/>
      <c r="EK74" s="98"/>
      <c r="EL74" s="98"/>
      <c r="EM74" s="98"/>
      <c r="EN74" s="98"/>
      <c r="EO74" s="98"/>
      <c r="EP74" s="98"/>
      <c r="EQ74" s="98"/>
      <c r="ER74" s="241"/>
    </row>
    <row r="75" spans="1:148" s="93" customFormat="1">
      <c r="A75" s="95"/>
      <c r="B75" s="95"/>
      <c r="D75" s="97"/>
      <c r="E75" s="97"/>
      <c r="F75" s="97"/>
      <c r="G75" s="219"/>
      <c r="H75" s="98"/>
      <c r="I75" s="96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92"/>
      <c r="AP75" s="92"/>
      <c r="AQ75" s="92"/>
      <c r="AR75" s="1"/>
      <c r="AS75" s="228"/>
      <c r="AT75" s="1"/>
      <c r="AU75" s="1"/>
      <c r="AV75" s="1"/>
      <c r="AW75" s="1"/>
      <c r="AX75" s="1"/>
      <c r="AY75" s="1"/>
      <c r="AZ75" s="1"/>
      <c r="BA75" s="1"/>
      <c r="BB75" s="1"/>
      <c r="BC75" s="102"/>
      <c r="BD75" s="1"/>
      <c r="BE75" s="1"/>
      <c r="BF75" s="1"/>
      <c r="BG75" s="1"/>
      <c r="BH75" s="1"/>
      <c r="BI75" s="1"/>
      <c r="BJ75" s="1"/>
      <c r="BK75" s="1"/>
      <c r="BL75" s="1"/>
      <c r="BM75" s="1"/>
      <c r="BN75" s="1"/>
      <c r="BO75" s="1"/>
      <c r="BP75" s="1"/>
      <c r="BQ75" s="1"/>
      <c r="BR75" s="1"/>
      <c r="BS75" s="1"/>
      <c r="BT75" s="1"/>
      <c r="BU75" s="1"/>
      <c r="BV75" s="1"/>
      <c r="BW75" s="1"/>
      <c r="BX75" s="1"/>
      <c r="BY75" s="136"/>
      <c r="BZ75" s="136"/>
      <c r="CA75" s="136"/>
      <c r="CB75" s="136"/>
      <c r="CC75" s="136"/>
      <c r="CD75" s="136"/>
      <c r="CE75" s="136"/>
      <c r="CF75" s="147"/>
      <c r="CG75" s="136"/>
      <c r="CH75" s="147"/>
      <c r="CI75" s="147"/>
      <c r="CJ75" s="136"/>
      <c r="CK75" s="136"/>
      <c r="CL75" s="136"/>
      <c r="CM75" s="136"/>
      <c r="CN75" s="136"/>
      <c r="CO75" s="136"/>
      <c r="CP75" s="136"/>
      <c r="CQ75" s="1"/>
      <c r="CR75" s="1"/>
      <c r="CS75" s="225"/>
      <c r="CT75" s="1"/>
      <c r="CU75" s="136"/>
      <c r="CV75" s="136"/>
      <c r="CW75" s="136"/>
      <c r="CX75" s="136"/>
      <c r="CY75" s="136"/>
      <c r="CZ75" s="136"/>
      <c r="DA75" s="136"/>
      <c r="DB75" s="136"/>
      <c r="DC75" s="136"/>
      <c r="DD75" s="136"/>
      <c r="DE75" s="210"/>
      <c r="DF75" s="210"/>
      <c r="DG75" s="255"/>
      <c r="DH75" s="136"/>
      <c r="DI75" s="1"/>
      <c r="DJ75" s="1"/>
      <c r="DK75" s="102"/>
      <c r="DL75" s="102"/>
      <c r="DM75" s="102"/>
      <c r="DN75" s="102"/>
      <c r="DO75" s="102"/>
      <c r="DP75" s="143"/>
      <c r="DQ75" s="143"/>
      <c r="DR75" s="143"/>
      <c r="DS75" s="102"/>
      <c r="DT75" s="1"/>
      <c r="DU75" s="1"/>
      <c r="DV75" s="1"/>
      <c r="DW75" s="99"/>
      <c r="DX75" s="1"/>
      <c r="EE75" s="1"/>
      <c r="EK75" s="98"/>
      <c r="EL75" s="98"/>
      <c r="EM75" s="98"/>
      <c r="EN75" s="98"/>
      <c r="EO75" s="98"/>
      <c r="EP75" s="98"/>
      <c r="EQ75" s="98"/>
      <c r="ER75" s="241"/>
    </row>
    <row r="76" spans="1:148" s="93" customFormat="1">
      <c r="A76" s="95"/>
      <c r="B76" s="95"/>
      <c r="D76" s="97"/>
      <c r="E76" s="97"/>
      <c r="F76" s="97"/>
      <c r="G76" s="219"/>
      <c r="H76" s="98"/>
      <c r="I76" s="96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92"/>
      <c r="AP76" s="92"/>
      <c r="AQ76" s="92"/>
      <c r="AR76" s="1"/>
      <c r="AS76" s="228"/>
      <c r="AT76" s="1"/>
      <c r="AU76" s="1"/>
      <c r="AV76" s="1"/>
      <c r="AW76" s="1"/>
      <c r="AX76" s="1"/>
      <c r="AY76" s="1"/>
      <c r="AZ76" s="1"/>
      <c r="BA76" s="1"/>
      <c r="BB76" s="1"/>
      <c r="BC76" s="102"/>
      <c r="BD76" s="1"/>
      <c r="BE76" s="1"/>
      <c r="BF76" s="1"/>
      <c r="BG76" s="1"/>
      <c r="BH76" s="1"/>
      <c r="BI76" s="1"/>
      <c r="BJ76" s="1"/>
      <c r="BK76" s="1"/>
      <c r="BL76" s="1"/>
      <c r="BM76" s="1"/>
      <c r="BN76" s="1"/>
      <c r="BO76" s="1"/>
      <c r="BP76" s="1"/>
      <c r="BQ76" s="1"/>
      <c r="BR76" s="1"/>
      <c r="BS76" s="1"/>
      <c r="BT76" s="1"/>
      <c r="BU76" s="1"/>
      <c r="BV76" s="1"/>
      <c r="BW76" s="1"/>
      <c r="BX76" s="1"/>
      <c r="BY76" s="136"/>
      <c r="BZ76" s="136"/>
      <c r="CA76" s="136"/>
      <c r="CB76" s="136"/>
      <c r="CC76" s="136"/>
      <c r="CD76" s="136"/>
      <c r="CE76" s="136"/>
      <c r="CF76" s="147"/>
      <c r="CG76" s="136"/>
      <c r="CH76" s="147"/>
      <c r="CI76" s="147"/>
      <c r="CJ76" s="136"/>
      <c r="CK76" s="136"/>
      <c r="CL76" s="136"/>
      <c r="CM76" s="136"/>
      <c r="CN76" s="136"/>
      <c r="CO76" s="136"/>
      <c r="CP76" s="136"/>
      <c r="CQ76" s="1"/>
      <c r="CR76" s="1"/>
      <c r="CS76" s="225"/>
      <c r="CT76" s="1"/>
      <c r="CU76" s="136"/>
      <c r="CV76" s="136"/>
      <c r="CW76" s="136"/>
      <c r="CX76" s="136"/>
      <c r="CY76" s="136"/>
      <c r="CZ76" s="136"/>
      <c r="DA76" s="136"/>
      <c r="DB76" s="136"/>
      <c r="DC76" s="136"/>
      <c r="DD76" s="136"/>
      <c r="DE76" s="210"/>
      <c r="DF76" s="210"/>
      <c r="DG76" s="255"/>
      <c r="DH76" s="136"/>
      <c r="DI76" s="1"/>
      <c r="DJ76" s="1"/>
      <c r="DK76" s="102"/>
      <c r="DL76" s="102"/>
      <c r="DM76" s="102"/>
      <c r="DN76" s="102"/>
      <c r="DO76" s="102"/>
      <c r="DP76" s="143"/>
      <c r="DQ76" s="143"/>
      <c r="DR76" s="143"/>
      <c r="DS76" s="102"/>
      <c r="DT76" s="1"/>
      <c r="DU76" s="1"/>
      <c r="DV76" s="1"/>
      <c r="DW76" s="99"/>
      <c r="DX76" s="1"/>
      <c r="EE76" s="1"/>
      <c r="EK76" s="98"/>
      <c r="EL76" s="98"/>
      <c r="EM76" s="98"/>
      <c r="EN76" s="98"/>
      <c r="EO76" s="98"/>
      <c r="EP76" s="98"/>
      <c r="EQ76" s="98"/>
      <c r="ER76" s="241"/>
    </row>
    <row r="77" spans="1:148" s="93" customFormat="1">
      <c r="A77" s="95"/>
      <c r="B77" s="95"/>
      <c r="D77" s="97"/>
      <c r="E77" s="97"/>
      <c r="F77" s="97"/>
      <c r="G77" s="219"/>
      <c r="H77" s="98"/>
      <c r="I77" s="96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92"/>
      <c r="AP77" s="92"/>
      <c r="AQ77" s="92"/>
      <c r="AR77" s="1"/>
      <c r="AS77" s="228"/>
      <c r="AT77" s="1"/>
      <c r="AU77" s="1"/>
      <c r="AV77" s="1"/>
      <c r="AW77" s="1"/>
      <c r="AX77" s="1"/>
      <c r="AY77" s="1"/>
      <c r="AZ77" s="1"/>
      <c r="BA77" s="1"/>
      <c r="BB77" s="1"/>
      <c r="BC77" s="102"/>
      <c r="BD77" s="1"/>
      <c r="BE77" s="1"/>
      <c r="BF77" s="1"/>
      <c r="BG77" s="1"/>
      <c r="BH77" s="1"/>
      <c r="BI77" s="1"/>
      <c r="BJ77" s="1"/>
      <c r="BK77" s="1"/>
      <c r="BL77" s="1"/>
      <c r="BM77" s="1"/>
      <c r="BN77" s="1"/>
      <c r="BO77" s="1"/>
      <c r="BP77" s="1"/>
      <c r="BQ77" s="1"/>
      <c r="BR77" s="1"/>
      <c r="BS77" s="1"/>
      <c r="BT77" s="1"/>
      <c r="BU77" s="1"/>
      <c r="BV77" s="1"/>
      <c r="BW77" s="1"/>
      <c r="BX77" s="1"/>
      <c r="BY77" s="136"/>
      <c r="BZ77" s="136"/>
      <c r="CA77" s="136"/>
      <c r="CB77" s="136"/>
      <c r="CC77" s="136"/>
      <c r="CD77" s="136"/>
      <c r="CE77" s="136"/>
      <c r="CF77" s="147"/>
      <c r="CG77" s="136"/>
      <c r="CH77" s="147"/>
      <c r="CI77" s="147"/>
      <c r="CJ77" s="136"/>
      <c r="CK77" s="136"/>
      <c r="CL77" s="136"/>
      <c r="CM77" s="136"/>
      <c r="CN77" s="136"/>
      <c r="CO77" s="136"/>
      <c r="CP77" s="136"/>
      <c r="CQ77" s="1"/>
      <c r="CR77" s="1"/>
      <c r="CS77" s="225"/>
      <c r="CT77" s="1"/>
      <c r="CU77" s="136"/>
      <c r="CV77" s="136"/>
      <c r="CW77" s="136"/>
      <c r="CX77" s="136"/>
      <c r="CY77" s="136"/>
      <c r="CZ77" s="136"/>
      <c r="DA77" s="136"/>
      <c r="DB77" s="136"/>
      <c r="DC77" s="136"/>
      <c r="DD77" s="136"/>
      <c r="DE77" s="210"/>
      <c r="DF77" s="210"/>
      <c r="DG77" s="255"/>
      <c r="DH77" s="136"/>
      <c r="DI77" s="1"/>
      <c r="DJ77" s="1"/>
      <c r="DK77" s="102"/>
      <c r="DL77" s="102"/>
      <c r="DM77" s="102"/>
      <c r="DN77" s="102"/>
      <c r="DO77" s="102"/>
      <c r="DP77" s="143"/>
      <c r="DQ77" s="143"/>
      <c r="DR77" s="143"/>
      <c r="DS77" s="102"/>
      <c r="DT77" s="1"/>
      <c r="DU77" s="1"/>
      <c r="DV77" s="1"/>
      <c r="DW77" s="99"/>
      <c r="DX77" s="1"/>
      <c r="EE77" s="1"/>
      <c r="EK77" s="98"/>
      <c r="EL77" s="98"/>
      <c r="EM77" s="98"/>
      <c r="EN77" s="98"/>
      <c r="EO77" s="98"/>
      <c r="EP77" s="98"/>
      <c r="EQ77" s="98"/>
      <c r="ER77" s="241"/>
    </row>
    <row r="78" spans="1:148" s="93" customFormat="1">
      <c r="A78" s="95"/>
      <c r="B78" s="95"/>
      <c r="D78" s="97"/>
      <c r="E78" s="97"/>
      <c r="F78" s="97"/>
      <c r="G78" s="219"/>
      <c r="H78" s="98"/>
      <c r="I78" s="96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92"/>
      <c r="AP78" s="92"/>
      <c r="AQ78" s="92"/>
      <c r="AR78" s="1"/>
      <c r="AS78" s="228"/>
      <c r="AT78" s="1"/>
      <c r="AU78" s="1"/>
      <c r="AV78" s="1"/>
      <c r="AW78" s="1"/>
      <c r="AX78" s="1"/>
      <c r="AY78" s="1"/>
      <c r="AZ78" s="1"/>
      <c r="BA78" s="1"/>
      <c r="BB78" s="1"/>
      <c r="BC78" s="102"/>
      <c r="BD78" s="1"/>
      <c r="BE78" s="1"/>
      <c r="BF78" s="1"/>
      <c r="BG78" s="1"/>
      <c r="BH78" s="1"/>
      <c r="BI78" s="1"/>
      <c r="BJ78" s="1"/>
      <c r="BK78" s="1"/>
      <c r="BL78" s="1"/>
      <c r="BM78" s="1"/>
      <c r="BN78" s="1"/>
      <c r="BO78" s="1"/>
      <c r="BP78" s="1"/>
      <c r="BQ78" s="1"/>
      <c r="BR78" s="1"/>
      <c r="BS78" s="1"/>
      <c r="BT78" s="1"/>
      <c r="BU78" s="1"/>
      <c r="BV78" s="1"/>
      <c r="BW78" s="1"/>
      <c r="BX78" s="1"/>
      <c r="BY78" s="136"/>
      <c r="BZ78" s="136"/>
      <c r="CA78" s="136"/>
      <c r="CB78" s="136"/>
      <c r="CC78" s="136"/>
      <c r="CD78" s="136"/>
      <c r="CE78" s="136"/>
      <c r="CF78" s="147"/>
      <c r="CG78" s="136"/>
      <c r="CH78" s="147"/>
      <c r="CI78" s="147"/>
      <c r="CJ78" s="136"/>
      <c r="CK78" s="136"/>
      <c r="CL78" s="136"/>
      <c r="CM78" s="136"/>
      <c r="CN78" s="136"/>
      <c r="CO78" s="136"/>
      <c r="CP78" s="136"/>
      <c r="CQ78" s="1"/>
      <c r="CR78" s="1"/>
      <c r="CS78" s="225"/>
      <c r="CT78" s="1"/>
      <c r="CU78" s="136"/>
      <c r="CV78" s="136"/>
      <c r="CW78" s="136"/>
      <c r="CX78" s="136"/>
      <c r="CY78" s="136"/>
      <c r="CZ78" s="136"/>
      <c r="DA78" s="136"/>
      <c r="DB78" s="136"/>
      <c r="DC78" s="136"/>
      <c r="DD78" s="136"/>
      <c r="DE78" s="210"/>
      <c r="DF78" s="210"/>
      <c r="DG78" s="255"/>
      <c r="DH78" s="136"/>
      <c r="DI78" s="1"/>
      <c r="DJ78" s="1"/>
      <c r="DK78" s="102"/>
      <c r="DL78" s="102"/>
      <c r="DM78" s="102"/>
      <c r="DN78" s="102"/>
      <c r="DO78" s="102"/>
      <c r="DP78" s="143"/>
      <c r="DQ78" s="143"/>
      <c r="DR78" s="143"/>
      <c r="DS78" s="102"/>
      <c r="DT78" s="1"/>
      <c r="DU78" s="1"/>
      <c r="DV78" s="1"/>
      <c r="DW78" s="99"/>
      <c r="DX78" s="1"/>
      <c r="EE78" s="1"/>
      <c r="EK78" s="98"/>
      <c r="EL78" s="98"/>
      <c r="EM78" s="98"/>
      <c r="EN78" s="98"/>
      <c r="EO78" s="98"/>
      <c r="EP78" s="98"/>
      <c r="EQ78" s="98"/>
      <c r="ER78" s="241"/>
    </row>
    <row r="79" spans="1:148" s="93" customFormat="1">
      <c r="A79" s="95"/>
      <c r="B79" s="95"/>
      <c r="D79" s="97"/>
      <c r="E79" s="97"/>
      <c r="F79" s="97"/>
      <c r="G79" s="219"/>
      <c r="H79" s="98"/>
      <c r="I79" s="96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92"/>
      <c r="AP79" s="92"/>
      <c r="AQ79" s="92"/>
      <c r="AR79" s="1"/>
      <c r="AS79" s="228"/>
      <c r="AT79" s="1"/>
      <c r="AU79" s="1"/>
      <c r="AV79" s="1"/>
      <c r="AW79" s="1"/>
      <c r="AX79" s="1"/>
      <c r="AY79" s="1"/>
      <c r="AZ79" s="1"/>
      <c r="BA79" s="1"/>
      <c r="BB79" s="1"/>
      <c r="BC79" s="102"/>
      <c r="BD79" s="1"/>
      <c r="BE79" s="1"/>
      <c r="BF79" s="1"/>
      <c r="BG79" s="1"/>
      <c r="BH79" s="1"/>
      <c r="BI79" s="1"/>
      <c r="BJ79" s="1"/>
      <c r="BK79" s="1"/>
      <c r="BL79" s="1"/>
      <c r="BM79" s="1"/>
      <c r="BN79" s="1"/>
      <c r="BO79" s="1"/>
      <c r="BP79" s="1"/>
      <c r="BQ79" s="1"/>
      <c r="BR79" s="1"/>
      <c r="BS79" s="1"/>
      <c r="BT79" s="1"/>
      <c r="BU79" s="1"/>
      <c r="BV79" s="1"/>
      <c r="BW79" s="1"/>
      <c r="BX79" s="1"/>
      <c r="BY79" s="136"/>
      <c r="BZ79" s="136"/>
      <c r="CA79" s="136"/>
      <c r="CB79" s="136"/>
      <c r="CC79" s="136"/>
      <c r="CD79" s="136"/>
      <c r="CE79" s="136"/>
      <c r="CF79" s="147"/>
      <c r="CG79" s="136"/>
      <c r="CH79" s="147"/>
      <c r="CI79" s="147"/>
      <c r="CJ79" s="136"/>
      <c r="CK79" s="136"/>
      <c r="CL79" s="136"/>
      <c r="CM79" s="136"/>
      <c r="CN79" s="136"/>
      <c r="CO79" s="136"/>
      <c r="CP79" s="136"/>
      <c r="CQ79" s="1"/>
      <c r="CR79" s="1"/>
      <c r="CS79" s="225"/>
      <c r="CT79" s="1"/>
      <c r="CU79" s="136"/>
      <c r="CV79" s="136"/>
      <c r="CW79" s="136"/>
      <c r="CX79" s="136"/>
      <c r="CY79" s="136"/>
      <c r="CZ79" s="136"/>
      <c r="DA79" s="136"/>
      <c r="DB79" s="136"/>
      <c r="DC79" s="136"/>
      <c r="DD79" s="136"/>
      <c r="DE79" s="210"/>
      <c r="DF79" s="210"/>
      <c r="DG79" s="255"/>
      <c r="DH79" s="136"/>
      <c r="DI79" s="1"/>
      <c r="DJ79" s="1"/>
      <c r="DK79" s="102"/>
      <c r="DL79" s="102"/>
      <c r="DM79" s="102"/>
      <c r="DN79" s="102"/>
      <c r="DO79" s="102"/>
      <c r="DP79" s="143"/>
      <c r="DQ79" s="143"/>
      <c r="DR79" s="143"/>
      <c r="DS79" s="102"/>
      <c r="DT79" s="1"/>
      <c r="DU79" s="1"/>
      <c r="DV79" s="1"/>
      <c r="DW79" s="99"/>
      <c r="DX79" s="1"/>
      <c r="EE79" s="1"/>
      <c r="EK79" s="98"/>
      <c r="EL79" s="98"/>
      <c r="EM79" s="98"/>
      <c r="EN79" s="98"/>
      <c r="EO79" s="98"/>
      <c r="EP79" s="98"/>
      <c r="EQ79" s="98"/>
      <c r="ER79" s="241"/>
    </row>
    <row r="80" spans="1:148" s="93" customFormat="1">
      <c r="A80" s="95"/>
      <c r="B80" s="95"/>
      <c r="D80" s="97"/>
      <c r="E80" s="97"/>
      <c r="F80" s="97"/>
      <c r="G80" s="219"/>
      <c r="H80" s="98"/>
      <c r="I80" s="96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92"/>
      <c r="AP80" s="92"/>
      <c r="AQ80" s="92"/>
      <c r="AR80" s="1"/>
      <c r="AS80" s="228"/>
      <c r="AT80" s="1"/>
      <c r="AU80" s="1"/>
      <c r="AV80" s="1"/>
      <c r="AW80" s="1"/>
      <c r="AX80" s="1"/>
      <c r="AY80" s="1"/>
      <c r="AZ80" s="1"/>
      <c r="BA80" s="1"/>
      <c r="BB80" s="1"/>
      <c r="BC80" s="102"/>
      <c r="BD80" s="1"/>
      <c r="BE80" s="1"/>
      <c r="BF80" s="1"/>
      <c r="BG80" s="1"/>
      <c r="BH80" s="1"/>
      <c r="BI80" s="1"/>
      <c r="BJ80" s="1"/>
      <c r="BK80" s="1"/>
      <c r="BL80" s="1"/>
      <c r="BM80" s="1"/>
      <c r="BN80" s="1"/>
      <c r="BO80" s="1"/>
      <c r="BP80" s="1"/>
      <c r="BQ80" s="1"/>
      <c r="BR80" s="1"/>
      <c r="BS80" s="1"/>
      <c r="BT80" s="1"/>
      <c r="BU80" s="1"/>
      <c r="BV80" s="1"/>
      <c r="BW80" s="1"/>
      <c r="BX80" s="1"/>
      <c r="BY80" s="136"/>
      <c r="BZ80" s="136"/>
      <c r="CA80" s="136"/>
      <c r="CB80" s="136"/>
      <c r="CC80" s="136"/>
      <c r="CD80" s="136"/>
      <c r="CE80" s="136"/>
      <c r="CF80" s="147"/>
      <c r="CG80" s="136"/>
      <c r="CH80" s="147"/>
      <c r="CI80" s="147"/>
      <c r="CJ80" s="136"/>
      <c r="CK80" s="136"/>
      <c r="CL80" s="136"/>
      <c r="CM80" s="136"/>
      <c r="CN80" s="136"/>
      <c r="CO80" s="136"/>
      <c r="CP80" s="136"/>
      <c r="CQ80" s="1"/>
      <c r="CR80" s="1"/>
      <c r="CS80" s="225"/>
      <c r="CT80" s="1"/>
      <c r="CU80" s="136"/>
      <c r="CV80" s="136"/>
      <c r="CW80" s="136"/>
      <c r="CX80" s="136"/>
      <c r="CY80" s="136"/>
      <c r="CZ80" s="136"/>
      <c r="DA80" s="136"/>
      <c r="DB80" s="136"/>
      <c r="DC80" s="136"/>
      <c r="DD80" s="136"/>
      <c r="DE80" s="210"/>
      <c r="DF80" s="210"/>
      <c r="DG80" s="255"/>
      <c r="DH80" s="136"/>
      <c r="DI80" s="1"/>
      <c r="DJ80" s="1"/>
      <c r="DK80" s="102"/>
      <c r="DL80" s="102"/>
      <c r="DM80" s="102"/>
      <c r="DN80" s="102"/>
      <c r="DO80" s="102"/>
      <c r="DP80" s="143"/>
      <c r="DQ80" s="143"/>
      <c r="DR80" s="143"/>
      <c r="DS80" s="102"/>
      <c r="DT80" s="1"/>
      <c r="DU80" s="1"/>
      <c r="DV80" s="1"/>
      <c r="DW80" s="99"/>
      <c r="DX80" s="1"/>
      <c r="EE80" s="1"/>
      <c r="EK80" s="98"/>
      <c r="EL80" s="98"/>
      <c r="EM80" s="98"/>
      <c r="EN80" s="98"/>
      <c r="EO80" s="98"/>
      <c r="EP80" s="98"/>
      <c r="EQ80" s="98"/>
      <c r="ER80" s="241"/>
    </row>
    <row r="81" spans="1:148" s="93" customFormat="1">
      <c r="A81" s="95"/>
      <c r="B81" s="95"/>
      <c r="D81" s="97"/>
      <c r="E81" s="97"/>
      <c r="F81" s="97"/>
      <c r="G81" s="219"/>
      <c r="H81" s="98"/>
      <c r="I81" s="96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92"/>
      <c r="AP81" s="92"/>
      <c r="AQ81" s="92"/>
      <c r="AR81" s="1"/>
      <c r="AS81" s="228"/>
      <c r="AT81" s="1"/>
      <c r="AU81" s="1"/>
      <c r="AV81" s="1"/>
      <c r="AW81" s="1"/>
      <c r="AX81" s="1"/>
      <c r="AY81" s="1"/>
      <c r="AZ81" s="1"/>
      <c r="BA81" s="1"/>
      <c r="BB81" s="1"/>
      <c r="BC81" s="102"/>
      <c r="BD81" s="1"/>
      <c r="BE81" s="1"/>
      <c r="BF81" s="1"/>
      <c r="BG81" s="1"/>
      <c r="BH81" s="1"/>
      <c r="BI81" s="1"/>
      <c r="BJ81" s="1"/>
      <c r="BK81" s="1"/>
      <c r="BL81" s="1"/>
      <c r="BM81" s="1"/>
      <c r="BN81" s="1"/>
      <c r="BO81" s="1"/>
      <c r="BP81" s="1"/>
      <c r="BQ81" s="1"/>
      <c r="BR81" s="1"/>
      <c r="BS81" s="1"/>
      <c r="BT81" s="1"/>
      <c r="BU81" s="1"/>
      <c r="BV81" s="1"/>
      <c r="BW81" s="1"/>
      <c r="BX81" s="1"/>
      <c r="BY81" s="136"/>
      <c r="BZ81" s="136"/>
      <c r="CA81" s="136"/>
      <c r="CB81" s="136"/>
      <c r="CC81" s="136"/>
      <c r="CD81" s="136"/>
      <c r="CE81" s="136"/>
      <c r="CF81" s="147"/>
      <c r="CG81" s="136"/>
      <c r="CH81" s="147"/>
      <c r="CI81" s="147"/>
      <c r="CJ81" s="136"/>
      <c r="CK81" s="136"/>
      <c r="CL81" s="136"/>
      <c r="CM81" s="136"/>
      <c r="CN81" s="136"/>
      <c r="CO81" s="136"/>
      <c r="CP81" s="136"/>
      <c r="CQ81" s="1"/>
      <c r="CR81" s="1"/>
      <c r="CS81" s="225"/>
      <c r="CT81" s="1"/>
      <c r="CU81" s="136"/>
      <c r="CV81" s="136"/>
      <c r="CW81" s="136"/>
      <c r="CX81" s="136"/>
      <c r="CY81" s="136"/>
      <c r="CZ81" s="136"/>
      <c r="DA81" s="136"/>
      <c r="DB81" s="136"/>
      <c r="DC81" s="136"/>
      <c r="DD81" s="136"/>
      <c r="DE81" s="210"/>
      <c r="DF81" s="210"/>
      <c r="DG81" s="255"/>
      <c r="DH81" s="136"/>
      <c r="DI81" s="1"/>
      <c r="DJ81" s="1"/>
      <c r="DK81" s="102"/>
      <c r="DL81" s="102"/>
      <c r="DM81" s="102"/>
      <c r="DN81" s="102"/>
      <c r="DO81" s="102"/>
      <c r="DP81" s="143"/>
      <c r="DQ81" s="143"/>
      <c r="DR81" s="143"/>
      <c r="DS81" s="102"/>
      <c r="DT81" s="1"/>
      <c r="DU81" s="1"/>
      <c r="DV81" s="1"/>
      <c r="DW81" s="99"/>
      <c r="DX81" s="1"/>
      <c r="EE81" s="1"/>
      <c r="EK81" s="98"/>
      <c r="EL81" s="98"/>
      <c r="EM81" s="98"/>
      <c r="EN81" s="98"/>
      <c r="EO81" s="98"/>
      <c r="EP81" s="98"/>
      <c r="EQ81" s="98"/>
      <c r="ER81" s="241"/>
    </row>
    <row r="82" spans="1:148" s="93" customFormat="1">
      <c r="A82" s="95"/>
      <c r="B82" s="95"/>
      <c r="D82" s="97"/>
      <c r="E82" s="97"/>
      <c r="F82" s="97"/>
      <c r="G82" s="219"/>
      <c r="H82" s="98"/>
      <c r="I82" s="96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92"/>
      <c r="AP82" s="92"/>
      <c r="AQ82" s="92"/>
      <c r="AR82" s="1"/>
      <c r="AS82" s="228"/>
      <c r="AT82" s="1"/>
      <c r="AU82" s="1"/>
      <c r="AV82" s="1"/>
      <c r="AW82" s="1"/>
      <c r="AX82" s="1"/>
      <c r="AY82" s="1"/>
      <c r="AZ82" s="1"/>
      <c r="BA82" s="1"/>
      <c r="BB82" s="1"/>
      <c r="BC82" s="102"/>
      <c r="BD82" s="1"/>
      <c r="BE82" s="1"/>
      <c r="BF82" s="1"/>
      <c r="BG82" s="1"/>
      <c r="BH82" s="1"/>
      <c r="BI82" s="1"/>
      <c r="BJ82" s="1"/>
      <c r="BK82" s="1"/>
      <c r="BL82" s="1"/>
      <c r="BM82" s="1"/>
      <c r="BN82" s="1"/>
      <c r="BO82" s="1"/>
      <c r="BP82" s="1"/>
      <c r="BQ82" s="1"/>
      <c r="BR82" s="1"/>
      <c r="BS82" s="1"/>
      <c r="BT82" s="1"/>
      <c r="BU82" s="1"/>
      <c r="BV82" s="1"/>
      <c r="BW82" s="1"/>
      <c r="BX82" s="1"/>
      <c r="BY82" s="136"/>
      <c r="BZ82" s="136"/>
      <c r="CA82" s="136"/>
      <c r="CB82" s="136"/>
      <c r="CC82" s="136"/>
      <c r="CD82" s="136"/>
      <c r="CE82" s="136"/>
      <c r="CF82" s="147"/>
      <c r="CG82" s="136"/>
      <c r="CH82" s="147"/>
      <c r="CI82" s="147"/>
      <c r="CJ82" s="136"/>
      <c r="CK82" s="136"/>
      <c r="CL82" s="136"/>
      <c r="CM82" s="136"/>
      <c r="CN82" s="136"/>
      <c r="CO82" s="136"/>
      <c r="CP82" s="136"/>
      <c r="CQ82" s="1"/>
      <c r="CR82" s="1"/>
      <c r="CS82" s="225"/>
      <c r="CT82" s="1"/>
      <c r="CU82" s="136"/>
      <c r="CV82" s="136"/>
      <c r="CW82" s="136"/>
      <c r="CX82" s="136"/>
      <c r="CY82" s="136"/>
      <c r="CZ82" s="136"/>
      <c r="DA82" s="136"/>
      <c r="DB82" s="136"/>
      <c r="DC82" s="136"/>
      <c r="DD82" s="136"/>
      <c r="DE82" s="210"/>
      <c r="DF82" s="210"/>
      <c r="DG82" s="255"/>
      <c r="DH82" s="136"/>
      <c r="DI82" s="1"/>
      <c r="DJ82" s="1"/>
      <c r="DK82" s="102"/>
      <c r="DL82" s="102"/>
      <c r="DM82" s="102"/>
      <c r="DN82" s="102"/>
      <c r="DO82" s="102"/>
      <c r="DP82" s="143"/>
      <c r="DQ82" s="143"/>
      <c r="DR82" s="143"/>
      <c r="DS82" s="102"/>
      <c r="DT82" s="1"/>
      <c r="DU82" s="1"/>
      <c r="DV82" s="1"/>
      <c r="DW82" s="99"/>
      <c r="DX82" s="1"/>
      <c r="EE82" s="1"/>
      <c r="EK82" s="98"/>
      <c r="EL82" s="98"/>
      <c r="EM82" s="98"/>
      <c r="EN82" s="98"/>
      <c r="EO82" s="98"/>
      <c r="EP82" s="98"/>
      <c r="EQ82" s="98"/>
      <c r="ER82" s="241"/>
    </row>
    <row r="83" spans="1:148" s="93" customFormat="1">
      <c r="A83" s="95"/>
      <c r="B83" s="95"/>
      <c r="D83" s="97"/>
      <c r="E83" s="97"/>
      <c r="F83" s="97"/>
      <c r="G83" s="219"/>
      <c r="H83" s="98"/>
      <c r="I83" s="96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92"/>
      <c r="AP83" s="92"/>
      <c r="AQ83" s="92"/>
      <c r="AR83" s="1"/>
      <c r="AS83" s="228"/>
      <c r="AT83" s="1"/>
      <c r="AU83" s="1"/>
      <c r="AV83" s="1"/>
      <c r="AW83" s="1"/>
      <c r="AX83" s="1"/>
      <c r="AY83" s="1"/>
      <c r="AZ83" s="1"/>
      <c r="BA83" s="1"/>
      <c r="BB83" s="1"/>
      <c r="BC83" s="102"/>
      <c r="BD83" s="1"/>
      <c r="BE83" s="1"/>
      <c r="BF83" s="1"/>
      <c r="BG83" s="1"/>
      <c r="BH83" s="1"/>
      <c r="BI83" s="1"/>
      <c r="BJ83" s="1"/>
      <c r="BK83" s="1"/>
      <c r="BL83" s="1"/>
      <c r="BM83" s="1"/>
      <c r="BN83" s="1"/>
      <c r="BO83" s="1"/>
      <c r="BP83" s="1"/>
      <c r="BQ83" s="1"/>
      <c r="BR83" s="1"/>
      <c r="BS83" s="1"/>
      <c r="BT83" s="1"/>
      <c r="BU83" s="1"/>
      <c r="BV83" s="1"/>
      <c r="BW83" s="1"/>
      <c r="BX83" s="1"/>
      <c r="BY83" s="136"/>
      <c r="BZ83" s="136"/>
      <c r="CA83" s="136"/>
      <c r="CB83" s="136"/>
      <c r="CC83" s="136"/>
      <c r="CD83" s="136"/>
      <c r="CE83" s="136"/>
      <c r="CF83" s="147"/>
      <c r="CG83" s="136"/>
      <c r="CH83" s="147"/>
      <c r="CI83" s="147"/>
      <c r="CJ83" s="136"/>
      <c r="CK83" s="136"/>
      <c r="CL83" s="136"/>
      <c r="CM83" s="136"/>
      <c r="CN83" s="136"/>
      <c r="CO83" s="136"/>
      <c r="CP83" s="136"/>
      <c r="CQ83" s="1"/>
      <c r="CR83" s="1"/>
      <c r="CS83" s="225"/>
      <c r="CT83" s="1"/>
      <c r="CU83" s="136"/>
      <c r="CV83" s="136"/>
      <c r="CW83" s="136"/>
      <c r="CX83" s="136"/>
      <c r="CY83" s="136"/>
      <c r="CZ83" s="136"/>
      <c r="DA83" s="136"/>
      <c r="DB83" s="136"/>
      <c r="DC83" s="136"/>
      <c r="DD83" s="136"/>
      <c r="DE83" s="210"/>
      <c r="DF83" s="210"/>
      <c r="DG83" s="255"/>
      <c r="DH83" s="136"/>
      <c r="DI83" s="1"/>
      <c r="DJ83" s="1"/>
      <c r="DK83" s="102"/>
      <c r="DL83" s="102"/>
      <c r="DM83" s="102"/>
      <c r="DN83" s="102"/>
      <c r="DO83" s="102"/>
      <c r="DP83" s="143"/>
      <c r="DQ83" s="143"/>
      <c r="DR83" s="143"/>
      <c r="DS83" s="102"/>
      <c r="DT83" s="1"/>
      <c r="DU83" s="1"/>
      <c r="DV83" s="1"/>
      <c r="DW83" s="99"/>
      <c r="DX83" s="1"/>
      <c r="EE83" s="1"/>
      <c r="EK83" s="98"/>
      <c r="EL83" s="98"/>
      <c r="EM83" s="98"/>
      <c r="EN83" s="98"/>
      <c r="EO83" s="98"/>
      <c r="EP83" s="98"/>
      <c r="EQ83" s="98"/>
      <c r="ER83" s="241"/>
    </row>
    <row r="84" spans="1:148" s="93" customFormat="1">
      <c r="A84" s="95"/>
      <c r="B84" s="95"/>
      <c r="D84" s="97"/>
      <c r="E84" s="97"/>
      <c r="F84" s="97"/>
      <c r="G84" s="219"/>
      <c r="H84" s="98"/>
      <c r="I84" s="96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92"/>
      <c r="AP84" s="92"/>
      <c r="AQ84" s="92"/>
      <c r="AR84" s="1"/>
      <c r="AS84" s="228"/>
      <c r="AT84" s="1"/>
      <c r="AU84" s="1"/>
      <c r="AV84" s="1"/>
      <c r="AW84" s="1"/>
      <c r="AX84" s="1"/>
      <c r="AY84" s="1"/>
      <c r="AZ84" s="1"/>
      <c r="BA84" s="1"/>
      <c r="BB84" s="1"/>
      <c r="BC84" s="102"/>
      <c r="BD84" s="1"/>
      <c r="BE84" s="1"/>
      <c r="BF84" s="1"/>
      <c r="BG84" s="1"/>
      <c r="BH84" s="1"/>
      <c r="BI84" s="1"/>
      <c r="BJ84" s="1"/>
      <c r="BK84" s="1"/>
      <c r="BL84" s="1"/>
      <c r="BM84" s="1"/>
      <c r="BN84" s="1"/>
      <c r="BO84" s="1"/>
      <c r="BP84" s="1"/>
      <c r="BQ84" s="1"/>
      <c r="BR84" s="1"/>
      <c r="BS84" s="1"/>
      <c r="BT84" s="1"/>
      <c r="BU84" s="1"/>
      <c r="BV84" s="1"/>
      <c r="BW84" s="1"/>
      <c r="BX84" s="1"/>
      <c r="BY84" s="136"/>
      <c r="BZ84" s="136"/>
      <c r="CA84" s="136"/>
      <c r="CB84" s="136"/>
      <c r="CC84" s="136"/>
      <c r="CD84" s="136"/>
      <c r="CE84" s="136"/>
      <c r="CF84" s="147"/>
      <c r="CG84" s="136"/>
      <c r="CH84" s="147"/>
      <c r="CI84" s="147"/>
      <c r="CJ84" s="136"/>
      <c r="CK84" s="136"/>
      <c r="CL84" s="136"/>
      <c r="CM84" s="136"/>
      <c r="CN84" s="136"/>
      <c r="CO84" s="136"/>
      <c r="CP84" s="136"/>
      <c r="CQ84" s="1"/>
      <c r="CR84" s="1"/>
      <c r="CS84" s="225"/>
      <c r="CT84" s="1"/>
      <c r="CU84" s="136"/>
      <c r="CV84" s="136"/>
      <c r="CW84" s="136"/>
      <c r="CX84" s="136"/>
      <c r="CY84" s="136"/>
      <c r="CZ84" s="136"/>
      <c r="DA84" s="136"/>
      <c r="DB84" s="136"/>
      <c r="DC84" s="136"/>
      <c r="DD84" s="136"/>
      <c r="DE84" s="210"/>
      <c r="DF84" s="210"/>
      <c r="DG84" s="255"/>
      <c r="DH84" s="136"/>
      <c r="DI84" s="1"/>
      <c r="DJ84" s="1"/>
      <c r="DK84" s="102"/>
      <c r="DL84" s="102"/>
      <c r="DM84" s="102"/>
      <c r="DN84" s="102"/>
      <c r="DO84" s="102"/>
      <c r="DP84" s="143"/>
      <c r="DQ84" s="143"/>
      <c r="DR84" s="143"/>
      <c r="DS84" s="102"/>
      <c r="DT84" s="1"/>
      <c r="DU84" s="1"/>
      <c r="DV84" s="1"/>
      <c r="DW84" s="99"/>
      <c r="DX84" s="1"/>
      <c r="EE84" s="1"/>
      <c r="EK84" s="98"/>
      <c r="EL84" s="98"/>
      <c r="EM84" s="98"/>
      <c r="EN84" s="98"/>
      <c r="EO84" s="98"/>
      <c r="EP84" s="98"/>
      <c r="EQ84" s="98"/>
      <c r="ER84" s="241"/>
    </row>
    <row r="85" spans="1:148" s="93" customFormat="1">
      <c r="A85" s="95"/>
      <c r="B85" s="95"/>
      <c r="D85" s="97"/>
      <c r="E85" s="97"/>
      <c r="F85" s="97"/>
      <c r="G85" s="219"/>
      <c r="H85" s="98"/>
      <c r="I85" s="96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92"/>
      <c r="AP85" s="92"/>
      <c r="AQ85" s="92"/>
      <c r="AR85" s="1"/>
      <c r="AS85" s="228"/>
      <c r="AT85" s="1"/>
      <c r="AU85" s="1"/>
      <c r="AV85" s="1"/>
      <c r="AW85" s="1"/>
      <c r="AX85" s="1"/>
      <c r="AY85" s="1"/>
      <c r="AZ85" s="1"/>
      <c r="BA85" s="1"/>
      <c r="BB85" s="1"/>
      <c r="BC85" s="102"/>
      <c r="BD85" s="1"/>
      <c r="BE85" s="1"/>
      <c r="BF85" s="1"/>
      <c r="BG85" s="1"/>
      <c r="BH85" s="1"/>
      <c r="BI85" s="1"/>
      <c r="BJ85" s="1"/>
      <c r="BK85" s="1"/>
      <c r="BL85" s="1"/>
      <c r="BM85" s="1"/>
      <c r="BN85" s="1"/>
      <c r="BO85" s="1"/>
      <c r="BP85" s="1"/>
      <c r="BQ85" s="1"/>
      <c r="BR85" s="1"/>
      <c r="BS85" s="1"/>
      <c r="BT85" s="1"/>
      <c r="BU85" s="1"/>
      <c r="BV85" s="1"/>
      <c r="BW85" s="1"/>
      <c r="BX85" s="1"/>
      <c r="BY85" s="136"/>
      <c r="BZ85" s="136"/>
      <c r="CA85" s="136"/>
      <c r="CB85" s="136"/>
      <c r="CC85" s="136"/>
      <c r="CD85" s="136"/>
      <c r="CE85" s="136"/>
      <c r="CF85" s="147"/>
      <c r="CG85" s="136"/>
      <c r="CH85" s="147"/>
      <c r="CI85" s="147"/>
      <c r="CJ85" s="136"/>
      <c r="CK85" s="136"/>
      <c r="CL85" s="136"/>
      <c r="CM85" s="136"/>
      <c r="CN85" s="136"/>
      <c r="CO85" s="136"/>
      <c r="CP85" s="136"/>
      <c r="CQ85" s="1"/>
      <c r="CR85" s="1"/>
      <c r="CS85" s="225"/>
      <c r="CT85" s="1"/>
      <c r="CU85" s="136"/>
      <c r="CV85" s="136"/>
      <c r="CW85" s="136"/>
      <c r="CX85" s="136"/>
      <c r="CY85" s="136"/>
      <c r="CZ85" s="136"/>
      <c r="DA85" s="136"/>
      <c r="DB85" s="136"/>
      <c r="DC85" s="136"/>
      <c r="DD85" s="136"/>
      <c r="DE85" s="210"/>
      <c r="DF85" s="210"/>
      <c r="DG85" s="255"/>
      <c r="DH85" s="136"/>
      <c r="DI85" s="1"/>
      <c r="DJ85" s="1"/>
      <c r="DK85" s="102"/>
      <c r="DL85" s="102"/>
      <c r="DM85" s="102"/>
      <c r="DN85" s="102"/>
      <c r="DO85" s="102"/>
      <c r="DP85" s="143"/>
      <c r="DQ85" s="143"/>
      <c r="DR85" s="143"/>
      <c r="DS85" s="102"/>
      <c r="DT85" s="1"/>
      <c r="DU85" s="1"/>
      <c r="DV85" s="1"/>
      <c r="DW85" s="99"/>
      <c r="DX85" s="1"/>
      <c r="EE85" s="1"/>
      <c r="EK85" s="98"/>
      <c r="EL85" s="98"/>
      <c r="EM85" s="98"/>
      <c r="EN85" s="98"/>
      <c r="EO85" s="98"/>
      <c r="EP85" s="98"/>
      <c r="EQ85" s="98"/>
      <c r="ER85" s="241"/>
    </row>
    <row r="86" spans="1:148" s="93" customFormat="1">
      <c r="A86" s="95"/>
      <c r="B86" s="95"/>
      <c r="D86" s="97"/>
      <c r="E86" s="97"/>
      <c r="F86" s="97"/>
      <c r="G86" s="219"/>
      <c r="H86" s="98"/>
      <c r="I86" s="96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92"/>
      <c r="AP86" s="92"/>
      <c r="AQ86" s="92"/>
      <c r="AR86" s="1"/>
      <c r="AS86" s="228"/>
      <c r="AT86" s="1"/>
      <c r="AU86" s="1"/>
      <c r="AV86" s="1"/>
      <c r="AW86" s="1"/>
      <c r="AX86" s="1"/>
      <c r="AY86" s="1"/>
      <c r="AZ86" s="1"/>
      <c r="BA86" s="1"/>
      <c r="BB86" s="1"/>
      <c r="BC86" s="102"/>
      <c r="BD86" s="1"/>
      <c r="BE86" s="1"/>
      <c r="BF86" s="1"/>
      <c r="BG86" s="1"/>
      <c r="BH86" s="1"/>
      <c r="BI86" s="1"/>
      <c r="BJ86" s="1"/>
      <c r="BK86" s="1"/>
      <c r="BL86" s="1"/>
      <c r="BM86" s="1"/>
      <c r="BN86" s="1"/>
      <c r="BO86" s="1"/>
      <c r="BP86" s="1"/>
      <c r="BQ86" s="1"/>
      <c r="BR86" s="1"/>
      <c r="BS86" s="1"/>
      <c r="BT86" s="1"/>
      <c r="BU86" s="1"/>
      <c r="BV86" s="1"/>
      <c r="BW86" s="1"/>
      <c r="BX86" s="1"/>
      <c r="BY86" s="136"/>
      <c r="BZ86" s="136"/>
      <c r="CA86" s="136"/>
      <c r="CB86" s="136"/>
      <c r="CC86" s="136"/>
      <c r="CD86" s="136"/>
      <c r="CE86" s="136"/>
      <c r="CF86" s="147"/>
      <c r="CG86" s="136"/>
      <c r="CH86" s="147"/>
      <c r="CI86" s="147"/>
      <c r="CJ86" s="136"/>
      <c r="CK86" s="136"/>
      <c r="CL86" s="136"/>
      <c r="CM86" s="136"/>
      <c r="CN86" s="136"/>
      <c r="CO86" s="136"/>
      <c r="CP86" s="136"/>
      <c r="CQ86" s="1"/>
      <c r="CR86" s="1"/>
      <c r="CS86" s="225"/>
      <c r="CT86" s="1"/>
      <c r="CU86" s="136"/>
      <c r="CV86" s="136"/>
      <c r="CW86" s="136"/>
      <c r="CX86" s="136"/>
      <c r="CY86" s="136"/>
      <c r="CZ86" s="136"/>
      <c r="DA86" s="136"/>
      <c r="DB86" s="136"/>
      <c r="DC86" s="136"/>
      <c r="DD86" s="136"/>
      <c r="DE86" s="210"/>
      <c r="DF86" s="210"/>
      <c r="DG86" s="255"/>
      <c r="DH86" s="136"/>
      <c r="DI86" s="1"/>
      <c r="DJ86" s="1"/>
      <c r="DK86" s="102"/>
      <c r="DL86" s="102"/>
      <c r="DM86" s="102"/>
      <c r="DN86" s="102"/>
      <c r="DO86" s="102"/>
      <c r="DP86" s="143"/>
      <c r="DQ86" s="143"/>
      <c r="DR86" s="143"/>
      <c r="DS86" s="102"/>
      <c r="DT86" s="1"/>
      <c r="DU86" s="1"/>
      <c r="DV86" s="1"/>
      <c r="DW86" s="99"/>
      <c r="DX86" s="1"/>
      <c r="EE86" s="1"/>
      <c r="EK86" s="98"/>
      <c r="EL86" s="98"/>
      <c r="EM86" s="98"/>
      <c r="EN86" s="98"/>
      <c r="EO86" s="98"/>
      <c r="EP86" s="98"/>
      <c r="EQ86" s="98"/>
      <c r="ER86" s="241"/>
    </row>
    <row r="87" spans="1:148" s="93" customFormat="1">
      <c r="A87" s="95"/>
      <c r="B87" s="95"/>
      <c r="D87" s="97"/>
      <c r="E87" s="97"/>
      <c r="F87" s="97"/>
      <c r="G87" s="219"/>
      <c r="H87" s="98"/>
      <c r="I87" s="96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92"/>
      <c r="AP87" s="92"/>
      <c r="AQ87" s="92"/>
      <c r="AR87" s="1"/>
      <c r="AS87" s="228"/>
      <c r="AT87" s="1"/>
      <c r="AU87" s="1"/>
      <c r="AV87" s="1"/>
      <c r="AW87" s="1"/>
      <c r="AX87" s="1"/>
      <c r="AY87" s="1"/>
      <c r="AZ87" s="1"/>
      <c r="BA87" s="1"/>
      <c r="BB87" s="1"/>
      <c r="BC87" s="102"/>
      <c r="BD87" s="1"/>
      <c r="BE87" s="1"/>
      <c r="BF87" s="1"/>
      <c r="BG87" s="1"/>
      <c r="BH87" s="1"/>
      <c r="BI87" s="1"/>
      <c r="BJ87" s="1"/>
      <c r="BK87" s="1"/>
      <c r="BL87" s="1"/>
      <c r="BM87" s="1"/>
      <c r="BN87" s="1"/>
      <c r="BO87" s="1"/>
      <c r="BP87" s="1"/>
      <c r="BQ87" s="1"/>
      <c r="BR87" s="1"/>
      <c r="BS87" s="1"/>
      <c r="BT87" s="1"/>
      <c r="BU87" s="1"/>
      <c r="BV87" s="1"/>
      <c r="BW87" s="1"/>
      <c r="BX87" s="1"/>
      <c r="BY87" s="136"/>
      <c r="BZ87" s="136"/>
      <c r="CA87" s="136"/>
      <c r="CB87" s="136"/>
      <c r="CC87" s="136"/>
      <c r="CD87" s="136"/>
      <c r="CE87" s="136"/>
      <c r="CF87" s="147"/>
      <c r="CG87" s="136"/>
      <c r="CH87" s="147"/>
      <c r="CI87" s="147"/>
      <c r="CJ87" s="136"/>
      <c r="CK87" s="136"/>
      <c r="CL87" s="136"/>
      <c r="CM87" s="136"/>
      <c r="CN87" s="136"/>
      <c r="CO87" s="136"/>
      <c r="CP87" s="136"/>
      <c r="CQ87" s="1"/>
      <c r="CR87" s="1"/>
      <c r="CS87" s="225"/>
      <c r="CT87" s="1"/>
      <c r="CU87" s="136"/>
      <c r="CV87" s="136"/>
      <c r="CW87" s="136"/>
      <c r="CX87" s="136"/>
      <c r="CY87" s="136"/>
      <c r="CZ87" s="136"/>
      <c r="DA87" s="136"/>
      <c r="DB87" s="136"/>
      <c r="DC87" s="136"/>
      <c r="DD87" s="136"/>
      <c r="DE87" s="210"/>
      <c r="DF87" s="210"/>
      <c r="DG87" s="255"/>
      <c r="DH87" s="136"/>
      <c r="DI87" s="1"/>
      <c r="DJ87" s="1"/>
      <c r="DK87" s="102"/>
      <c r="DL87" s="102"/>
      <c r="DM87" s="102"/>
      <c r="DN87" s="102"/>
      <c r="DO87" s="102"/>
      <c r="DP87" s="143"/>
      <c r="DQ87" s="143"/>
      <c r="DR87" s="143"/>
      <c r="DS87" s="102"/>
      <c r="DT87" s="1"/>
      <c r="DU87" s="1"/>
      <c r="DV87" s="1"/>
      <c r="DW87" s="99"/>
      <c r="DX87" s="1"/>
      <c r="EE87" s="1"/>
      <c r="EK87" s="98"/>
      <c r="EL87" s="98"/>
      <c r="EM87" s="98"/>
      <c r="EN87" s="98"/>
      <c r="EO87" s="98"/>
      <c r="EP87" s="98"/>
      <c r="EQ87" s="98"/>
      <c r="ER87" s="241"/>
    </row>
    <row r="88" spans="1:148" s="93" customFormat="1">
      <c r="A88" s="95"/>
      <c r="B88" s="95"/>
      <c r="D88" s="97"/>
      <c r="E88" s="97"/>
      <c r="F88" s="97"/>
      <c r="G88" s="219"/>
      <c r="H88" s="98"/>
      <c r="I88" s="96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92"/>
      <c r="AP88" s="92"/>
      <c r="AQ88" s="92"/>
      <c r="AR88" s="1"/>
      <c r="AS88" s="228"/>
      <c r="AT88" s="1"/>
      <c r="AU88" s="1"/>
      <c r="AV88" s="1"/>
      <c r="AW88" s="1"/>
      <c r="AX88" s="1"/>
      <c r="AY88" s="1"/>
      <c r="AZ88" s="1"/>
      <c r="BA88" s="1"/>
      <c r="BB88" s="1"/>
      <c r="BC88" s="102"/>
      <c r="BD88" s="1"/>
      <c r="BE88" s="1"/>
      <c r="BF88" s="1"/>
      <c r="BG88" s="1"/>
      <c r="BH88" s="1"/>
      <c r="BI88" s="1"/>
      <c r="BJ88" s="1"/>
      <c r="BK88" s="1"/>
      <c r="BL88" s="1"/>
      <c r="BM88" s="1"/>
      <c r="BN88" s="1"/>
      <c r="BO88" s="1"/>
      <c r="BP88" s="1"/>
      <c r="BQ88" s="1"/>
      <c r="BR88" s="1"/>
      <c r="BS88" s="1"/>
      <c r="BT88" s="1"/>
      <c r="BU88" s="1"/>
      <c r="BV88" s="1"/>
      <c r="BW88" s="1"/>
      <c r="BX88" s="1"/>
      <c r="BY88" s="136"/>
      <c r="BZ88" s="136"/>
      <c r="CA88" s="136"/>
      <c r="CB88" s="136"/>
      <c r="CC88" s="136"/>
      <c r="CD88" s="136"/>
      <c r="CE88" s="136"/>
      <c r="CF88" s="147"/>
      <c r="CG88" s="136"/>
      <c r="CH88" s="147"/>
      <c r="CI88" s="147"/>
      <c r="CJ88" s="136"/>
      <c r="CK88" s="136"/>
      <c r="CL88" s="136"/>
      <c r="CM88" s="136"/>
      <c r="CN88" s="136"/>
      <c r="CO88" s="136"/>
      <c r="CP88" s="136"/>
      <c r="CQ88" s="1"/>
      <c r="CR88" s="1"/>
      <c r="CS88" s="225"/>
      <c r="CT88" s="1"/>
      <c r="CU88" s="136"/>
      <c r="CV88" s="136"/>
      <c r="CW88" s="136"/>
      <c r="CX88" s="136"/>
      <c r="CY88" s="136"/>
      <c r="CZ88" s="136"/>
      <c r="DA88" s="136"/>
      <c r="DB88" s="136"/>
      <c r="DC88" s="136"/>
      <c r="DD88" s="136"/>
      <c r="DE88" s="210"/>
      <c r="DF88" s="210"/>
      <c r="DG88" s="255"/>
      <c r="DH88" s="136"/>
      <c r="DI88" s="1"/>
      <c r="DJ88" s="1"/>
      <c r="DK88" s="102"/>
      <c r="DL88" s="102"/>
      <c r="DM88" s="102"/>
      <c r="DN88" s="102"/>
      <c r="DO88" s="102"/>
      <c r="DP88" s="143"/>
      <c r="DQ88" s="143"/>
      <c r="DR88" s="143"/>
      <c r="DS88" s="102"/>
      <c r="DT88" s="1"/>
      <c r="DU88" s="1"/>
      <c r="DV88" s="1"/>
      <c r="DW88" s="99"/>
      <c r="DX88" s="1"/>
      <c r="EE88" s="1"/>
      <c r="EK88" s="98"/>
      <c r="EL88" s="98"/>
      <c r="EM88" s="98"/>
      <c r="EN88" s="98"/>
      <c r="EO88" s="98"/>
      <c r="EP88" s="98"/>
      <c r="EQ88" s="98"/>
      <c r="ER88" s="241"/>
    </row>
    <row r="89" spans="1:148" s="93" customFormat="1">
      <c r="A89" s="95"/>
      <c r="B89" s="95"/>
      <c r="D89" s="97"/>
      <c r="E89" s="97"/>
      <c r="F89" s="97"/>
      <c r="G89" s="219"/>
      <c r="H89" s="98"/>
      <c r="I89" s="96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92"/>
      <c r="AP89" s="92"/>
      <c r="AQ89" s="92"/>
      <c r="AR89" s="1"/>
      <c r="AS89" s="228"/>
      <c r="AT89" s="1"/>
      <c r="AU89" s="1"/>
      <c r="AV89" s="1"/>
      <c r="AW89" s="1"/>
      <c r="AX89" s="1"/>
      <c r="AY89" s="1"/>
      <c r="AZ89" s="1"/>
      <c r="BA89" s="1"/>
      <c r="BB89" s="1"/>
      <c r="BC89" s="102"/>
      <c r="BD89" s="1"/>
      <c r="BE89" s="1"/>
      <c r="BF89" s="1"/>
      <c r="BG89" s="1"/>
      <c r="BH89" s="1"/>
      <c r="BI89" s="1"/>
      <c r="BJ89" s="1"/>
      <c r="BK89" s="1"/>
      <c r="BL89" s="1"/>
      <c r="BM89" s="1"/>
      <c r="BN89" s="1"/>
      <c r="BO89" s="1"/>
      <c r="BP89" s="1"/>
      <c r="BQ89" s="1"/>
      <c r="BR89" s="1"/>
      <c r="BS89" s="1"/>
      <c r="BT89" s="1"/>
      <c r="BU89" s="1"/>
      <c r="BV89" s="1"/>
      <c r="BW89" s="1"/>
      <c r="BX89" s="1"/>
      <c r="BY89" s="136"/>
      <c r="BZ89" s="136"/>
      <c r="CA89" s="136"/>
      <c r="CB89" s="136"/>
      <c r="CC89" s="136"/>
      <c r="CD89" s="136"/>
      <c r="CE89" s="136"/>
      <c r="CF89" s="147"/>
      <c r="CG89" s="136"/>
      <c r="CH89" s="147"/>
      <c r="CI89" s="147"/>
      <c r="CJ89" s="136"/>
      <c r="CK89" s="136"/>
      <c r="CL89" s="136"/>
      <c r="CM89" s="136"/>
      <c r="CN89" s="136"/>
      <c r="CO89" s="136"/>
      <c r="CP89" s="136"/>
      <c r="CQ89" s="1"/>
      <c r="CR89" s="1"/>
      <c r="CS89" s="225"/>
      <c r="CT89" s="1"/>
      <c r="CU89" s="136"/>
      <c r="CV89" s="136"/>
      <c r="CW89" s="136"/>
      <c r="CX89" s="136"/>
      <c r="CY89" s="136"/>
      <c r="CZ89" s="136"/>
      <c r="DA89" s="136"/>
      <c r="DB89" s="136"/>
      <c r="DC89" s="136"/>
      <c r="DD89" s="136"/>
      <c r="DE89" s="210"/>
      <c r="DF89" s="210"/>
      <c r="DG89" s="255"/>
      <c r="DH89" s="136"/>
      <c r="DI89" s="1"/>
      <c r="DJ89" s="1"/>
      <c r="DK89" s="102"/>
      <c r="DL89" s="102"/>
      <c r="DM89" s="102"/>
      <c r="DN89" s="102"/>
      <c r="DO89" s="102"/>
      <c r="DP89" s="143"/>
      <c r="DQ89" s="143"/>
      <c r="DR89" s="143"/>
      <c r="DS89" s="102"/>
      <c r="DT89" s="1"/>
      <c r="DU89" s="1"/>
      <c r="DV89" s="1"/>
      <c r="DW89" s="99"/>
      <c r="DX89" s="1"/>
      <c r="EE89" s="1"/>
      <c r="EK89" s="98"/>
      <c r="EL89" s="98"/>
      <c r="EM89" s="98"/>
      <c r="EN89" s="98"/>
      <c r="EO89" s="98"/>
      <c r="EP89" s="98"/>
      <c r="EQ89" s="98"/>
      <c r="ER89" s="241"/>
    </row>
    <row r="90" spans="1:148" s="93" customFormat="1">
      <c r="A90" s="95"/>
      <c r="B90" s="95"/>
      <c r="D90" s="97"/>
      <c r="E90" s="97"/>
      <c r="F90" s="97"/>
      <c r="G90" s="219"/>
      <c r="H90" s="98"/>
      <c r="I90" s="96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92"/>
      <c r="AP90" s="92"/>
      <c r="AQ90" s="92"/>
      <c r="AR90" s="1"/>
      <c r="AS90" s="228"/>
      <c r="AT90" s="1"/>
      <c r="AU90" s="1"/>
      <c r="AV90" s="1"/>
      <c r="AW90" s="1"/>
      <c r="AX90" s="1"/>
      <c r="AY90" s="1"/>
      <c r="AZ90" s="1"/>
      <c r="BA90" s="1"/>
      <c r="BB90" s="1"/>
      <c r="BC90" s="102"/>
      <c r="BD90" s="1"/>
      <c r="BE90" s="1"/>
      <c r="BF90" s="1"/>
      <c r="BG90" s="1"/>
      <c r="BH90" s="1"/>
      <c r="BI90" s="1"/>
      <c r="BJ90" s="1"/>
      <c r="BK90" s="1"/>
      <c r="BL90" s="1"/>
      <c r="BM90" s="1"/>
      <c r="BN90" s="1"/>
      <c r="BO90" s="1"/>
      <c r="BP90" s="1"/>
      <c r="BQ90" s="1"/>
      <c r="BR90" s="1"/>
      <c r="BS90" s="1"/>
      <c r="BT90" s="1"/>
      <c r="BU90" s="1"/>
      <c r="BV90" s="1"/>
      <c r="BW90" s="1"/>
      <c r="BX90" s="1"/>
      <c r="BY90" s="136"/>
      <c r="BZ90" s="136"/>
      <c r="CA90" s="136"/>
      <c r="CB90" s="136"/>
      <c r="CC90" s="136"/>
      <c r="CD90" s="136"/>
      <c r="CE90" s="136"/>
      <c r="CF90" s="147"/>
      <c r="CG90" s="136"/>
      <c r="CH90" s="147"/>
      <c r="CI90" s="147"/>
      <c r="CJ90" s="136"/>
      <c r="CK90" s="136"/>
      <c r="CL90" s="136"/>
      <c r="CM90" s="136"/>
      <c r="CN90" s="136"/>
      <c r="CO90" s="136"/>
      <c r="CP90" s="136"/>
      <c r="CQ90" s="1"/>
      <c r="CR90" s="1"/>
      <c r="CS90" s="225"/>
      <c r="CT90" s="1"/>
      <c r="CU90" s="136"/>
      <c r="CV90" s="136"/>
      <c r="CW90" s="136"/>
      <c r="CX90" s="136"/>
      <c r="CY90" s="136"/>
      <c r="CZ90" s="136"/>
      <c r="DA90" s="136"/>
      <c r="DB90" s="136"/>
      <c r="DC90" s="136"/>
      <c r="DD90" s="136"/>
      <c r="DE90" s="210"/>
      <c r="DF90" s="210"/>
      <c r="DG90" s="255"/>
      <c r="DH90" s="136"/>
      <c r="DI90" s="1"/>
      <c r="DJ90" s="1"/>
      <c r="DK90" s="102"/>
      <c r="DL90" s="102"/>
      <c r="DM90" s="102"/>
      <c r="DN90" s="102"/>
      <c r="DO90" s="102"/>
      <c r="DP90" s="143"/>
      <c r="DQ90" s="143"/>
      <c r="DR90" s="143"/>
      <c r="DS90" s="102"/>
      <c r="DT90" s="1"/>
      <c r="DU90" s="1"/>
      <c r="DV90" s="1"/>
      <c r="DW90" s="99"/>
      <c r="DX90" s="1"/>
      <c r="EE90" s="1"/>
      <c r="EK90" s="98"/>
      <c r="EL90" s="98"/>
      <c r="EM90" s="98"/>
      <c r="EN90" s="98"/>
      <c r="EO90" s="98"/>
      <c r="EP90" s="98"/>
      <c r="EQ90" s="98"/>
      <c r="ER90" s="241"/>
    </row>
    <row r="91" spans="1:148" s="93" customFormat="1">
      <c r="A91" s="95"/>
      <c r="B91" s="95"/>
      <c r="D91" s="97"/>
      <c r="E91" s="97"/>
      <c r="F91" s="97"/>
      <c r="G91" s="219"/>
      <c r="H91" s="98"/>
      <c r="I91" s="96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92"/>
      <c r="AP91" s="92"/>
      <c r="AQ91" s="92"/>
      <c r="AR91" s="1"/>
      <c r="AS91" s="228"/>
      <c r="AT91" s="1"/>
      <c r="AU91" s="1"/>
      <c r="AV91" s="1"/>
      <c r="AW91" s="1"/>
      <c r="AX91" s="1"/>
      <c r="AY91" s="1"/>
      <c r="AZ91" s="1"/>
      <c r="BA91" s="1"/>
      <c r="BB91" s="1"/>
      <c r="BC91" s="102"/>
      <c r="BD91" s="1"/>
      <c r="BE91" s="1"/>
      <c r="BF91" s="1"/>
      <c r="BG91" s="1"/>
      <c r="BH91" s="1"/>
      <c r="BI91" s="1"/>
      <c r="BJ91" s="1"/>
      <c r="BK91" s="1"/>
      <c r="BL91" s="1"/>
      <c r="BM91" s="1"/>
      <c r="BN91" s="1"/>
      <c r="BO91" s="1"/>
      <c r="BP91" s="1"/>
      <c r="BQ91" s="1"/>
      <c r="BR91" s="1"/>
      <c r="BS91" s="1"/>
      <c r="BT91" s="1"/>
      <c r="BU91" s="1"/>
      <c r="BV91" s="1"/>
      <c r="BW91" s="1"/>
      <c r="BX91" s="1"/>
      <c r="BY91" s="136"/>
      <c r="BZ91" s="136"/>
      <c r="CA91" s="136"/>
      <c r="CB91" s="136"/>
      <c r="CC91" s="136"/>
      <c r="CD91" s="136"/>
      <c r="CE91" s="136"/>
      <c r="CF91" s="147"/>
      <c r="CG91" s="136"/>
      <c r="CH91" s="147"/>
      <c r="CI91" s="147"/>
      <c r="CJ91" s="136"/>
      <c r="CK91" s="136"/>
      <c r="CL91" s="136"/>
      <c r="CM91" s="136"/>
      <c r="CN91" s="136"/>
      <c r="CO91" s="136"/>
      <c r="CP91" s="136"/>
      <c r="CQ91" s="1"/>
      <c r="CR91" s="1"/>
      <c r="CS91" s="225"/>
      <c r="CT91" s="1"/>
      <c r="CU91" s="136"/>
      <c r="CV91" s="136"/>
      <c r="CW91" s="136"/>
      <c r="CX91" s="136"/>
      <c r="CY91" s="136"/>
      <c r="CZ91" s="136"/>
      <c r="DA91" s="136"/>
      <c r="DB91" s="136"/>
      <c r="DC91" s="136"/>
      <c r="DD91" s="136"/>
      <c r="DE91" s="210"/>
      <c r="DF91" s="210"/>
      <c r="DG91" s="255"/>
      <c r="DH91" s="136"/>
      <c r="DI91" s="1"/>
      <c r="DJ91" s="1"/>
      <c r="DK91" s="102"/>
      <c r="DL91" s="102"/>
      <c r="DM91" s="102"/>
      <c r="DN91" s="102"/>
      <c r="DO91" s="102"/>
      <c r="DP91" s="143"/>
      <c r="DQ91" s="143"/>
      <c r="DR91" s="143"/>
      <c r="DS91" s="102"/>
      <c r="DT91" s="1"/>
      <c r="DU91" s="1"/>
      <c r="DV91" s="1"/>
      <c r="DW91" s="99"/>
      <c r="DX91" s="1"/>
      <c r="EE91" s="1"/>
      <c r="EK91" s="98"/>
      <c r="EL91" s="98"/>
      <c r="EM91" s="98"/>
      <c r="EN91" s="98"/>
      <c r="EO91" s="98"/>
      <c r="EP91" s="98"/>
      <c r="EQ91" s="98"/>
      <c r="ER91" s="241"/>
    </row>
    <row r="92" spans="1:148" s="93" customFormat="1">
      <c r="A92" s="95"/>
      <c r="B92" s="95"/>
      <c r="D92" s="97"/>
      <c r="E92" s="97"/>
      <c r="F92" s="97"/>
      <c r="G92" s="219"/>
      <c r="H92" s="98"/>
      <c r="I92" s="96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92"/>
      <c r="AP92" s="92"/>
      <c r="AQ92" s="92"/>
      <c r="AR92" s="1"/>
      <c r="AS92" s="228"/>
      <c r="AT92" s="1"/>
      <c r="AU92" s="1"/>
      <c r="AV92" s="1"/>
      <c r="AW92" s="1"/>
      <c r="AX92" s="1"/>
      <c r="AY92" s="1"/>
      <c r="AZ92" s="1"/>
      <c r="BA92" s="1"/>
      <c r="BB92" s="1"/>
      <c r="BC92" s="102"/>
      <c r="BD92" s="1"/>
      <c r="BE92" s="1"/>
      <c r="BF92" s="1"/>
      <c r="BG92" s="1"/>
      <c r="BH92" s="1"/>
      <c r="BI92" s="1"/>
      <c r="BJ92" s="1"/>
      <c r="BK92" s="1"/>
      <c r="BL92" s="1"/>
      <c r="BM92" s="1"/>
      <c r="BN92" s="1"/>
      <c r="BO92" s="1"/>
      <c r="BP92" s="1"/>
      <c r="BQ92" s="1"/>
      <c r="BR92" s="1"/>
      <c r="BS92" s="1"/>
      <c r="BT92" s="1"/>
      <c r="BU92" s="1"/>
      <c r="BV92" s="1"/>
      <c r="BW92" s="1"/>
      <c r="BX92" s="1"/>
      <c r="BY92" s="136"/>
      <c r="BZ92" s="136"/>
      <c r="CA92" s="136"/>
      <c r="CB92" s="136"/>
      <c r="CC92" s="136"/>
      <c r="CD92" s="136"/>
      <c r="CE92" s="136"/>
      <c r="CF92" s="147"/>
      <c r="CG92" s="136"/>
      <c r="CH92" s="147"/>
      <c r="CI92" s="147"/>
      <c r="CJ92" s="136"/>
      <c r="CK92" s="136"/>
      <c r="CL92" s="136"/>
      <c r="CM92" s="136"/>
      <c r="CN92" s="136"/>
      <c r="CO92" s="136"/>
      <c r="CP92" s="136"/>
      <c r="CQ92" s="1"/>
      <c r="CR92" s="1"/>
      <c r="CS92" s="225"/>
      <c r="CT92" s="1"/>
      <c r="CU92" s="136"/>
      <c r="CV92" s="136"/>
      <c r="CW92" s="136"/>
      <c r="CX92" s="136"/>
      <c r="CY92" s="136"/>
      <c r="CZ92" s="136"/>
      <c r="DA92" s="136"/>
      <c r="DB92" s="136"/>
      <c r="DC92" s="136"/>
      <c r="DD92" s="136"/>
      <c r="DE92" s="210"/>
      <c r="DF92" s="210"/>
      <c r="DG92" s="255"/>
      <c r="DH92" s="136"/>
      <c r="DI92" s="1"/>
      <c r="DJ92" s="1"/>
      <c r="DK92" s="102"/>
      <c r="DL92" s="102"/>
      <c r="DM92" s="102"/>
      <c r="DN92" s="102"/>
      <c r="DO92" s="102"/>
      <c r="DP92" s="143"/>
      <c r="DQ92" s="143"/>
      <c r="DR92" s="143"/>
      <c r="DS92" s="102"/>
      <c r="DT92" s="1"/>
      <c r="DU92" s="1"/>
      <c r="DV92" s="1"/>
      <c r="DW92" s="99"/>
      <c r="DX92" s="1"/>
      <c r="EE92" s="1"/>
      <c r="EK92" s="98"/>
      <c r="EL92" s="98"/>
      <c r="EM92" s="98"/>
      <c r="EN92" s="98"/>
      <c r="EO92" s="98"/>
      <c r="EP92" s="98"/>
      <c r="EQ92" s="98"/>
      <c r="ER92" s="241"/>
    </row>
    <row r="93" spans="1:148" s="93" customFormat="1">
      <c r="A93" s="95"/>
      <c r="B93" s="95"/>
      <c r="D93" s="97"/>
      <c r="E93" s="97"/>
      <c r="F93" s="97"/>
      <c r="G93" s="219"/>
      <c r="H93" s="98"/>
      <c r="I93" s="96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92"/>
      <c r="AP93" s="92"/>
      <c r="AQ93" s="92"/>
      <c r="AR93" s="1"/>
      <c r="AS93" s="228"/>
      <c r="AT93" s="1"/>
      <c r="AU93" s="1"/>
      <c r="AV93" s="1"/>
      <c r="AW93" s="1"/>
      <c r="AX93" s="1"/>
      <c r="AY93" s="1"/>
      <c r="AZ93" s="1"/>
      <c r="BA93" s="1"/>
      <c r="BB93" s="1"/>
      <c r="BC93" s="102"/>
      <c r="BD93" s="1"/>
      <c r="BE93" s="1"/>
      <c r="BF93" s="1"/>
      <c r="BG93" s="1"/>
      <c r="BH93" s="1"/>
      <c r="BI93" s="1"/>
      <c r="BJ93" s="1"/>
      <c r="BK93" s="1"/>
      <c r="BL93" s="1"/>
      <c r="BM93" s="1"/>
      <c r="BN93" s="1"/>
      <c r="BO93" s="1"/>
      <c r="BP93" s="1"/>
      <c r="BQ93" s="1"/>
      <c r="BR93" s="1"/>
      <c r="BS93" s="1"/>
      <c r="BT93" s="1"/>
      <c r="BU93" s="1"/>
      <c r="BV93" s="1"/>
      <c r="BW93" s="1"/>
      <c r="BX93" s="1"/>
      <c r="BY93" s="136"/>
      <c r="BZ93" s="136"/>
      <c r="CA93" s="136"/>
      <c r="CB93" s="136"/>
      <c r="CC93" s="136"/>
      <c r="CD93" s="136"/>
      <c r="CE93" s="136"/>
      <c r="CF93" s="147"/>
      <c r="CG93" s="136"/>
      <c r="CH93" s="147"/>
      <c r="CI93" s="147"/>
      <c r="CJ93" s="136"/>
      <c r="CK93" s="136"/>
      <c r="CL93" s="136"/>
      <c r="CM93" s="136"/>
      <c r="CN93" s="136"/>
      <c r="CO93" s="136"/>
      <c r="CP93" s="136"/>
      <c r="CQ93" s="1"/>
      <c r="CR93" s="1"/>
      <c r="CS93" s="225"/>
      <c r="CT93" s="1"/>
      <c r="CU93" s="136"/>
      <c r="CV93" s="136"/>
      <c r="CW93" s="136"/>
      <c r="CX93" s="136"/>
      <c r="CY93" s="136"/>
      <c r="CZ93" s="136"/>
      <c r="DA93" s="136"/>
      <c r="DB93" s="136"/>
      <c r="DC93" s="136"/>
      <c r="DD93" s="136"/>
      <c r="DE93" s="210"/>
      <c r="DF93" s="210"/>
      <c r="DG93" s="255"/>
      <c r="DH93" s="136"/>
      <c r="DI93" s="1"/>
      <c r="DJ93" s="1"/>
      <c r="DK93" s="102"/>
      <c r="DL93" s="102"/>
      <c r="DM93" s="102"/>
      <c r="DN93" s="102"/>
      <c r="DO93" s="102"/>
      <c r="DP93" s="143"/>
      <c r="DQ93" s="143"/>
      <c r="DR93" s="143"/>
      <c r="DS93" s="102"/>
      <c r="DT93" s="1"/>
      <c r="DU93" s="1"/>
      <c r="DV93" s="1"/>
      <c r="DW93" s="99"/>
      <c r="DX93" s="1"/>
      <c r="EE93" s="1"/>
      <c r="EK93" s="98"/>
      <c r="EL93" s="98"/>
      <c r="EM93" s="98"/>
      <c r="EN93" s="98"/>
      <c r="EO93" s="98"/>
      <c r="EP93" s="98"/>
      <c r="EQ93" s="98"/>
      <c r="ER93" s="241"/>
    </row>
    <row r="94" spans="1:148" s="93" customFormat="1">
      <c r="A94" s="95"/>
      <c r="B94" s="95"/>
      <c r="D94" s="97"/>
      <c r="E94" s="97"/>
      <c r="F94" s="97"/>
      <c r="G94" s="219"/>
      <c r="H94" s="98"/>
      <c r="I94" s="96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92"/>
      <c r="AP94" s="92"/>
      <c r="AQ94" s="92"/>
      <c r="AR94" s="1"/>
      <c r="AS94" s="228"/>
      <c r="AT94" s="1"/>
      <c r="AU94" s="1"/>
      <c r="AV94" s="1"/>
      <c r="AW94" s="1"/>
      <c r="AX94" s="1"/>
      <c r="AY94" s="1"/>
      <c r="AZ94" s="1"/>
      <c r="BA94" s="1"/>
      <c r="BB94" s="1"/>
      <c r="BC94" s="102"/>
      <c r="BD94" s="1"/>
      <c r="BE94" s="1"/>
      <c r="BF94" s="1"/>
      <c r="BG94" s="1"/>
      <c r="BH94" s="1"/>
      <c r="BI94" s="1"/>
      <c r="BJ94" s="1"/>
      <c r="BK94" s="1"/>
      <c r="BL94" s="1"/>
      <c r="BM94" s="1"/>
      <c r="BN94" s="1"/>
      <c r="BO94" s="1"/>
      <c r="BP94" s="1"/>
      <c r="BQ94" s="1"/>
      <c r="BR94" s="1"/>
      <c r="BS94" s="1"/>
      <c r="BT94" s="1"/>
      <c r="BU94" s="1"/>
      <c r="BV94" s="1"/>
      <c r="BW94" s="1"/>
      <c r="BX94" s="1"/>
      <c r="BY94" s="136"/>
      <c r="BZ94" s="136"/>
      <c r="CA94" s="136"/>
      <c r="CB94" s="136"/>
      <c r="CC94" s="136"/>
      <c r="CD94" s="136"/>
      <c r="CE94" s="136"/>
      <c r="CF94" s="147"/>
      <c r="CG94" s="136"/>
      <c r="CH94" s="147"/>
      <c r="CI94" s="147"/>
      <c r="CJ94" s="136"/>
      <c r="CK94" s="136"/>
      <c r="CL94" s="136"/>
      <c r="CM94" s="136"/>
      <c r="CN94" s="136"/>
      <c r="CO94" s="136"/>
      <c r="CP94" s="136"/>
      <c r="CQ94" s="1"/>
      <c r="CR94" s="1"/>
      <c r="CS94" s="225"/>
      <c r="CT94" s="1"/>
      <c r="CU94" s="136"/>
      <c r="CV94" s="136"/>
      <c r="CW94" s="136"/>
      <c r="CX94" s="136"/>
      <c r="CY94" s="136"/>
      <c r="CZ94" s="136"/>
      <c r="DA94" s="136"/>
      <c r="DB94" s="136"/>
      <c r="DC94" s="136"/>
      <c r="DD94" s="136"/>
      <c r="DE94" s="210"/>
      <c r="DF94" s="210"/>
      <c r="DG94" s="255"/>
      <c r="DH94" s="136"/>
      <c r="DI94" s="1"/>
      <c r="DJ94" s="1"/>
      <c r="DK94" s="102"/>
      <c r="DL94" s="102"/>
      <c r="DM94" s="102"/>
      <c r="DN94" s="102"/>
      <c r="DO94" s="102"/>
      <c r="DP94" s="143"/>
      <c r="DQ94" s="143"/>
      <c r="DR94" s="143"/>
      <c r="DS94" s="102"/>
      <c r="DT94" s="1"/>
      <c r="DU94" s="1"/>
      <c r="DV94" s="1"/>
      <c r="DW94" s="99"/>
      <c r="DX94" s="1"/>
      <c r="EE94" s="1"/>
      <c r="EK94" s="98"/>
      <c r="EL94" s="98"/>
      <c r="EM94" s="98"/>
      <c r="EN94" s="98"/>
      <c r="EO94" s="98"/>
      <c r="EP94" s="98"/>
      <c r="EQ94" s="98"/>
      <c r="ER94" s="241"/>
    </row>
    <row r="95" spans="1:148" s="93" customFormat="1">
      <c r="A95" s="95"/>
      <c r="B95" s="95"/>
      <c r="D95" s="97"/>
      <c r="E95" s="97"/>
      <c r="F95" s="97"/>
      <c r="G95" s="219"/>
      <c r="H95" s="98"/>
      <c r="I95" s="96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92"/>
      <c r="AP95" s="92"/>
      <c r="AQ95" s="92"/>
      <c r="AR95" s="1"/>
      <c r="AS95" s="228"/>
      <c r="AT95" s="1"/>
      <c r="AU95" s="1"/>
      <c r="AV95" s="1"/>
      <c r="AW95" s="1"/>
      <c r="AX95" s="1"/>
      <c r="AY95" s="1"/>
      <c r="AZ95" s="1"/>
      <c r="BA95" s="1"/>
      <c r="BB95" s="1"/>
      <c r="BC95" s="102"/>
      <c r="BD95" s="1"/>
      <c r="BE95" s="1"/>
      <c r="BF95" s="1"/>
      <c r="BG95" s="1"/>
      <c r="BH95" s="1"/>
      <c r="BI95" s="1"/>
      <c r="BJ95" s="1"/>
      <c r="BK95" s="1"/>
      <c r="BL95" s="1"/>
      <c r="BM95" s="1"/>
      <c r="BN95" s="1"/>
      <c r="BO95" s="1"/>
      <c r="BP95" s="1"/>
      <c r="BQ95" s="1"/>
      <c r="BR95" s="1"/>
      <c r="BS95" s="1"/>
      <c r="BT95" s="1"/>
      <c r="BU95" s="1"/>
      <c r="BV95" s="1"/>
      <c r="BW95" s="1"/>
      <c r="BX95" s="1"/>
      <c r="BY95" s="136"/>
      <c r="BZ95" s="136"/>
      <c r="CA95" s="136"/>
      <c r="CB95" s="136"/>
      <c r="CC95" s="136"/>
      <c r="CD95" s="136"/>
      <c r="CE95" s="136"/>
      <c r="CF95" s="147"/>
      <c r="CG95" s="136"/>
      <c r="CH95" s="147"/>
      <c r="CI95" s="147"/>
      <c r="CJ95" s="136"/>
      <c r="CK95" s="136"/>
      <c r="CL95" s="136"/>
      <c r="CM95" s="136"/>
      <c r="CN95" s="136"/>
      <c r="CO95" s="136"/>
      <c r="CP95" s="136"/>
      <c r="CQ95" s="1"/>
      <c r="CR95" s="1"/>
      <c r="CS95" s="225"/>
      <c r="CT95" s="1"/>
      <c r="CU95" s="136"/>
      <c r="CV95" s="136"/>
      <c r="CW95" s="136"/>
      <c r="CX95" s="136"/>
      <c r="CY95" s="136"/>
      <c r="CZ95" s="136"/>
      <c r="DA95" s="136"/>
      <c r="DB95" s="136"/>
      <c r="DC95" s="136"/>
      <c r="DD95" s="136"/>
      <c r="DE95" s="210"/>
      <c r="DF95" s="210"/>
      <c r="DG95" s="255"/>
      <c r="DH95" s="136"/>
      <c r="DI95" s="1"/>
      <c r="DJ95" s="1"/>
      <c r="DK95" s="102"/>
      <c r="DL95" s="102"/>
      <c r="DM95" s="102"/>
      <c r="DN95" s="102"/>
      <c r="DO95" s="102"/>
      <c r="DP95" s="143"/>
      <c r="DQ95" s="143"/>
      <c r="DR95" s="143"/>
      <c r="DS95" s="102"/>
      <c r="DT95" s="1"/>
      <c r="DU95" s="1"/>
      <c r="DV95" s="1"/>
      <c r="DW95" s="99"/>
      <c r="DX95" s="1"/>
      <c r="EE95" s="1"/>
      <c r="EK95" s="98"/>
      <c r="EL95" s="98"/>
      <c r="EM95" s="98"/>
      <c r="EN95" s="98"/>
      <c r="EO95" s="98"/>
      <c r="EP95" s="98"/>
      <c r="EQ95" s="98"/>
      <c r="ER95" s="241"/>
    </row>
    <row r="96" spans="1:148" s="93" customFormat="1">
      <c r="A96" s="95"/>
      <c r="B96" s="95"/>
      <c r="D96" s="97"/>
      <c r="E96" s="97"/>
      <c r="F96" s="97"/>
      <c r="G96" s="219"/>
      <c r="H96" s="98"/>
      <c r="I96" s="96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92"/>
      <c r="AP96" s="92"/>
      <c r="AQ96" s="92"/>
      <c r="AR96" s="1"/>
      <c r="AS96" s="228"/>
      <c r="AT96" s="1"/>
      <c r="AU96" s="1"/>
      <c r="AV96" s="1"/>
      <c r="AW96" s="1"/>
      <c r="AX96" s="1"/>
      <c r="AY96" s="1"/>
      <c r="AZ96" s="1"/>
      <c r="BA96" s="1"/>
      <c r="BB96" s="1"/>
      <c r="BC96" s="102"/>
      <c r="BD96" s="1"/>
      <c r="BE96" s="1"/>
      <c r="BF96" s="1"/>
      <c r="BG96" s="1"/>
      <c r="BH96" s="1"/>
      <c r="BI96" s="1"/>
      <c r="BJ96" s="1"/>
      <c r="BK96" s="1"/>
      <c r="BL96" s="1"/>
      <c r="BM96" s="1"/>
      <c r="BN96" s="1"/>
      <c r="BO96" s="1"/>
      <c r="BP96" s="1"/>
      <c r="BQ96" s="1"/>
      <c r="BR96" s="1"/>
      <c r="BS96" s="1"/>
      <c r="BT96" s="1"/>
      <c r="BU96" s="1"/>
      <c r="BV96" s="1"/>
      <c r="BW96" s="1"/>
      <c r="BX96" s="1"/>
      <c r="BY96" s="136"/>
      <c r="BZ96" s="136"/>
      <c r="CA96" s="136"/>
      <c r="CB96" s="136"/>
      <c r="CC96" s="136"/>
      <c r="CD96" s="136"/>
      <c r="CE96" s="136"/>
      <c r="CF96" s="147"/>
      <c r="CG96" s="136"/>
      <c r="CH96" s="147"/>
      <c r="CI96" s="147"/>
      <c r="CJ96" s="136"/>
      <c r="CK96" s="136"/>
      <c r="CL96" s="136"/>
      <c r="CM96" s="136"/>
      <c r="CN96" s="136"/>
      <c r="CO96" s="136"/>
      <c r="CP96" s="136"/>
      <c r="CQ96" s="1"/>
      <c r="CR96" s="1"/>
      <c r="CS96" s="225"/>
      <c r="CT96" s="1"/>
      <c r="CU96" s="136"/>
      <c r="CV96" s="136"/>
      <c r="CW96" s="136"/>
      <c r="CX96" s="136"/>
      <c r="CY96" s="136"/>
      <c r="CZ96" s="136"/>
      <c r="DA96" s="136"/>
      <c r="DB96" s="136"/>
      <c r="DC96" s="136"/>
      <c r="DD96" s="136"/>
      <c r="DE96" s="210"/>
      <c r="DF96" s="210"/>
      <c r="DG96" s="255"/>
      <c r="DH96" s="136"/>
      <c r="DI96" s="1"/>
      <c r="DJ96" s="1"/>
      <c r="DK96" s="102"/>
      <c r="DL96" s="102"/>
      <c r="DM96" s="102"/>
      <c r="DN96" s="102"/>
      <c r="DO96" s="102"/>
      <c r="DP96" s="143"/>
      <c r="DQ96" s="143"/>
      <c r="DR96" s="143"/>
      <c r="DS96" s="102"/>
      <c r="DT96" s="1"/>
      <c r="DU96" s="1"/>
      <c r="DV96" s="1"/>
      <c r="DW96" s="99"/>
      <c r="DX96" s="1"/>
      <c r="EE96" s="1"/>
      <c r="EK96" s="98"/>
      <c r="EL96" s="98"/>
      <c r="EM96" s="98"/>
      <c r="EN96" s="98"/>
      <c r="EO96" s="98"/>
      <c r="EP96" s="98"/>
      <c r="EQ96" s="98"/>
      <c r="ER96" s="241"/>
    </row>
    <row r="97" spans="1:148" s="93" customFormat="1">
      <c r="A97" s="95"/>
      <c r="B97" s="95"/>
      <c r="D97" s="97"/>
      <c r="E97" s="97"/>
      <c r="F97" s="97"/>
      <c r="G97" s="219"/>
      <c r="H97" s="98"/>
      <c r="I97" s="96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92"/>
      <c r="AP97" s="92"/>
      <c r="AQ97" s="92"/>
      <c r="AR97" s="1"/>
      <c r="AS97" s="228"/>
      <c r="AT97" s="1"/>
      <c r="AU97" s="1"/>
      <c r="AV97" s="1"/>
      <c r="AW97" s="1"/>
      <c r="AX97" s="1"/>
      <c r="AY97" s="1"/>
      <c r="AZ97" s="1"/>
      <c r="BA97" s="1"/>
      <c r="BB97" s="1"/>
      <c r="BC97" s="102"/>
      <c r="BD97" s="1"/>
      <c r="BE97" s="1"/>
      <c r="BF97" s="1"/>
      <c r="BG97" s="1"/>
      <c r="BH97" s="1"/>
      <c r="BI97" s="1"/>
      <c r="BJ97" s="1"/>
      <c r="BK97" s="1"/>
      <c r="BL97" s="1"/>
      <c r="BM97" s="1"/>
      <c r="BN97" s="1"/>
      <c r="BO97" s="1"/>
      <c r="BP97" s="1"/>
      <c r="BQ97" s="1"/>
      <c r="BR97" s="1"/>
      <c r="BS97" s="1"/>
      <c r="BT97" s="1"/>
      <c r="BU97" s="1"/>
      <c r="BV97" s="1"/>
      <c r="BW97" s="1"/>
      <c r="BX97" s="1"/>
      <c r="BY97" s="136"/>
      <c r="BZ97" s="136"/>
      <c r="CA97" s="136"/>
      <c r="CB97" s="136"/>
      <c r="CC97" s="136"/>
      <c r="CD97" s="136"/>
      <c r="CE97" s="136"/>
      <c r="CF97" s="147"/>
      <c r="CG97" s="136"/>
      <c r="CH97" s="147"/>
      <c r="CI97" s="147"/>
      <c r="CJ97" s="136"/>
      <c r="CK97" s="136"/>
      <c r="CL97" s="136"/>
      <c r="CM97" s="136"/>
      <c r="CN97" s="136"/>
      <c r="CO97" s="136"/>
      <c r="CP97" s="136"/>
      <c r="CQ97" s="1"/>
      <c r="CR97" s="1"/>
      <c r="CS97" s="225"/>
      <c r="CT97" s="1"/>
      <c r="CU97" s="136"/>
      <c r="CV97" s="136"/>
      <c r="CW97" s="136"/>
      <c r="CX97" s="136"/>
      <c r="CY97" s="136"/>
      <c r="CZ97" s="136"/>
      <c r="DA97" s="136"/>
      <c r="DB97" s="136"/>
      <c r="DC97" s="136"/>
      <c r="DD97" s="136"/>
      <c r="DE97" s="210"/>
      <c r="DF97" s="210"/>
      <c r="DG97" s="255"/>
      <c r="DH97" s="136"/>
      <c r="DI97" s="1"/>
      <c r="DJ97" s="1"/>
      <c r="DK97" s="102"/>
      <c r="DL97" s="102"/>
      <c r="DM97" s="102"/>
      <c r="DN97" s="102"/>
      <c r="DO97" s="102"/>
      <c r="DP97" s="143"/>
      <c r="DQ97" s="143"/>
      <c r="DR97" s="143"/>
      <c r="DS97" s="102"/>
      <c r="DT97" s="1"/>
      <c r="DU97" s="1"/>
      <c r="DV97" s="1"/>
      <c r="DW97" s="99"/>
      <c r="DX97" s="1"/>
      <c r="EE97" s="1"/>
      <c r="EK97" s="98"/>
      <c r="EL97" s="98"/>
      <c r="EM97" s="98"/>
      <c r="EN97" s="98"/>
      <c r="EO97" s="98"/>
      <c r="EP97" s="98"/>
      <c r="EQ97" s="98"/>
      <c r="ER97" s="241"/>
    </row>
    <row r="98" spans="1:148" s="93" customFormat="1">
      <c r="A98" s="95"/>
      <c r="B98" s="95"/>
      <c r="D98" s="97"/>
      <c r="E98" s="97"/>
      <c r="F98" s="97"/>
      <c r="G98" s="219"/>
      <c r="H98" s="98"/>
      <c r="I98" s="96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92"/>
      <c r="AP98" s="92"/>
      <c r="AQ98" s="92"/>
      <c r="AR98" s="1"/>
      <c r="AS98" s="228"/>
      <c r="AT98" s="1"/>
      <c r="AU98" s="1"/>
      <c r="AV98" s="1"/>
      <c r="AW98" s="1"/>
      <c r="AX98" s="1"/>
      <c r="AY98" s="1"/>
      <c r="AZ98" s="1"/>
      <c r="BA98" s="1"/>
      <c r="BB98" s="1"/>
      <c r="BC98" s="102"/>
      <c r="BD98" s="1"/>
      <c r="BE98" s="1"/>
      <c r="BF98" s="1"/>
      <c r="BG98" s="1"/>
      <c r="BH98" s="1"/>
      <c r="BI98" s="1"/>
      <c r="BJ98" s="1"/>
      <c r="BK98" s="1"/>
      <c r="BL98" s="1"/>
      <c r="BM98" s="1"/>
      <c r="BN98" s="1"/>
      <c r="BO98" s="1"/>
      <c r="BP98" s="1"/>
      <c r="BQ98" s="1"/>
      <c r="BR98" s="1"/>
      <c r="BS98" s="1"/>
      <c r="BT98" s="1"/>
      <c r="BU98" s="1"/>
      <c r="BV98" s="1"/>
      <c r="BW98" s="1"/>
      <c r="BX98" s="1"/>
      <c r="BY98" s="136"/>
      <c r="BZ98" s="136"/>
      <c r="CA98" s="136"/>
      <c r="CB98" s="136"/>
      <c r="CC98" s="136"/>
      <c r="CD98" s="136"/>
      <c r="CE98" s="136"/>
      <c r="CF98" s="147"/>
      <c r="CG98" s="136"/>
      <c r="CH98" s="147"/>
      <c r="CI98" s="147"/>
      <c r="CJ98" s="136"/>
      <c r="CK98" s="136"/>
      <c r="CL98" s="136"/>
      <c r="CM98" s="136"/>
      <c r="CN98" s="136"/>
      <c r="CO98" s="136"/>
      <c r="CP98" s="136"/>
      <c r="CQ98" s="1"/>
      <c r="CR98" s="1"/>
      <c r="CS98" s="225"/>
      <c r="CT98" s="1"/>
      <c r="CU98" s="136"/>
      <c r="CV98" s="136"/>
      <c r="CW98" s="136"/>
      <c r="CX98" s="136"/>
      <c r="CY98" s="136"/>
      <c r="CZ98" s="136"/>
      <c r="DA98" s="136"/>
      <c r="DB98" s="136"/>
      <c r="DC98" s="136"/>
      <c r="DD98" s="136"/>
      <c r="DE98" s="210"/>
      <c r="DF98" s="210"/>
      <c r="DG98" s="255"/>
      <c r="DH98" s="136"/>
      <c r="DI98" s="1"/>
      <c r="DJ98" s="1"/>
      <c r="DK98" s="102"/>
      <c r="DL98" s="102"/>
      <c r="DM98" s="102"/>
      <c r="DN98" s="102"/>
      <c r="DO98" s="102"/>
      <c r="DP98" s="143"/>
      <c r="DQ98" s="143"/>
      <c r="DR98" s="143"/>
      <c r="DS98" s="102"/>
      <c r="DT98" s="1"/>
      <c r="DU98" s="1"/>
      <c r="DV98" s="1"/>
      <c r="DW98" s="99"/>
      <c r="DX98" s="1"/>
      <c r="EE98" s="1"/>
      <c r="EK98" s="98"/>
      <c r="EL98" s="98"/>
      <c r="EM98" s="98"/>
      <c r="EN98" s="98"/>
      <c r="EO98" s="98"/>
      <c r="EP98" s="98"/>
      <c r="EQ98" s="98"/>
      <c r="ER98" s="241"/>
    </row>
    <row r="99" spans="1:148" s="93" customFormat="1">
      <c r="A99" s="95"/>
      <c r="B99" s="95"/>
      <c r="D99" s="97"/>
      <c r="E99" s="97"/>
      <c r="F99" s="97"/>
      <c r="G99" s="219"/>
      <c r="H99" s="98"/>
      <c r="I99" s="96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92"/>
      <c r="AP99" s="92"/>
      <c r="AQ99" s="92"/>
      <c r="AR99" s="1"/>
      <c r="AS99" s="228"/>
      <c r="AT99" s="1"/>
      <c r="AU99" s="1"/>
      <c r="AV99" s="1"/>
      <c r="AW99" s="1"/>
      <c r="AX99" s="1"/>
      <c r="AY99" s="1"/>
      <c r="AZ99" s="1"/>
      <c r="BA99" s="1"/>
      <c r="BB99" s="1"/>
      <c r="BC99" s="102"/>
      <c r="BD99" s="1"/>
      <c r="BE99" s="1"/>
      <c r="BF99" s="1"/>
      <c r="BG99" s="1"/>
      <c r="BH99" s="1"/>
      <c r="BI99" s="1"/>
      <c r="BJ99" s="1"/>
      <c r="BK99" s="1"/>
      <c r="BL99" s="1"/>
      <c r="BM99" s="1"/>
      <c r="BN99" s="1"/>
      <c r="BO99" s="1"/>
      <c r="BP99" s="1"/>
      <c r="BQ99" s="1"/>
      <c r="BR99" s="1"/>
      <c r="BS99" s="1"/>
      <c r="BT99" s="1"/>
      <c r="BU99" s="1"/>
      <c r="BV99" s="1"/>
      <c r="BW99" s="1"/>
      <c r="BX99" s="1"/>
      <c r="BY99" s="136"/>
      <c r="BZ99" s="136"/>
      <c r="CA99" s="136"/>
      <c r="CB99" s="136"/>
      <c r="CC99" s="136"/>
      <c r="CD99" s="136"/>
      <c r="CE99" s="136"/>
      <c r="CF99" s="147"/>
      <c r="CG99" s="136"/>
      <c r="CH99" s="147"/>
      <c r="CI99" s="147"/>
      <c r="CJ99" s="136"/>
      <c r="CK99" s="136"/>
      <c r="CL99" s="136"/>
      <c r="CM99" s="136"/>
      <c r="CN99" s="136"/>
      <c r="CO99" s="136"/>
      <c r="CP99" s="136"/>
      <c r="CQ99" s="1"/>
      <c r="CR99" s="1"/>
      <c r="CS99" s="225"/>
      <c r="CT99" s="1"/>
      <c r="CU99" s="136"/>
      <c r="CV99" s="136"/>
      <c r="CW99" s="136"/>
      <c r="CX99" s="136"/>
      <c r="CY99" s="136"/>
      <c r="CZ99" s="136"/>
      <c r="DA99" s="136"/>
      <c r="DB99" s="136"/>
      <c r="DC99" s="136"/>
      <c r="DD99" s="136"/>
      <c r="DE99" s="210"/>
      <c r="DF99" s="210"/>
      <c r="DG99" s="255"/>
      <c r="DH99" s="136"/>
      <c r="DI99" s="1"/>
      <c r="DJ99" s="1"/>
      <c r="DK99" s="102"/>
      <c r="DL99" s="102"/>
      <c r="DM99" s="102"/>
      <c r="DN99" s="102"/>
      <c r="DO99" s="102"/>
      <c r="DP99" s="143"/>
      <c r="DQ99" s="143"/>
      <c r="DR99" s="143"/>
      <c r="DS99" s="102"/>
      <c r="DT99" s="1"/>
      <c r="DU99" s="1"/>
      <c r="DV99" s="1"/>
      <c r="DW99" s="99"/>
      <c r="DX99" s="1"/>
      <c r="EE99" s="1"/>
      <c r="EK99" s="98"/>
      <c r="EL99" s="98"/>
      <c r="EM99" s="98"/>
      <c r="EN99" s="98"/>
      <c r="EO99" s="98"/>
      <c r="EP99" s="98"/>
      <c r="EQ99" s="98"/>
      <c r="ER99" s="241"/>
    </row>
    <row r="100" spans="1:148" s="93" customFormat="1">
      <c r="A100" s="95"/>
      <c r="B100" s="95"/>
      <c r="D100" s="97"/>
      <c r="E100" s="97"/>
      <c r="F100" s="97"/>
      <c r="G100" s="219"/>
      <c r="H100" s="98"/>
      <c r="I100" s="96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92"/>
      <c r="AP100" s="92"/>
      <c r="AQ100" s="92"/>
      <c r="AR100" s="1"/>
      <c r="AS100" s="228"/>
      <c r="AT100" s="1"/>
      <c r="AU100" s="1"/>
      <c r="AV100" s="1"/>
      <c r="AW100" s="1"/>
      <c r="AX100" s="1"/>
      <c r="AY100" s="1"/>
      <c r="AZ100" s="1"/>
      <c r="BA100" s="1"/>
      <c r="BB100" s="1"/>
      <c r="BC100" s="102"/>
      <c r="BD100" s="1"/>
      <c r="BE100" s="1"/>
      <c r="BF100" s="1"/>
      <c r="BG100" s="1"/>
      <c r="BH100" s="1"/>
      <c r="BI100" s="1"/>
      <c r="BJ100" s="1"/>
      <c r="BK100" s="1"/>
      <c r="BL100" s="1"/>
      <c r="BM100" s="1"/>
      <c r="BN100" s="1"/>
      <c r="BO100" s="1"/>
      <c r="BP100" s="1"/>
      <c r="BQ100" s="1"/>
      <c r="BR100" s="1"/>
      <c r="BS100" s="1"/>
      <c r="BT100" s="1"/>
      <c r="BU100" s="1"/>
      <c r="BV100" s="1"/>
      <c r="BW100" s="1"/>
      <c r="BX100" s="1"/>
      <c r="BY100" s="136"/>
      <c r="BZ100" s="136"/>
      <c r="CA100" s="136"/>
      <c r="CB100" s="136"/>
      <c r="CC100" s="136"/>
      <c r="CD100" s="136"/>
      <c r="CE100" s="136"/>
      <c r="CF100" s="147"/>
      <c r="CG100" s="136"/>
      <c r="CH100" s="147"/>
      <c r="CI100" s="147"/>
      <c r="CJ100" s="136"/>
      <c r="CK100" s="136"/>
      <c r="CL100" s="136"/>
      <c r="CM100" s="136"/>
      <c r="CN100" s="136"/>
      <c r="CO100" s="136"/>
      <c r="CP100" s="136"/>
      <c r="CQ100" s="1"/>
      <c r="CR100" s="1"/>
      <c r="CS100" s="225"/>
      <c r="CT100" s="1"/>
      <c r="CU100" s="136"/>
      <c r="CV100" s="136"/>
      <c r="CW100" s="136"/>
      <c r="CX100" s="136"/>
      <c r="CY100" s="136"/>
      <c r="CZ100" s="136"/>
      <c r="DA100" s="136"/>
      <c r="DB100" s="136"/>
      <c r="DC100" s="136"/>
      <c r="DD100" s="136"/>
      <c r="DE100" s="210"/>
      <c r="DF100" s="210"/>
      <c r="DG100" s="255"/>
      <c r="DH100" s="136"/>
      <c r="DI100" s="1"/>
      <c r="DJ100" s="1"/>
      <c r="DK100" s="102"/>
      <c r="DL100" s="102"/>
      <c r="DM100" s="102"/>
      <c r="DN100" s="102"/>
      <c r="DO100" s="102"/>
      <c r="DP100" s="143"/>
      <c r="DQ100" s="143"/>
      <c r="DR100" s="143"/>
      <c r="DS100" s="102"/>
      <c r="DT100" s="1"/>
      <c r="DU100" s="1"/>
      <c r="DV100" s="1"/>
      <c r="DW100" s="99"/>
      <c r="DX100" s="1"/>
      <c r="EE100" s="1"/>
      <c r="EK100" s="98"/>
      <c r="EL100" s="98"/>
      <c r="EM100" s="98"/>
      <c r="EN100" s="98"/>
      <c r="EO100" s="98"/>
      <c r="EP100" s="98"/>
      <c r="EQ100" s="98"/>
      <c r="ER100" s="241"/>
    </row>
    <row r="101" spans="1:148" s="93" customFormat="1">
      <c r="A101" s="95"/>
      <c r="B101" s="95"/>
      <c r="D101" s="97"/>
      <c r="E101" s="97"/>
      <c r="F101" s="97"/>
      <c r="G101" s="219"/>
      <c r="H101" s="98"/>
      <c r="I101" s="96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92"/>
      <c r="AP101" s="92"/>
      <c r="AQ101" s="92"/>
      <c r="AR101" s="1"/>
      <c r="AS101" s="228"/>
      <c r="AT101" s="1"/>
      <c r="AU101" s="1"/>
      <c r="AV101" s="1"/>
      <c r="AW101" s="1"/>
      <c r="AX101" s="1"/>
      <c r="AY101" s="1"/>
      <c r="AZ101" s="1"/>
      <c r="BA101" s="1"/>
      <c r="BB101" s="1"/>
      <c r="BC101" s="102"/>
      <c r="BD101" s="1"/>
      <c r="BE101" s="1"/>
      <c r="BF101" s="1"/>
      <c r="BG101" s="1"/>
      <c r="BH101" s="1"/>
      <c r="BI101" s="1"/>
      <c r="BJ101" s="1"/>
      <c r="BK101" s="1"/>
      <c r="BL101" s="1"/>
      <c r="BM101" s="1"/>
      <c r="BN101" s="1"/>
      <c r="BO101" s="1"/>
      <c r="BP101" s="1"/>
      <c r="BQ101" s="1"/>
      <c r="BR101" s="1"/>
      <c r="BS101" s="1"/>
      <c r="BT101" s="1"/>
      <c r="BU101" s="1"/>
      <c r="BV101" s="1"/>
      <c r="BW101" s="1"/>
      <c r="BX101" s="1"/>
      <c r="BY101" s="136"/>
      <c r="BZ101" s="136"/>
      <c r="CA101" s="136"/>
      <c r="CB101" s="136"/>
      <c r="CC101" s="136"/>
      <c r="CD101" s="136"/>
      <c r="CE101" s="136"/>
      <c r="CF101" s="147"/>
      <c r="CG101" s="136"/>
      <c r="CH101" s="147"/>
      <c r="CI101" s="147"/>
      <c r="CJ101" s="136"/>
      <c r="CK101" s="136"/>
      <c r="CL101" s="136"/>
      <c r="CM101" s="136"/>
      <c r="CN101" s="136"/>
      <c r="CO101" s="136"/>
      <c r="CP101" s="136"/>
      <c r="CQ101" s="1"/>
      <c r="CR101" s="1"/>
      <c r="CS101" s="225"/>
      <c r="CT101" s="1"/>
      <c r="CU101" s="136"/>
      <c r="CV101" s="136"/>
      <c r="CW101" s="136"/>
      <c r="CX101" s="136"/>
      <c r="CY101" s="136"/>
      <c r="CZ101" s="136"/>
      <c r="DA101" s="136"/>
      <c r="DB101" s="136"/>
      <c r="DC101" s="136"/>
      <c r="DD101" s="136"/>
      <c r="DE101" s="210"/>
      <c r="DF101" s="210"/>
      <c r="DG101" s="255"/>
      <c r="DH101" s="136"/>
      <c r="DI101" s="1"/>
      <c r="DJ101" s="1"/>
      <c r="DK101" s="102"/>
      <c r="DL101" s="102"/>
      <c r="DM101" s="102"/>
      <c r="DN101" s="102"/>
      <c r="DO101" s="102"/>
      <c r="DP101" s="143"/>
      <c r="DQ101" s="143"/>
      <c r="DR101" s="143"/>
      <c r="DS101" s="102"/>
      <c r="DT101" s="1"/>
      <c r="DU101" s="1"/>
      <c r="DV101" s="1"/>
      <c r="DW101" s="99"/>
      <c r="DX101" s="1"/>
      <c r="EE101" s="1"/>
      <c r="EK101" s="98"/>
      <c r="EL101" s="98"/>
      <c r="EM101" s="98"/>
      <c r="EN101" s="98"/>
      <c r="EO101" s="98"/>
      <c r="EP101" s="98"/>
      <c r="EQ101" s="98"/>
      <c r="ER101" s="241"/>
    </row>
    <row r="102" spans="1:148" s="93" customFormat="1">
      <c r="A102" s="95"/>
      <c r="B102" s="95"/>
      <c r="D102" s="97"/>
      <c r="E102" s="97"/>
      <c r="F102" s="97"/>
      <c r="G102" s="219"/>
      <c r="H102" s="98"/>
      <c r="I102" s="96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92"/>
      <c r="AP102" s="92"/>
      <c r="AQ102" s="92"/>
      <c r="AR102" s="1"/>
      <c r="AS102" s="228"/>
      <c r="AT102" s="1"/>
      <c r="AU102" s="1"/>
      <c r="AV102" s="1"/>
      <c r="AW102" s="1"/>
      <c r="AX102" s="1"/>
      <c r="AY102" s="1"/>
      <c r="AZ102" s="1"/>
      <c r="BA102" s="1"/>
      <c r="BB102" s="1"/>
      <c r="BC102" s="102"/>
      <c r="BD102" s="1"/>
      <c r="BE102" s="1"/>
      <c r="BF102" s="1"/>
      <c r="BG102" s="1"/>
      <c r="BH102" s="1"/>
      <c r="BI102" s="1"/>
      <c r="BJ102" s="1"/>
      <c r="BK102" s="1"/>
      <c r="BL102" s="1"/>
      <c r="BM102" s="1"/>
      <c r="BN102" s="1"/>
      <c r="BO102" s="1"/>
      <c r="BP102" s="1"/>
      <c r="BQ102" s="1"/>
      <c r="BR102" s="1"/>
      <c r="BS102" s="1"/>
      <c r="BT102" s="1"/>
      <c r="BU102" s="1"/>
      <c r="BV102" s="1"/>
      <c r="BW102" s="1"/>
      <c r="BX102" s="1"/>
      <c r="BY102" s="136"/>
      <c r="BZ102" s="136"/>
      <c r="CA102" s="136"/>
      <c r="CB102" s="136"/>
      <c r="CC102" s="136"/>
      <c r="CD102" s="136"/>
      <c r="CE102" s="136"/>
      <c r="CF102" s="147"/>
      <c r="CG102" s="136"/>
      <c r="CH102" s="147"/>
      <c r="CI102" s="147"/>
      <c r="CJ102" s="136"/>
      <c r="CK102" s="136"/>
      <c r="CL102" s="136"/>
      <c r="CM102" s="136"/>
      <c r="CN102" s="136"/>
      <c r="CO102" s="136"/>
      <c r="CP102" s="136"/>
      <c r="CQ102" s="1"/>
      <c r="CR102" s="1"/>
      <c r="CS102" s="225"/>
      <c r="CT102" s="1"/>
      <c r="CU102" s="136"/>
      <c r="CV102" s="136"/>
      <c r="CW102" s="136"/>
      <c r="CX102" s="136"/>
      <c r="CY102" s="136"/>
      <c r="CZ102" s="136"/>
      <c r="DA102" s="136"/>
      <c r="DB102" s="136"/>
      <c r="DC102" s="136"/>
      <c r="DD102" s="136"/>
      <c r="DE102" s="210"/>
      <c r="DF102" s="210"/>
      <c r="DG102" s="255"/>
      <c r="DH102" s="136"/>
      <c r="DI102" s="1"/>
      <c r="DJ102" s="1"/>
      <c r="DK102" s="102"/>
      <c r="DL102" s="102"/>
      <c r="DM102" s="102"/>
      <c r="DN102" s="102"/>
      <c r="DO102" s="102"/>
      <c r="DP102" s="143"/>
      <c r="DQ102" s="143"/>
      <c r="DR102" s="143"/>
      <c r="DS102" s="102"/>
      <c r="DT102" s="1"/>
      <c r="DU102" s="1"/>
      <c r="DV102" s="1"/>
      <c r="DW102" s="99"/>
      <c r="DX102" s="1"/>
      <c r="EE102" s="1"/>
      <c r="EK102" s="98"/>
      <c r="EL102" s="98"/>
      <c r="EM102" s="98"/>
      <c r="EN102" s="98"/>
      <c r="EO102" s="98"/>
      <c r="EP102" s="98"/>
      <c r="EQ102" s="98"/>
      <c r="ER102" s="241"/>
    </row>
    <row r="103" spans="1:148" s="93" customFormat="1">
      <c r="A103" s="95"/>
      <c r="B103" s="95"/>
      <c r="D103" s="97"/>
      <c r="E103" s="97"/>
      <c r="F103" s="97"/>
      <c r="G103" s="219"/>
      <c r="H103" s="98"/>
      <c r="I103" s="96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92"/>
      <c r="AP103" s="92"/>
      <c r="AQ103" s="92"/>
      <c r="AR103" s="1"/>
      <c r="AS103" s="228"/>
      <c r="AT103" s="1"/>
      <c r="AU103" s="1"/>
      <c r="AV103" s="1"/>
      <c r="AW103" s="1"/>
      <c r="AX103" s="1"/>
      <c r="AY103" s="1"/>
      <c r="AZ103" s="1"/>
      <c r="BA103" s="1"/>
      <c r="BB103" s="1"/>
      <c r="BC103" s="102"/>
      <c r="BD103" s="1"/>
      <c r="BE103" s="1"/>
      <c r="BF103" s="1"/>
      <c r="BG103" s="1"/>
      <c r="BH103" s="1"/>
      <c r="BI103" s="1"/>
      <c r="BJ103" s="1"/>
      <c r="BK103" s="1"/>
      <c r="BL103" s="1"/>
      <c r="BM103" s="1"/>
      <c r="BN103" s="1"/>
      <c r="BO103" s="1"/>
      <c r="BP103" s="1"/>
      <c r="BQ103" s="1"/>
      <c r="BR103" s="1"/>
      <c r="BS103" s="1"/>
      <c r="BT103" s="1"/>
      <c r="BU103" s="1"/>
      <c r="BV103" s="1"/>
      <c r="BW103" s="1"/>
      <c r="BX103" s="1"/>
      <c r="BY103" s="136"/>
      <c r="BZ103" s="136"/>
      <c r="CA103" s="136"/>
      <c r="CB103" s="136"/>
      <c r="CC103" s="136"/>
      <c r="CD103" s="136"/>
      <c r="CE103" s="136"/>
      <c r="CF103" s="147"/>
      <c r="CG103" s="136"/>
      <c r="CH103" s="147"/>
      <c r="CI103" s="147"/>
      <c r="CJ103" s="136"/>
      <c r="CK103" s="136"/>
      <c r="CL103" s="136"/>
      <c r="CM103" s="136"/>
      <c r="CN103" s="136"/>
      <c r="CO103" s="136"/>
      <c r="CP103" s="136"/>
      <c r="CQ103" s="1"/>
      <c r="CR103" s="1"/>
      <c r="CS103" s="225"/>
      <c r="CT103" s="1"/>
      <c r="CU103" s="136"/>
      <c r="CV103" s="136"/>
      <c r="CW103" s="136"/>
      <c r="CX103" s="136"/>
      <c r="CY103" s="136"/>
      <c r="CZ103" s="136"/>
      <c r="DA103" s="136"/>
      <c r="DB103" s="136"/>
      <c r="DC103" s="136"/>
      <c r="DD103" s="136"/>
      <c r="DE103" s="210"/>
      <c r="DF103" s="210"/>
      <c r="DG103" s="255"/>
      <c r="DH103" s="136"/>
      <c r="DI103" s="1"/>
      <c r="DJ103" s="1"/>
      <c r="DK103" s="102"/>
      <c r="DL103" s="102"/>
      <c r="DM103" s="102"/>
      <c r="DN103" s="102"/>
      <c r="DO103" s="102"/>
      <c r="DP103" s="143"/>
      <c r="DQ103" s="143"/>
      <c r="DR103" s="143"/>
      <c r="DS103" s="102"/>
      <c r="DT103" s="1"/>
      <c r="DU103" s="1"/>
      <c r="DV103" s="1"/>
      <c r="DW103" s="99"/>
      <c r="DX103" s="1"/>
      <c r="EE103" s="1"/>
      <c r="EK103" s="98"/>
      <c r="EL103" s="98"/>
      <c r="EM103" s="98"/>
      <c r="EN103" s="98"/>
      <c r="EO103" s="98"/>
      <c r="EP103" s="98"/>
      <c r="EQ103" s="98"/>
      <c r="ER103" s="241"/>
    </row>
    <row r="104" spans="1:148" s="93" customFormat="1">
      <c r="A104" s="95"/>
      <c r="B104" s="95"/>
      <c r="D104" s="97"/>
      <c r="E104" s="97"/>
      <c r="F104" s="97"/>
      <c r="G104" s="219"/>
      <c r="H104" s="98"/>
      <c r="I104" s="96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92"/>
      <c r="AP104" s="92"/>
      <c r="AQ104" s="92"/>
      <c r="AR104" s="1"/>
      <c r="AS104" s="228"/>
      <c r="AT104" s="1"/>
      <c r="AU104" s="1"/>
      <c r="AV104" s="1"/>
      <c r="AW104" s="1"/>
      <c r="AX104" s="1"/>
      <c r="AY104" s="1"/>
      <c r="AZ104" s="1"/>
      <c r="BA104" s="1"/>
      <c r="BB104" s="1"/>
      <c r="BC104" s="102"/>
      <c r="BD104" s="1"/>
      <c r="BE104" s="1"/>
      <c r="BF104" s="1"/>
      <c r="BG104" s="1"/>
      <c r="BH104" s="1"/>
      <c r="BI104" s="1"/>
      <c r="BJ104" s="1"/>
      <c r="BK104" s="1"/>
      <c r="BL104" s="1"/>
      <c r="BM104" s="1"/>
      <c r="BN104" s="1"/>
      <c r="BO104" s="1"/>
      <c r="BP104" s="1"/>
      <c r="BQ104" s="1"/>
      <c r="BR104" s="1"/>
      <c r="BS104" s="1"/>
      <c r="BT104" s="1"/>
      <c r="BU104" s="1"/>
      <c r="BV104" s="1"/>
      <c r="BW104" s="1"/>
      <c r="BX104" s="1"/>
      <c r="BY104" s="136"/>
      <c r="BZ104" s="136"/>
      <c r="CA104" s="136"/>
      <c r="CB104" s="136"/>
      <c r="CC104" s="136"/>
      <c r="CD104" s="136"/>
      <c r="CE104" s="136"/>
      <c r="CF104" s="147"/>
      <c r="CG104" s="136"/>
      <c r="CH104" s="147"/>
      <c r="CI104" s="147"/>
      <c r="CJ104" s="136"/>
      <c r="CK104" s="136"/>
      <c r="CL104" s="136"/>
      <c r="CM104" s="136"/>
      <c r="CN104" s="136"/>
      <c r="CO104" s="136"/>
      <c r="CP104" s="136"/>
      <c r="CQ104" s="1"/>
      <c r="CR104" s="1"/>
      <c r="CS104" s="225"/>
      <c r="CT104" s="1"/>
      <c r="CU104" s="136"/>
      <c r="CV104" s="136"/>
      <c r="CW104" s="136"/>
      <c r="CX104" s="136"/>
      <c r="CY104" s="136"/>
      <c r="CZ104" s="136"/>
      <c r="DA104" s="136"/>
      <c r="DB104" s="136"/>
      <c r="DC104" s="136"/>
      <c r="DD104" s="136"/>
      <c r="DE104" s="210"/>
      <c r="DF104" s="210"/>
      <c r="DG104" s="255"/>
      <c r="DH104" s="136"/>
      <c r="DI104" s="1"/>
      <c r="DJ104" s="1"/>
      <c r="DK104" s="102"/>
      <c r="DL104" s="102"/>
      <c r="DM104" s="102"/>
      <c r="DN104" s="102"/>
      <c r="DO104" s="102"/>
      <c r="DP104" s="143"/>
      <c r="DQ104" s="143"/>
      <c r="DR104" s="143"/>
      <c r="DS104" s="102"/>
      <c r="DT104" s="1"/>
      <c r="DU104" s="1"/>
      <c r="DV104" s="1"/>
      <c r="DW104" s="99"/>
      <c r="DX104" s="1"/>
      <c r="EE104" s="1"/>
      <c r="EK104" s="98"/>
      <c r="EL104" s="98"/>
      <c r="EM104" s="98"/>
      <c r="EN104" s="98"/>
      <c r="EO104" s="98"/>
      <c r="EP104" s="98"/>
      <c r="EQ104" s="98"/>
      <c r="ER104" s="241"/>
    </row>
    <row r="105" spans="1:148" s="93" customFormat="1">
      <c r="A105" s="95"/>
      <c r="B105" s="95"/>
      <c r="D105" s="97"/>
      <c r="E105" s="97"/>
      <c r="F105" s="97"/>
      <c r="G105" s="219"/>
      <c r="H105" s="98"/>
      <c r="I105" s="96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92"/>
      <c r="AP105" s="92"/>
      <c r="AQ105" s="92"/>
      <c r="AR105" s="1"/>
      <c r="AS105" s="228"/>
      <c r="AT105" s="1"/>
      <c r="AU105" s="1"/>
      <c r="AV105" s="1"/>
      <c r="AW105" s="1"/>
      <c r="AX105" s="1"/>
      <c r="AY105" s="1"/>
      <c r="AZ105" s="1"/>
      <c r="BA105" s="1"/>
      <c r="BB105" s="1"/>
      <c r="BC105" s="102"/>
      <c r="BD105" s="1"/>
      <c r="BE105" s="1"/>
      <c r="BF105" s="1"/>
      <c r="BG105" s="1"/>
      <c r="BH105" s="1"/>
      <c r="BI105" s="1"/>
      <c r="BJ105" s="1"/>
      <c r="BK105" s="1"/>
      <c r="BL105" s="1"/>
      <c r="BM105" s="1"/>
      <c r="BN105" s="1"/>
      <c r="BO105" s="1"/>
      <c r="BP105" s="1"/>
      <c r="BQ105" s="1"/>
      <c r="BR105" s="1"/>
      <c r="BS105" s="1"/>
      <c r="BT105" s="1"/>
      <c r="BU105" s="1"/>
      <c r="BV105" s="1"/>
      <c r="BW105" s="1"/>
      <c r="BX105" s="1"/>
      <c r="BY105" s="136"/>
      <c r="BZ105" s="136"/>
      <c r="CA105" s="136"/>
      <c r="CB105" s="136"/>
      <c r="CC105" s="136"/>
      <c r="CD105" s="136"/>
      <c r="CE105" s="136"/>
      <c r="CF105" s="147"/>
      <c r="CG105" s="136"/>
      <c r="CH105" s="147"/>
      <c r="CI105" s="147"/>
      <c r="CJ105" s="136"/>
      <c r="CK105" s="136"/>
      <c r="CL105" s="136"/>
      <c r="CM105" s="136"/>
      <c r="CN105" s="136"/>
      <c r="CO105" s="136"/>
      <c r="CP105" s="136"/>
      <c r="CQ105" s="1"/>
      <c r="CR105" s="1"/>
      <c r="CS105" s="225"/>
      <c r="CT105" s="1"/>
      <c r="CU105" s="136"/>
      <c r="CV105" s="136"/>
      <c r="CW105" s="136"/>
      <c r="CX105" s="136"/>
      <c r="CY105" s="136"/>
      <c r="CZ105" s="136"/>
      <c r="DA105" s="136"/>
      <c r="DB105" s="136"/>
      <c r="DC105" s="136"/>
      <c r="DD105" s="136"/>
      <c r="DE105" s="210"/>
      <c r="DF105" s="210"/>
      <c r="DG105" s="255"/>
      <c r="DH105" s="136"/>
      <c r="DI105" s="1"/>
      <c r="DJ105" s="1"/>
      <c r="DK105" s="102"/>
      <c r="DL105" s="102"/>
      <c r="DM105" s="102"/>
      <c r="DN105" s="102"/>
      <c r="DO105" s="102"/>
      <c r="DP105" s="143"/>
      <c r="DQ105" s="143"/>
      <c r="DR105" s="143"/>
      <c r="DS105" s="102"/>
      <c r="DT105" s="1"/>
      <c r="DU105" s="1"/>
      <c r="DV105" s="1"/>
      <c r="DW105" s="99"/>
      <c r="DX105" s="1"/>
      <c r="EE105" s="1"/>
      <c r="EK105" s="98"/>
      <c r="EL105" s="98"/>
      <c r="EM105" s="98"/>
      <c r="EN105" s="98"/>
      <c r="EO105" s="98"/>
      <c r="EP105" s="98"/>
      <c r="EQ105" s="98"/>
      <c r="ER105" s="241"/>
    </row>
    <row r="106" spans="1:148" s="93" customFormat="1">
      <c r="A106" s="95"/>
      <c r="B106" s="95"/>
      <c r="D106" s="97"/>
      <c r="E106" s="97"/>
      <c r="F106" s="97"/>
      <c r="G106" s="219"/>
      <c r="H106" s="98"/>
      <c r="I106" s="96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92"/>
      <c r="AP106" s="92"/>
      <c r="AQ106" s="92"/>
      <c r="AR106" s="1"/>
      <c r="AS106" s="228"/>
      <c r="AT106" s="1"/>
      <c r="AU106" s="1"/>
      <c r="AV106" s="1"/>
      <c r="AW106" s="1"/>
      <c r="AX106" s="1"/>
      <c r="AY106" s="1"/>
      <c r="AZ106" s="1"/>
      <c r="BA106" s="1"/>
      <c r="BB106" s="1"/>
      <c r="BC106" s="102"/>
      <c r="BD106" s="1"/>
      <c r="BE106" s="1"/>
      <c r="BF106" s="1"/>
      <c r="BG106" s="1"/>
      <c r="BH106" s="1"/>
      <c r="BI106" s="1"/>
      <c r="BJ106" s="1"/>
      <c r="BK106" s="1"/>
      <c r="BL106" s="1"/>
      <c r="BM106" s="1"/>
      <c r="BN106" s="1"/>
      <c r="BO106" s="1"/>
      <c r="BP106" s="1"/>
      <c r="BQ106" s="1"/>
      <c r="BR106" s="1"/>
      <c r="BS106" s="1"/>
      <c r="BT106" s="1"/>
      <c r="BU106" s="1"/>
      <c r="BV106" s="1"/>
      <c r="BW106" s="1"/>
      <c r="BX106" s="1"/>
      <c r="BY106" s="136"/>
      <c r="BZ106" s="136"/>
      <c r="CA106" s="136"/>
      <c r="CB106" s="136"/>
      <c r="CC106" s="136"/>
      <c r="CD106" s="136"/>
      <c r="CE106" s="136"/>
      <c r="CF106" s="147"/>
      <c r="CG106" s="136"/>
      <c r="CH106" s="147"/>
      <c r="CI106" s="147"/>
      <c r="CJ106" s="136"/>
      <c r="CK106" s="136"/>
      <c r="CL106" s="136"/>
      <c r="CM106" s="136"/>
      <c r="CN106" s="136"/>
      <c r="CO106" s="136"/>
      <c r="CP106" s="136"/>
      <c r="CQ106" s="1"/>
      <c r="CR106" s="1"/>
      <c r="CS106" s="225"/>
      <c r="CT106" s="1"/>
      <c r="CU106" s="136"/>
      <c r="CV106" s="136"/>
      <c r="CW106" s="136"/>
      <c r="CX106" s="136"/>
      <c r="CY106" s="136"/>
      <c r="CZ106" s="136"/>
      <c r="DA106" s="136"/>
      <c r="DB106" s="136"/>
      <c r="DC106" s="136"/>
      <c r="DD106" s="136"/>
      <c r="DE106" s="210"/>
      <c r="DF106" s="210"/>
      <c r="DG106" s="255"/>
      <c r="DH106" s="136"/>
      <c r="DI106" s="1"/>
      <c r="DJ106" s="1"/>
      <c r="DK106" s="102"/>
      <c r="DL106" s="102"/>
      <c r="DM106" s="102"/>
      <c r="DN106" s="102"/>
      <c r="DO106" s="102"/>
      <c r="DP106" s="143"/>
      <c r="DQ106" s="143"/>
      <c r="DR106" s="143"/>
      <c r="DS106" s="102"/>
      <c r="DT106" s="1"/>
      <c r="DU106" s="1"/>
      <c r="DV106" s="1"/>
      <c r="DW106" s="99"/>
      <c r="DX106" s="1"/>
      <c r="EE106" s="1"/>
      <c r="EK106" s="98"/>
      <c r="EL106" s="98"/>
      <c r="EM106" s="98"/>
      <c r="EN106" s="98"/>
      <c r="EO106" s="98"/>
      <c r="EP106" s="98"/>
      <c r="EQ106" s="98"/>
      <c r="ER106" s="241"/>
    </row>
    <row r="107" spans="1:148" s="93" customFormat="1">
      <c r="A107" s="95"/>
      <c r="B107" s="95"/>
      <c r="D107" s="97"/>
      <c r="E107" s="97"/>
      <c r="F107" s="97"/>
      <c r="G107" s="219"/>
      <c r="H107" s="98"/>
      <c r="I107" s="96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92"/>
      <c r="AP107" s="92"/>
      <c r="AQ107" s="92"/>
      <c r="AR107" s="1"/>
      <c r="AS107" s="228"/>
      <c r="AT107" s="1"/>
      <c r="AU107" s="1"/>
      <c r="AV107" s="1"/>
      <c r="AW107" s="1"/>
      <c r="AX107" s="1"/>
      <c r="AY107" s="1"/>
      <c r="AZ107" s="1"/>
      <c r="BA107" s="1"/>
      <c r="BB107" s="1"/>
      <c r="BC107" s="102"/>
      <c r="BD107" s="1"/>
      <c r="BE107" s="1"/>
      <c r="BF107" s="1"/>
      <c r="BG107" s="1"/>
      <c r="BH107" s="1"/>
      <c r="BI107" s="1"/>
      <c r="BJ107" s="1"/>
      <c r="BK107" s="1"/>
      <c r="BL107" s="1"/>
      <c r="BM107" s="1"/>
      <c r="BN107" s="1"/>
      <c r="BO107" s="1"/>
      <c r="BP107" s="1"/>
      <c r="BQ107" s="1"/>
      <c r="BR107" s="1"/>
      <c r="BS107" s="1"/>
      <c r="BT107" s="1"/>
      <c r="BU107" s="1"/>
      <c r="BV107" s="1"/>
      <c r="BW107" s="1"/>
      <c r="BX107" s="1"/>
      <c r="BY107" s="136"/>
      <c r="BZ107" s="136"/>
      <c r="CA107" s="136"/>
      <c r="CB107" s="136"/>
      <c r="CC107" s="136"/>
      <c r="CD107" s="136"/>
      <c r="CE107" s="136"/>
      <c r="CF107" s="147"/>
      <c r="CG107" s="136"/>
      <c r="CH107" s="147"/>
      <c r="CI107" s="147"/>
      <c r="CJ107" s="136"/>
      <c r="CK107" s="136"/>
      <c r="CL107" s="136"/>
      <c r="CM107" s="136"/>
      <c r="CN107" s="136"/>
      <c r="CO107" s="136"/>
      <c r="CP107" s="136"/>
      <c r="CQ107" s="1"/>
      <c r="CR107" s="1"/>
      <c r="CS107" s="225"/>
      <c r="CT107" s="1"/>
      <c r="CU107" s="136"/>
      <c r="CV107" s="136"/>
      <c r="CW107" s="136"/>
      <c r="CX107" s="136"/>
      <c r="CY107" s="136"/>
      <c r="CZ107" s="136"/>
      <c r="DA107" s="136"/>
      <c r="DB107" s="136"/>
      <c r="DC107" s="136"/>
      <c r="DD107" s="136"/>
      <c r="DE107" s="210"/>
      <c r="DF107" s="210"/>
      <c r="DG107" s="255"/>
      <c r="DH107" s="136"/>
      <c r="DI107" s="1"/>
      <c r="DJ107" s="1"/>
      <c r="DK107" s="102"/>
      <c r="DL107" s="102"/>
      <c r="DM107" s="102"/>
      <c r="DN107" s="102"/>
      <c r="DO107" s="102"/>
      <c r="DP107" s="143"/>
      <c r="DQ107" s="143"/>
      <c r="DR107" s="143"/>
      <c r="DS107" s="102"/>
      <c r="DT107" s="1"/>
      <c r="DU107" s="1"/>
      <c r="DV107" s="1"/>
      <c r="DW107" s="99"/>
      <c r="DX107" s="1"/>
      <c r="EE107" s="1"/>
      <c r="EK107" s="98"/>
      <c r="EL107" s="98"/>
      <c r="EM107" s="98"/>
      <c r="EN107" s="98"/>
      <c r="EO107" s="98"/>
      <c r="EP107" s="98"/>
      <c r="EQ107" s="98"/>
      <c r="ER107" s="241"/>
    </row>
    <row r="108" spans="1:148" s="93" customFormat="1">
      <c r="A108" s="95"/>
      <c r="B108" s="95"/>
      <c r="D108" s="97"/>
      <c r="E108" s="97"/>
      <c r="F108" s="97"/>
      <c r="G108" s="219"/>
      <c r="H108" s="98"/>
      <c r="I108" s="96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92"/>
      <c r="AP108" s="92"/>
      <c r="AQ108" s="92"/>
      <c r="AR108" s="1"/>
      <c r="AS108" s="228"/>
      <c r="AT108" s="1"/>
      <c r="AU108" s="1"/>
      <c r="AV108" s="1"/>
      <c r="AW108" s="1"/>
      <c r="AX108" s="1"/>
      <c r="AY108" s="1"/>
      <c r="AZ108" s="1"/>
      <c r="BA108" s="1"/>
      <c r="BB108" s="1"/>
      <c r="BC108" s="102"/>
      <c r="BD108" s="1"/>
      <c r="BE108" s="1"/>
      <c r="BF108" s="1"/>
      <c r="BG108" s="1"/>
      <c r="BH108" s="1"/>
      <c r="BI108" s="1"/>
      <c r="BJ108" s="1"/>
      <c r="BK108" s="1"/>
      <c r="BL108" s="1"/>
      <c r="BM108" s="1"/>
      <c r="BN108" s="1"/>
      <c r="BO108" s="1"/>
      <c r="BP108" s="1"/>
      <c r="BQ108" s="1"/>
      <c r="BR108" s="1"/>
      <c r="BS108" s="1"/>
      <c r="BT108" s="1"/>
      <c r="BU108" s="1"/>
      <c r="BV108" s="1"/>
      <c r="BW108" s="1"/>
      <c r="BX108" s="1"/>
      <c r="BY108" s="136"/>
      <c r="BZ108" s="136"/>
      <c r="CA108" s="136"/>
      <c r="CB108" s="136"/>
      <c r="CC108" s="136"/>
      <c r="CD108" s="136"/>
      <c r="CE108" s="136"/>
      <c r="CF108" s="147"/>
      <c r="CG108" s="136"/>
      <c r="CH108" s="147"/>
      <c r="CI108" s="147"/>
      <c r="CJ108" s="136"/>
      <c r="CK108" s="136"/>
      <c r="CL108" s="136"/>
      <c r="CM108" s="136"/>
      <c r="CN108" s="136"/>
      <c r="CO108" s="136"/>
      <c r="CP108" s="136"/>
      <c r="CQ108" s="1"/>
      <c r="CR108" s="1"/>
      <c r="CS108" s="225"/>
      <c r="CT108" s="1"/>
      <c r="CU108" s="136"/>
      <c r="CV108" s="136"/>
      <c r="CW108" s="136"/>
      <c r="CX108" s="136"/>
      <c r="CY108" s="136"/>
      <c r="CZ108" s="136"/>
      <c r="DA108" s="136"/>
      <c r="DB108" s="136"/>
      <c r="DC108" s="136"/>
      <c r="DD108" s="136"/>
      <c r="DE108" s="210"/>
      <c r="DF108" s="210"/>
      <c r="DG108" s="255"/>
      <c r="DH108" s="136"/>
      <c r="DI108" s="1"/>
      <c r="DJ108" s="1"/>
      <c r="DK108" s="102"/>
      <c r="DL108" s="102"/>
      <c r="DM108" s="102"/>
      <c r="DN108" s="102"/>
      <c r="DO108" s="102"/>
      <c r="DP108" s="143"/>
      <c r="DQ108" s="143"/>
      <c r="DR108" s="143"/>
      <c r="DS108" s="102"/>
      <c r="DT108" s="1"/>
      <c r="DU108" s="1"/>
      <c r="DV108" s="1"/>
      <c r="DW108" s="99"/>
      <c r="DX108" s="1"/>
      <c r="EE108" s="1"/>
      <c r="EK108" s="98"/>
      <c r="EL108" s="98"/>
      <c r="EM108" s="98"/>
      <c r="EN108" s="98"/>
      <c r="EO108" s="98"/>
      <c r="EP108" s="98"/>
      <c r="EQ108" s="98"/>
      <c r="ER108" s="241"/>
    </row>
    <row r="109" spans="1:148" s="93" customFormat="1">
      <c r="A109" s="95"/>
      <c r="B109" s="95"/>
      <c r="D109" s="97"/>
      <c r="E109" s="97"/>
      <c r="F109" s="97"/>
      <c r="G109" s="219"/>
      <c r="H109" s="98"/>
      <c r="I109" s="96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92"/>
      <c r="AP109" s="92"/>
      <c r="AQ109" s="92"/>
      <c r="AR109" s="1"/>
      <c r="AS109" s="228"/>
      <c r="AT109" s="1"/>
      <c r="AU109" s="1"/>
      <c r="AV109" s="1"/>
      <c r="AW109" s="1"/>
      <c r="AX109" s="1"/>
      <c r="AY109" s="1"/>
      <c r="AZ109" s="1"/>
      <c r="BA109" s="1"/>
      <c r="BB109" s="1"/>
      <c r="BC109" s="102"/>
      <c r="BD109" s="1"/>
      <c r="BE109" s="1"/>
      <c r="BF109" s="1"/>
      <c r="BG109" s="1"/>
      <c r="BH109" s="1"/>
      <c r="BI109" s="1"/>
      <c r="BJ109" s="1"/>
      <c r="BK109" s="1"/>
      <c r="BL109" s="1"/>
      <c r="BM109" s="1"/>
      <c r="BN109" s="1"/>
      <c r="BO109" s="1"/>
      <c r="BP109" s="1"/>
      <c r="BQ109" s="1"/>
      <c r="BR109" s="1"/>
      <c r="BS109" s="1"/>
      <c r="BT109" s="1"/>
      <c r="BU109" s="1"/>
      <c r="BV109" s="1"/>
      <c r="BW109" s="1"/>
      <c r="BX109" s="1"/>
      <c r="BY109" s="136"/>
      <c r="BZ109" s="136"/>
      <c r="CA109" s="136"/>
      <c r="CB109" s="136"/>
      <c r="CC109" s="136"/>
      <c r="CD109" s="136"/>
      <c r="CE109" s="136"/>
      <c r="CF109" s="147"/>
      <c r="CG109" s="136"/>
      <c r="CH109" s="147"/>
      <c r="CI109" s="147"/>
      <c r="CJ109" s="136"/>
      <c r="CK109" s="136"/>
      <c r="CL109" s="136"/>
      <c r="CM109" s="136"/>
      <c r="CN109" s="136"/>
      <c r="CO109" s="136"/>
      <c r="CP109" s="136"/>
      <c r="CQ109" s="1"/>
      <c r="CR109" s="1"/>
      <c r="CS109" s="225"/>
      <c r="CT109" s="1"/>
      <c r="CU109" s="136"/>
      <c r="CV109" s="136"/>
      <c r="CW109" s="136"/>
      <c r="CX109" s="136"/>
      <c r="CY109" s="136"/>
      <c r="CZ109" s="136"/>
      <c r="DA109" s="136"/>
      <c r="DB109" s="136"/>
      <c r="DC109" s="136"/>
      <c r="DD109" s="136"/>
      <c r="DE109" s="210"/>
      <c r="DF109" s="210"/>
      <c r="DG109" s="255"/>
      <c r="DH109" s="136"/>
      <c r="DI109" s="1"/>
      <c r="DJ109" s="1"/>
      <c r="DK109" s="102"/>
      <c r="DL109" s="102"/>
      <c r="DM109" s="102"/>
      <c r="DN109" s="102"/>
      <c r="DO109" s="102"/>
      <c r="DP109" s="143"/>
      <c r="DQ109" s="143"/>
      <c r="DR109" s="143"/>
      <c r="DS109" s="102"/>
      <c r="DT109" s="1"/>
      <c r="DU109" s="1"/>
      <c r="DV109" s="1"/>
      <c r="DW109" s="99"/>
      <c r="DX109" s="1"/>
      <c r="EE109" s="1"/>
      <c r="EK109" s="98"/>
      <c r="EL109" s="98"/>
      <c r="EM109" s="98"/>
      <c r="EN109" s="98"/>
      <c r="EO109" s="98"/>
      <c r="EP109" s="98"/>
      <c r="EQ109" s="98"/>
      <c r="ER109" s="241"/>
    </row>
    <row r="110" spans="1:148" s="93" customFormat="1">
      <c r="A110" s="95"/>
      <c r="B110" s="95"/>
      <c r="D110" s="97"/>
      <c r="E110" s="97"/>
      <c r="F110" s="97"/>
      <c r="G110" s="219"/>
      <c r="H110" s="98"/>
      <c r="I110" s="96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92"/>
      <c r="AP110" s="92"/>
      <c r="AQ110" s="92"/>
      <c r="AR110" s="1"/>
      <c r="AS110" s="228"/>
      <c r="AT110" s="1"/>
      <c r="AU110" s="1"/>
      <c r="AV110" s="1"/>
      <c r="AW110" s="1"/>
      <c r="AX110" s="1"/>
      <c r="AY110" s="1"/>
      <c r="AZ110" s="1"/>
      <c r="BA110" s="1"/>
      <c r="BB110" s="1"/>
      <c r="BC110" s="102"/>
      <c r="BD110" s="1"/>
      <c r="BE110" s="1"/>
      <c r="BF110" s="1"/>
      <c r="BG110" s="1"/>
      <c r="BH110" s="1"/>
      <c r="BI110" s="1"/>
      <c r="BJ110" s="1"/>
      <c r="BK110" s="1"/>
      <c r="BL110" s="1"/>
      <c r="BM110" s="1"/>
      <c r="BN110" s="1"/>
      <c r="BO110" s="1"/>
      <c r="BP110" s="1"/>
      <c r="BQ110" s="1"/>
      <c r="BR110" s="1"/>
      <c r="BS110" s="1"/>
      <c r="BT110" s="1"/>
      <c r="BU110" s="1"/>
      <c r="BV110" s="1"/>
      <c r="BW110" s="1"/>
      <c r="BX110" s="1"/>
      <c r="BY110" s="136"/>
      <c r="BZ110" s="136"/>
      <c r="CA110" s="136"/>
      <c r="CB110" s="136"/>
      <c r="CC110" s="136"/>
      <c r="CD110" s="136"/>
      <c r="CE110" s="136"/>
      <c r="CF110" s="147"/>
      <c r="CG110" s="136"/>
      <c r="CH110" s="147"/>
      <c r="CI110" s="147"/>
      <c r="CJ110" s="136"/>
      <c r="CK110" s="136"/>
      <c r="CL110" s="136"/>
      <c r="CM110" s="136"/>
      <c r="CN110" s="136"/>
      <c r="CO110" s="136"/>
      <c r="CP110" s="136"/>
      <c r="CQ110" s="1"/>
      <c r="CR110" s="1"/>
      <c r="CS110" s="225"/>
      <c r="CT110" s="1"/>
      <c r="CU110" s="136"/>
      <c r="CV110" s="136"/>
      <c r="CW110" s="136"/>
      <c r="CX110" s="136"/>
      <c r="CY110" s="136"/>
      <c r="CZ110" s="136"/>
      <c r="DA110" s="136"/>
      <c r="DB110" s="136"/>
      <c r="DC110" s="136"/>
      <c r="DD110" s="136"/>
      <c r="DE110" s="210"/>
      <c r="DF110" s="210"/>
      <c r="DG110" s="255"/>
      <c r="DH110" s="136"/>
      <c r="DI110" s="1"/>
      <c r="DJ110" s="1"/>
      <c r="DK110" s="102"/>
      <c r="DL110" s="102"/>
      <c r="DM110" s="102"/>
      <c r="DN110" s="102"/>
      <c r="DO110" s="102"/>
      <c r="DP110" s="143"/>
      <c r="DQ110" s="143"/>
      <c r="DR110" s="143"/>
      <c r="DS110" s="102"/>
      <c r="DT110" s="1"/>
      <c r="DU110" s="1"/>
      <c r="DV110" s="1"/>
      <c r="DW110" s="99"/>
      <c r="DX110" s="1"/>
      <c r="EE110" s="1"/>
      <c r="EK110" s="98"/>
      <c r="EL110" s="98"/>
      <c r="EM110" s="98"/>
      <c r="EN110" s="98"/>
      <c r="EO110" s="98"/>
      <c r="EP110" s="98"/>
      <c r="EQ110" s="98"/>
      <c r="ER110" s="241"/>
    </row>
    <row r="111" spans="1:148" s="93" customFormat="1">
      <c r="A111" s="95"/>
      <c r="B111" s="95"/>
      <c r="D111" s="97"/>
      <c r="E111" s="97"/>
      <c r="F111" s="97"/>
      <c r="G111" s="219"/>
      <c r="H111" s="98"/>
      <c r="I111" s="96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92"/>
      <c r="AP111" s="92"/>
      <c r="AQ111" s="92"/>
      <c r="AR111" s="1"/>
      <c r="AS111" s="228"/>
      <c r="AT111" s="1"/>
      <c r="AU111" s="1"/>
      <c r="AV111" s="1"/>
      <c r="AW111" s="1"/>
      <c r="AX111" s="1"/>
      <c r="AY111" s="1"/>
      <c r="AZ111" s="1"/>
      <c r="BA111" s="1"/>
      <c r="BB111" s="1"/>
      <c r="BC111" s="102"/>
      <c r="BD111" s="1"/>
      <c r="BE111" s="1"/>
      <c r="BF111" s="1"/>
      <c r="BG111" s="1"/>
      <c r="BH111" s="1"/>
      <c r="BI111" s="1"/>
      <c r="BJ111" s="1"/>
      <c r="BK111" s="1"/>
      <c r="BL111" s="1"/>
      <c r="BM111" s="1"/>
      <c r="BN111" s="1"/>
      <c r="BO111" s="1"/>
      <c r="BP111" s="1"/>
      <c r="BQ111" s="1"/>
      <c r="BR111" s="1"/>
      <c r="BS111" s="1"/>
      <c r="BT111" s="1"/>
      <c r="BU111" s="1"/>
      <c r="BV111" s="1"/>
      <c r="BW111" s="1"/>
      <c r="BX111" s="1"/>
      <c r="BY111" s="136"/>
      <c r="BZ111" s="136"/>
      <c r="CA111" s="136"/>
      <c r="CB111" s="136"/>
      <c r="CC111" s="136"/>
      <c r="CD111" s="136"/>
      <c r="CE111" s="136"/>
      <c r="CF111" s="147"/>
      <c r="CG111" s="136"/>
      <c r="CH111" s="147"/>
      <c r="CI111" s="147"/>
      <c r="CJ111" s="136"/>
      <c r="CK111" s="136"/>
      <c r="CL111" s="136"/>
      <c r="CM111" s="136"/>
      <c r="CN111" s="136"/>
      <c r="CO111" s="136"/>
      <c r="CP111" s="136"/>
      <c r="CQ111" s="1"/>
      <c r="CR111" s="1"/>
      <c r="CS111" s="225"/>
      <c r="CT111" s="1"/>
      <c r="CU111" s="136"/>
      <c r="CV111" s="136"/>
      <c r="CW111" s="136"/>
      <c r="CX111" s="136"/>
      <c r="CY111" s="136"/>
      <c r="CZ111" s="136"/>
      <c r="DA111" s="136"/>
      <c r="DB111" s="136"/>
      <c r="DC111" s="136"/>
      <c r="DD111" s="136"/>
      <c r="DE111" s="210"/>
      <c r="DF111" s="210"/>
      <c r="DG111" s="255"/>
      <c r="DH111" s="136"/>
      <c r="DI111" s="1"/>
      <c r="DJ111" s="1"/>
      <c r="DK111" s="102"/>
      <c r="DL111" s="102"/>
      <c r="DM111" s="102"/>
      <c r="DN111" s="102"/>
      <c r="DO111" s="102"/>
      <c r="DP111" s="143"/>
      <c r="DQ111" s="143"/>
      <c r="DR111" s="143"/>
      <c r="DS111" s="102"/>
      <c r="DT111" s="1"/>
      <c r="DU111" s="1"/>
      <c r="DV111" s="1"/>
      <c r="DW111" s="99"/>
      <c r="DX111" s="1"/>
      <c r="EE111" s="1"/>
      <c r="EK111" s="98"/>
      <c r="EL111" s="98"/>
      <c r="EM111" s="98"/>
      <c r="EN111" s="98"/>
      <c r="EO111" s="98"/>
      <c r="EP111" s="98"/>
      <c r="EQ111" s="98"/>
      <c r="ER111" s="241"/>
    </row>
    <row r="112" spans="1:148" s="93" customFormat="1">
      <c r="A112" s="95"/>
      <c r="B112" s="95"/>
      <c r="D112" s="97"/>
      <c r="E112" s="97"/>
      <c r="F112" s="97"/>
      <c r="G112" s="219"/>
      <c r="H112" s="98"/>
      <c r="I112" s="96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92"/>
      <c r="AP112" s="92"/>
      <c r="AQ112" s="92"/>
      <c r="AR112" s="1"/>
      <c r="AS112" s="228"/>
      <c r="AT112" s="1"/>
      <c r="AU112" s="1"/>
      <c r="AV112" s="1"/>
      <c r="AW112" s="1"/>
      <c r="AX112" s="1"/>
      <c r="AY112" s="1"/>
      <c r="AZ112" s="1"/>
      <c r="BA112" s="1"/>
      <c r="BB112" s="1"/>
      <c r="BC112" s="102"/>
      <c r="BD112" s="1"/>
      <c r="BE112" s="1"/>
      <c r="BF112" s="1"/>
      <c r="BG112" s="1"/>
      <c r="BH112" s="1"/>
      <c r="BI112" s="1"/>
      <c r="BJ112" s="1"/>
      <c r="BK112" s="1"/>
      <c r="BL112" s="1"/>
      <c r="BM112" s="1"/>
      <c r="BN112" s="1"/>
      <c r="BO112" s="1"/>
      <c r="BP112" s="1"/>
      <c r="BQ112" s="1"/>
      <c r="BR112" s="1"/>
      <c r="BS112" s="1"/>
      <c r="BT112" s="1"/>
      <c r="BU112" s="1"/>
      <c r="BV112" s="1"/>
      <c r="BW112" s="1"/>
      <c r="BX112" s="1"/>
      <c r="BY112" s="136"/>
      <c r="BZ112" s="136"/>
      <c r="CA112" s="136"/>
      <c r="CB112" s="136"/>
      <c r="CC112" s="136"/>
      <c r="CD112" s="136"/>
      <c r="CE112" s="136"/>
      <c r="CF112" s="147"/>
      <c r="CG112" s="136"/>
      <c r="CH112" s="147"/>
      <c r="CI112" s="147"/>
      <c r="CJ112" s="136"/>
      <c r="CK112" s="136"/>
      <c r="CL112" s="136"/>
      <c r="CM112" s="136"/>
      <c r="CN112" s="136"/>
      <c r="CO112" s="136"/>
      <c r="CP112" s="136"/>
      <c r="CQ112" s="1"/>
      <c r="CR112" s="1"/>
      <c r="CS112" s="225"/>
      <c r="CT112" s="1"/>
      <c r="CU112" s="136"/>
      <c r="CV112" s="136"/>
      <c r="CW112" s="136"/>
      <c r="CX112" s="136"/>
      <c r="CY112" s="136"/>
      <c r="CZ112" s="136"/>
      <c r="DA112" s="136"/>
      <c r="DB112" s="136"/>
      <c r="DC112" s="136"/>
      <c r="DD112" s="136"/>
      <c r="DE112" s="210"/>
      <c r="DF112" s="210"/>
      <c r="DG112" s="255"/>
      <c r="DH112" s="136"/>
      <c r="DI112" s="1"/>
      <c r="DJ112" s="1"/>
      <c r="DK112" s="102"/>
      <c r="DL112" s="102"/>
      <c r="DM112" s="102"/>
      <c r="DN112" s="102"/>
      <c r="DO112" s="102"/>
      <c r="DP112" s="143"/>
      <c r="DQ112" s="143"/>
      <c r="DR112" s="143"/>
      <c r="DS112" s="102"/>
      <c r="DT112" s="1"/>
      <c r="DU112" s="1"/>
      <c r="DV112" s="1"/>
      <c r="DW112" s="99"/>
      <c r="DX112" s="1"/>
      <c r="EE112" s="1"/>
      <c r="EK112" s="98"/>
      <c r="EL112" s="98"/>
      <c r="EM112" s="98"/>
      <c r="EN112" s="98"/>
      <c r="EO112" s="98"/>
      <c r="EP112" s="98"/>
      <c r="EQ112" s="98"/>
      <c r="ER112" s="241"/>
    </row>
    <row r="113" spans="1:148" s="93" customFormat="1">
      <c r="A113" s="95"/>
      <c r="B113" s="95"/>
      <c r="D113" s="97"/>
      <c r="E113" s="97"/>
      <c r="F113" s="97"/>
      <c r="G113" s="219"/>
      <c r="H113" s="98"/>
      <c r="I113" s="96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92"/>
      <c r="AP113" s="92"/>
      <c r="AQ113" s="92"/>
      <c r="AR113" s="1"/>
      <c r="AS113" s="228"/>
      <c r="AT113" s="1"/>
      <c r="AU113" s="1"/>
      <c r="AV113" s="1"/>
      <c r="AW113" s="1"/>
      <c r="AX113" s="1"/>
      <c r="AY113" s="1"/>
      <c r="AZ113" s="1"/>
      <c r="BA113" s="1"/>
      <c r="BB113" s="1"/>
      <c r="BC113" s="102"/>
      <c r="BD113" s="1"/>
      <c r="BE113" s="1"/>
      <c r="BF113" s="1"/>
      <c r="BG113" s="1"/>
      <c r="BH113" s="1"/>
      <c r="BI113" s="1"/>
      <c r="BJ113" s="1"/>
      <c r="BK113" s="1"/>
      <c r="BL113" s="1"/>
      <c r="BM113" s="1"/>
      <c r="BN113" s="1"/>
      <c r="BO113" s="1"/>
      <c r="BP113" s="1"/>
      <c r="BQ113" s="1"/>
      <c r="BR113" s="1"/>
      <c r="BS113" s="1"/>
      <c r="BT113" s="1"/>
      <c r="BU113" s="1"/>
      <c r="BV113" s="1"/>
      <c r="BW113" s="1"/>
      <c r="BX113" s="1"/>
      <c r="BY113" s="136"/>
      <c r="BZ113" s="136"/>
      <c r="CA113" s="136"/>
      <c r="CB113" s="136"/>
      <c r="CC113" s="136"/>
      <c r="CD113" s="136"/>
      <c r="CE113" s="136"/>
      <c r="CF113" s="147"/>
      <c r="CG113" s="136"/>
      <c r="CH113" s="147"/>
      <c r="CI113" s="147"/>
      <c r="CJ113" s="136"/>
      <c r="CK113" s="136"/>
      <c r="CL113" s="136"/>
      <c r="CM113" s="136"/>
      <c r="CN113" s="136"/>
      <c r="CO113" s="136"/>
      <c r="CP113" s="136"/>
      <c r="CQ113" s="1"/>
      <c r="CR113" s="1"/>
      <c r="CS113" s="225"/>
      <c r="CT113" s="1"/>
      <c r="CU113" s="136"/>
      <c r="CV113" s="136"/>
      <c r="CW113" s="136"/>
      <c r="CX113" s="136"/>
      <c r="CY113" s="136"/>
      <c r="CZ113" s="136"/>
      <c r="DA113" s="136"/>
      <c r="DB113" s="136"/>
      <c r="DC113" s="136"/>
      <c r="DD113" s="136"/>
      <c r="DE113" s="210"/>
      <c r="DF113" s="210"/>
      <c r="DG113" s="255"/>
      <c r="DH113" s="136"/>
      <c r="DI113" s="1"/>
      <c r="DJ113" s="1"/>
      <c r="DK113" s="102"/>
      <c r="DL113" s="102"/>
      <c r="DM113" s="102"/>
      <c r="DN113" s="102"/>
      <c r="DO113" s="102"/>
      <c r="DP113" s="143"/>
      <c r="DQ113" s="143"/>
      <c r="DR113" s="143"/>
      <c r="DS113" s="102"/>
      <c r="DT113" s="1"/>
      <c r="DU113" s="1"/>
      <c r="DV113" s="1"/>
      <c r="DW113" s="99"/>
      <c r="DX113" s="1"/>
      <c r="EE113" s="1"/>
      <c r="EK113" s="98"/>
      <c r="EL113" s="98"/>
      <c r="EM113" s="98"/>
      <c r="EN113" s="98"/>
      <c r="EO113" s="98"/>
      <c r="EP113" s="98"/>
      <c r="EQ113" s="98"/>
      <c r="ER113" s="241"/>
    </row>
    <row r="114" spans="1:148" s="93" customFormat="1">
      <c r="A114" s="95"/>
      <c r="B114" s="95"/>
      <c r="D114" s="97"/>
      <c r="E114" s="97"/>
      <c r="F114" s="97"/>
      <c r="G114" s="219"/>
      <c r="H114" s="98"/>
      <c r="I114" s="96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92"/>
      <c r="AP114" s="92"/>
      <c r="AQ114" s="92"/>
      <c r="AR114" s="1"/>
      <c r="AS114" s="228"/>
      <c r="AT114" s="1"/>
      <c r="AU114" s="1"/>
      <c r="AV114" s="1"/>
      <c r="AW114" s="1"/>
      <c r="AX114" s="1"/>
      <c r="AY114" s="1"/>
      <c r="AZ114" s="1"/>
      <c r="BA114" s="1"/>
      <c r="BB114" s="1"/>
      <c r="BC114" s="102"/>
      <c r="BD114" s="1"/>
      <c r="BE114" s="1"/>
      <c r="BF114" s="1"/>
      <c r="BG114" s="1"/>
      <c r="BH114" s="1"/>
      <c r="BI114" s="1"/>
      <c r="BJ114" s="1"/>
      <c r="BK114" s="1"/>
      <c r="BL114" s="1"/>
      <c r="BM114" s="1"/>
      <c r="BN114" s="1"/>
      <c r="BO114" s="1"/>
      <c r="BP114" s="1"/>
      <c r="BQ114" s="1"/>
      <c r="BR114" s="1"/>
      <c r="BS114" s="1"/>
      <c r="BT114" s="1"/>
      <c r="BU114" s="1"/>
      <c r="BV114" s="1"/>
      <c r="BW114" s="1"/>
      <c r="BX114" s="1"/>
      <c r="BY114" s="136"/>
      <c r="BZ114" s="136"/>
      <c r="CA114" s="136"/>
      <c r="CB114" s="136"/>
      <c r="CC114" s="136"/>
      <c r="CD114" s="136"/>
      <c r="CE114" s="136"/>
      <c r="CF114" s="147"/>
      <c r="CG114" s="136"/>
      <c r="CH114" s="147"/>
      <c r="CI114" s="147"/>
      <c r="CJ114" s="136"/>
      <c r="CK114" s="136"/>
      <c r="CL114" s="136"/>
      <c r="CM114" s="136"/>
      <c r="CN114" s="136"/>
      <c r="CO114" s="136"/>
      <c r="CP114" s="136"/>
      <c r="CQ114" s="1"/>
      <c r="CR114" s="1"/>
      <c r="CS114" s="225"/>
      <c r="CT114" s="1"/>
      <c r="CU114" s="136"/>
      <c r="CV114" s="136"/>
      <c r="CW114" s="136"/>
      <c r="CX114" s="136"/>
      <c r="CY114" s="136"/>
      <c r="CZ114" s="136"/>
      <c r="DA114" s="136"/>
      <c r="DB114" s="136"/>
      <c r="DC114" s="136"/>
      <c r="DD114" s="136"/>
      <c r="DE114" s="210"/>
      <c r="DF114" s="210"/>
      <c r="DG114" s="255"/>
      <c r="DH114" s="136"/>
      <c r="DI114" s="1"/>
      <c r="DJ114" s="1"/>
      <c r="DK114" s="102"/>
      <c r="DL114" s="102"/>
      <c r="DM114" s="102"/>
      <c r="DN114" s="102"/>
      <c r="DO114" s="102"/>
      <c r="DP114" s="143"/>
      <c r="DQ114" s="143"/>
      <c r="DR114" s="143"/>
      <c r="DS114" s="102"/>
      <c r="DT114" s="1"/>
      <c r="DU114" s="1"/>
      <c r="DV114" s="1"/>
      <c r="DW114" s="99"/>
      <c r="DX114" s="1"/>
      <c r="EE114" s="1"/>
      <c r="EK114" s="98"/>
      <c r="EL114" s="98"/>
      <c r="EM114" s="98"/>
      <c r="EN114" s="98"/>
      <c r="EO114" s="98"/>
      <c r="EP114" s="98"/>
      <c r="EQ114" s="98"/>
      <c r="ER114" s="241"/>
    </row>
    <row r="115" spans="1:148" s="93" customFormat="1">
      <c r="A115" s="95"/>
      <c r="B115" s="95"/>
      <c r="D115" s="97"/>
      <c r="E115" s="97"/>
      <c r="F115" s="97"/>
      <c r="G115" s="219"/>
      <c r="H115" s="98"/>
      <c r="I115" s="96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92"/>
      <c r="AP115" s="92"/>
      <c r="AQ115" s="92"/>
      <c r="AR115" s="1"/>
      <c r="AS115" s="228"/>
      <c r="AT115" s="1"/>
      <c r="AU115" s="1"/>
      <c r="AV115" s="1"/>
      <c r="AW115" s="1"/>
      <c r="AX115" s="1"/>
      <c r="AY115" s="1"/>
      <c r="AZ115" s="1"/>
      <c r="BA115" s="1"/>
      <c r="BB115" s="1"/>
      <c r="BC115" s="102"/>
      <c r="BD115" s="1"/>
      <c r="BE115" s="1"/>
      <c r="BF115" s="1"/>
      <c r="BG115" s="1"/>
      <c r="BH115" s="1"/>
      <c r="BI115" s="1"/>
      <c r="BJ115" s="1"/>
      <c r="BK115" s="1"/>
      <c r="BL115" s="1"/>
      <c r="BM115" s="1"/>
      <c r="BN115" s="1"/>
      <c r="BO115" s="1"/>
      <c r="BP115" s="1"/>
      <c r="BQ115" s="1"/>
      <c r="BR115" s="1"/>
      <c r="BS115" s="1"/>
      <c r="BT115" s="1"/>
      <c r="BU115" s="1"/>
      <c r="BV115" s="1"/>
      <c r="BW115" s="1"/>
      <c r="BX115" s="1"/>
      <c r="BY115" s="136"/>
      <c r="BZ115" s="136"/>
      <c r="CA115" s="136"/>
      <c r="CB115" s="136"/>
      <c r="CC115" s="136"/>
      <c r="CD115" s="136"/>
      <c r="CE115" s="136"/>
      <c r="CF115" s="147"/>
      <c r="CG115" s="136"/>
      <c r="CH115" s="147"/>
      <c r="CI115" s="147"/>
      <c r="CJ115" s="136"/>
      <c r="CK115" s="136"/>
      <c r="CL115" s="136"/>
      <c r="CM115" s="136"/>
      <c r="CN115" s="136"/>
      <c r="CO115" s="136"/>
      <c r="CP115" s="136"/>
      <c r="CQ115" s="1"/>
      <c r="CR115" s="1"/>
      <c r="CS115" s="225"/>
      <c r="CT115" s="1"/>
      <c r="CU115" s="136"/>
      <c r="CV115" s="136"/>
      <c r="CW115" s="136"/>
      <c r="CX115" s="136"/>
      <c r="CY115" s="136"/>
      <c r="CZ115" s="136"/>
      <c r="DA115" s="136"/>
      <c r="DB115" s="136"/>
      <c r="DC115" s="136"/>
      <c r="DD115" s="136"/>
      <c r="DE115" s="210"/>
      <c r="DF115" s="210"/>
      <c r="DG115" s="255"/>
      <c r="DH115" s="136"/>
      <c r="DI115" s="1"/>
      <c r="DJ115" s="1"/>
      <c r="DK115" s="102"/>
      <c r="DL115" s="102"/>
      <c r="DM115" s="102"/>
      <c r="DN115" s="102"/>
      <c r="DO115" s="102"/>
      <c r="DP115" s="143"/>
      <c r="DQ115" s="143"/>
      <c r="DR115" s="143"/>
      <c r="DS115" s="102"/>
      <c r="DT115" s="1"/>
      <c r="DU115" s="1"/>
      <c r="DV115" s="1"/>
      <c r="DW115" s="99"/>
      <c r="DX115" s="1"/>
      <c r="EE115" s="1"/>
      <c r="EK115" s="98"/>
      <c r="EL115" s="98"/>
      <c r="EM115" s="98"/>
      <c r="EN115" s="98"/>
      <c r="EO115" s="98"/>
      <c r="EP115" s="98"/>
      <c r="EQ115" s="98"/>
      <c r="ER115" s="241"/>
    </row>
    <row r="116" spans="1:148" s="93" customFormat="1">
      <c r="A116" s="95"/>
      <c r="B116" s="95"/>
      <c r="D116" s="97"/>
      <c r="E116" s="97"/>
      <c r="F116" s="97"/>
      <c r="G116" s="219"/>
      <c r="H116" s="98"/>
      <c r="I116" s="96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92"/>
      <c r="AP116" s="92"/>
      <c r="AQ116" s="92"/>
      <c r="AR116" s="1"/>
      <c r="AS116" s="228"/>
      <c r="AT116" s="1"/>
      <c r="AU116" s="1"/>
      <c r="AV116" s="1"/>
      <c r="AW116" s="1"/>
      <c r="AX116" s="1"/>
      <c r="AY116" s="1"/>
      <c r="AZ116" s="1"/>
      <c r="BA116" s="1"/>
      <c r="BB116" s="1"/>
      <c r="BC116" s="102"/>
      <c r="BD116" s="1"/>
      <c r="BE116" s="1"/>
      <c r="BF116" s="1"/>
      <c r="BG116" s="1"/>
      <c r="BH116" s="1"/>
      <c r="BI116" s="1"/>
      <c r="BJ116" s="1"/>
      <c r="BK116" s="1"/>
      <c r="BL116" s="1"/>
      <c r="BM116" s="1"/>
      <c r="BN116" s="1"/>
      <c r="BO116" s="1"/>
      <c r="BP116" s="1"/>
      <c r="BQ116" s="1"/>
      <c r="BR116" s="1"/>
      <c r="BS116" s="1"/>
      <c r="BT116" s="1"/>
      <c r="BU116" s="1"/>
      <c r="BV116" s="1"/>
      <c r="BW116" s="1"/>
      <c r="BX116" s="1"/>
      <c r="BY116" s="136"/>
      <c r="BZ116" s="136"/>
      <c r="CA116" s="136"/>
      <c r="CB116" s="136"/>
      <c r="CC116" s="136"/>
      <c r="CD116" s="136"/>
      <c r="CE116" s="136"/>
      <c r="CF116" s="147"/>
      <c r="CG116" s="136"/>
      <c r="CH116" s="147"/>
      <c r="CI116" s="147"/>
      <c r="CJ116" s="136"/>
      <c r="CK116" s="136"/>
      <c r="CL116" s="136"/>
      <c r="CM116" s="136"/>
      <c r="CN116" s="136"/>
      <c r="CO116" s="136"/>
      <c r="CP116" s="136"/>
      <c r="CQ116" s="1"/>
      <c r="CR116" s="1"/>
      <c r="CS116" s="225"/>
      <c r="CT116" s="1"/>
      <c r="CU116" s="136"/>
      <c r="CV116" s="136"/>
      <c r="CW116" s="136"/>
      <c r="CX116" s="136"/>
      <c r="CY116" s="136"/>
      <c r="CZ116" s="136"/>
      <c r="DA116" s="136"/>
      <c r="DB116" s="136"/>
      <c r="DC116" s="136"/>
      <c r="DD116" s="136"/>
      <c r="DE116" s="210"/>
      <c r="DF116" s="210"/>
      <c r="DG116" s="255"/>
      <c r="DH116" s="136"/>
      <c r="DI116" s="1"/>
      <c r="DJ116" s="1"/>
      <c r="DK116" s="102"/>
      <c r="DL116" s="102"/>
      <c r="DM116" s="102"/>
      <c r="DN116" s="102"/>
      <c r="DO116" s="102"/>
      <c r="DP116" s="143"/>
      <c r="DQ116" s="143"/>
      <c r="DR116" s="143"/>
      <c r="DS116" s="102"/>
      <c r="DT116" s="1"/>
      <c r="DU116" s="1"/>
      <c r="DV116" s="1"/>
      <c r="DW116" s="99"/>
      <c r="DX116" s="1"/>
      <c r="EE116" s="1"/>
      <c r="EK116" s="98"/>
      <c r="EL116" s="98"/>
      <c r="EM116" s="98"/>
      <c r="EN116" s="98"/>
      <c r="EO116" s="98"/>
      <c r="EP116" s="98"/>
      <c r="EQ116" s="98"/>
      <c r="ER116" s="241"/>
    </row>
    <row r="117" spans="1:148" s="93" customFormat="1">
      <c r="A117" s="95"/>
      <c r="B117" s="95"/>
      <c r="D117" s="97"/>
      <c r="E117" s="97"/>
      <c r="F117" s="97"/>
      <c r="G117" s="219"/>
      <c r="H117" s="98"/>
      <c r="I117" s="96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92"/>
      <c r="AP117" s="92"/>
      <c r="AQ117" s="92"/>
      <c r="AR117" s="1"/>
      <c r="AS117" s="228"/>
      <c r="AT117" s="1"/>
      <c r="AU117" s="1"/>
      <c r="AV117" s="1"/>
      <c r="AW117" s="1"/>
      <c r="AX117" s="1"/>
      <c r="AY117" s="1"/>
      <c r="AZ117" s="1"/>
      <c r="BA117" s="1"/>
      <c r="BB117" s="1"/>
      <c r="BC117" s="102"/>
      <c r="BD117" s="1"/>
      <c r="BE117" s="1"/>
      <c r="BF117" s="1"/>
      <c r="BG117" s="1"/>
      <c r="BH117" s="1"/>
      <c r="BI117" s="1"/>
      <c r="BJ117" s="1"/>
      <c r="BK117" s="1"/>
      <c r="BL117" s="1"/>
      <c r="BM117" s="1"/>
      <c r="BN117" s="1"/>
      <c r="BO117" s="1"/>
      <c r="BP117" s="1"/>
      <c r="BQ117" s="1"/>
      <c r="BR117" s="1"/>
      <c r="BS117" s="1"/>
      <c r="BT117" s="1"/>
      <c r="BU117" s="1"/>
      <c r="BV117" s="1"/>
      <c r="BW117" s="1"/>
      <c r="BX117" s="1"/>
      <c r="BY117" s="136"/>
      <c r="BZ117" s="136"/>
      <c r="CA117" s="136"/>
      <c r="CB117" s="136"/>
      <c r="CC117" s="136"/>
      <c r="CD117" s="136"/>
      <c r="CE117" s="136"/>
      <c r="CF117" s="147"/>
      <c r="CG117" s="136"/>
      <c r="CH117" s="147"/>
      <c r="CI117" s="147"/>
      <c r="CJ117" s="136"/>
      <c r="CK117" s="136"/>
      <c r="CL117" s="136"/>
      <c r="CM117" s="136"/>
      <c r="CN117" s="136"/>
      <c r="CO117" s="136"/>
      <c r="CP117" s="136"/>
      <c r="CQ117" s="1"/>
      <c r="CR117" s="1"/>
      <c r="CS117" s="225"/>
      <c r="CT117" s="1"/>
      <c r="CU117" s="136"/>
      <c r="CV117" s="136"/>
      <c r="CW117" s="136"/>
      <c r="CX117" s="136"/>
      <c r="CY117" s="136"/>
      <c r="CZ117" s="136"/>
      <c r="DA117" s="136"/>
      <c r="DB117" s="136"/>
      <c r="DC117" s="136"/>
      <c r="DD117" s="136"/>
      <c r="DE117" s="210"/>
      <c r="DF117" s="210"/>
      <c r="DG117" s="255"/>
      <c r="DH117" s="136"/>
      <c r="DI117" s="1"/>
      <c r="DJ117" s="1"/>
      <c r="DK117" s="102"/>
      <c r="DL117" s="102"/>
      <c r="DM117" s="102"/>
      <c r="DN117" s="102"/>
      <c r="DO117" s="102"/>
      <c r="DP117" s="143"/>
      <c r="DQ117" s="143"/>
      <c r="DR117" s="143"/>
      <c r="DS117" s="102"/>
      <c r="DT117" s="1"/>
      <c r="DU117" s="1"/>
      <c r="DV117" s="1"/>
      <c r="DW117" s="99"/>
      <c r="DX117" s="1"/>
      <c r="EE117" s="1"/>
      <c r="EK117" s="98"/>
      <c r="EL117" s="98"/>
      <c r="EM117" s="98"/>
      <c r="EN117" s="98"/>
      <c r="EO117" s="98"/>
      <c r="EP117" s="98"/>
      <c r="EQ117" s="98"/>
      <c r="ER117" s="241"/>
    </row>
    <row r="118" spans="1:148" s="93" customFormat="1">
      <c r="A118" s="95"/>
      <c r="B118" s="95"/>
      <c r="D118" s="97"/>
      <c r="E118" s="97"/>
      <c r="F118" s="97"/>
      <c r="G118" s="219"/>
      <c r="H118" s="98"/>
      <c r="I118" s="96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92"/>
      <c r="AP118" s="92"/>
      <c r="AQ118" s="92"/>
      <c r="AR118" s="1"/>
      <c r="AS118" s="228"/>
      <c r="AT118" s="1"/>
      <c r="AU118" s="1"/>
      <c r="AV118" s="1"/>
      <c r="AW118" s="1"/>
      <c r="AX118" s="1"/>
      <c r="AY118" s="1"/>
      <c r="AZ118" s="1"/>
      <c r="BA118" s="1"/>
      <c r="BB118" s="1"/>
      <c r="BC118" s="102"/>
      <c r="BD118" s="1"/>
      <c r="BE118" s="1"/>
      <c r="BF118" s="1"/>
      <c r="BG118" s="1"/>
      <c r="BH118" s="1"/>
      <c r="BI118" s="1"/>
      <c r="BJ118" s="1"/>
      <c r="BK118" s="1"/>
      <c r="BL118" s="1"/>
      <c r="BM118" s="1"/>
      <c r="BN118" s="1"/>
      <c r="BO118" s="1"/>
      <c r="BP118" s="1"/>
      <c r="BQ118" s="1"/>
      <c r="BR118" s="1"/>
      <c r="BS118" s="1"/>
      <c r="BT118" s="1"/>
      <c r="BU118" s="1"/>
      <c r="BV118" s="1"/>
      <c r="BW118" s="1"/>
      <c r="BX118" s="1"/>
      <c r="BY118" s="136"/>
      <c r="BZ118" s="136"/>
      <c r="CA118" s="136"/>
      <c r="CB118" s="136"/>
      <c r="CC118" s="136"/>
      <c r="CD118" s="136"/>
      <c r="CE118" s="136"/>
      <c r="CF118" s="147"/>
      <c r="CG118" s="136"/>
      <c r="CH118" s="147"/>
      <c r="CI118" s="147"/>
      <c r="CJ118" s="136"/>
      <c r="CK118" s="136"/>
      <c r="CL118" s="136"/>
      <c r="CM118" s="136"/>
      <c r="CN118" s="136"/>
      <c r="CO118" s="136"/>
      <c r="CP118" s="136"/>
      <c r="CQ118" s="1"/>
      <c r="CR118" s="1"/>
      <c r="CS118" s="225"/>
      <c r="CT118" s="1"/>
      <c r="CU118" s="136"/>
      <c r="CV118" s="136"/>
      <c r="CW118" s="136"/>
      <c r="CX118" s="136"/>
      <c r="CY118" s="136"/>
      <c r="CZ118" s="136"/>
      <c r="DA118" s="136"/>
      <c r="DB118" s="136"/>
      <c r="DC118" s="136"/>
      <c r="DD118" s="136"/>
      <c r="DE118" s="210"/>
      <c r="DF118" s="210"/>
      <c r="DG118" s="255"/>
      <c r="DH118" s="136"/>
      <c r="DI118" s="1"/>
      <c r="DJ118" s="1"/>
      <c r="DK118" s="102"/>
      <c r="DL118" s="102"/>
      <c r="DM118" s="102"/>
      <c r="DN118" s="102"/>
      <c r="DO118" s="102"/>
      <c r="DP118" s="143"/>
      <c r="DQ118" s="143"/>
      <c r="DR118" s="143"/>
      <c r="DS118" s="102"/>
      <c r="DT118" s="1"/>
      <c r="DU118" s="1"/>
      <c r="DV118" s="1"/>
      <c r="DW118" s="99"/>
      <c r="DX118" s="1"/>
      <c r="EE118" s="1"/>
      <c r="EK118" s="98"/>
      <c r="EL118" s="98"/>
      <c r="EM118" s="98"/>
      <c r="EN118" s="98"/>
      <c r="EO118" s="98"/>
      <c r="EP118" s="98"/>
      <c r="EQ118" s="98"/>
      <c r="ER118" s="241"/>
    </row>
    <row r="119" spans="1:148" s="93" customFormat="1">
      <c r="A119" s="95"/>
      <c r="B119" s="95"/>
      <c r="D119" s="97"/>
      <c r="E119" s="97"/>
      <c r="F119" s="97"/>
      <c r="G119" s="219"/>
      <c r="H119" s="98"/>
      <c r="I119" s="96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92"/>
      <c r="AP119" s="92"/>
      <c r="AQ119" s="92"/>
      <c r="AR119" s="1"/>
      <c r="AS119" s="228"/>
      <c r="AT119" s="1"/>
      <c r="AU119" s="1"/>
      <c r="AV119" s="1"/>
      <c r="AW119" s="1"/>
      <c r="AX119" s="1"/>
      <c r="AY119" s="1"/>
      <c r="AZ119" s="1"/>
      <c r="BA119" s="1"/>
      <c r="BB119" s="1"/>
      <c r="BC119" s="102"/>
      <c r="BD119" s="1"/>
      <c r="BE119" s="1"/>
      <c r="BF119" s="1"/>
      <c r="BG119" s="1"/>
      <c r="BH119" s="1"/>
      <c r="BI119" s="1"/>
      <c r="BJ119" s="1"/>
      <c r="BK119" s="1"/>
      <c r="BL119" s="1"/>
      <c r="BM119" s="1"/>
      <c r="BN119" s="1"/>
      <c r="BO119" s="1"/>
      <c r="BP119" s="1"/>
      <c r="BQ119" s="1"/>
      <c r="BR119" s="1"/>
      <c r="BS119" s="1"/>
      <c r="BT119" s="1"/>
      <c r="BU119" s="1"/>
      <c r="BV119" s="1"/>
      <c r="BW119" s="1"/>
      <c r="BX119" s="1"/>
      <c r="BY119" s="136"/>
      <c r="BZ119" s="136"/>
      <c r="CA119" s="136"/>
      <c r="CB119" s="136"/>
      <c r="CC119" s="136"/>
      <c r="CD119" s="136"/>
      <c r="CE119" s="136"/>
      <c r="CF119" s="147"/>
      <c r="CG119" s="136"/>
      <c r="CH119" s="147"/>
      <c r="CI119" s="147"/>
      <c r="CJ119" s="136"/>
      <c r="CK119" s="136"/>
      <c r="CL119" s="136"/>
      <c r="CM119" s="136"/>
      <c r="CN119" s="136"/>
      <c r="CO119" s="136"/>
      <c r="CP119" s="136"/>
      <c r="CQ119" s="1"/>
      <c r="CR119" s="1"/>
      <c r="CS119" s="225"/>
      <c r="CT119" s="1"/>
      <c r="CU119" s="136"/>
      <c r="CV119" s="136"/>
      <c r="CW119" s="136"/>
      <c r="CX119" s="136"/>
      <c r="CY119" s="136"/>
      <c r="CZ119" s="136"/>
      <c r="DA119" s="136"/>
      <c r="DB119" s="136"/>
      <c r="DC119" s="136"/>
      <c r="DD119" s="136"/>
      <c r="DE119" s="210"/>
      <c r="DF119" s="210"/>
      <c r="DG119" s="255"/>
      <c r="DH119" s="136"/>
      <c r="DI119" s="1"/>
      <c r="DJ119" s="1"/>
      <c r="DK119" s="102"/>
      <c r="DL119" s="102"/>
      <c r="DM119" s="102"/>
      <c r="DN119" s="102"/>
      <c r="DO119" s="102"/>
      <c r="DP119" s="143"/>
      <c r="DQ119" s="143"/>
      <c r="DR119" s="143"/>
      <c r="DS119" s="102"/>
      <c r="DT119" s="1"/>
      <c r="DU119" s="1"/>
      <c r="DV119" s="1"/>
      <c r="DW119" s="99"/>
      <c r="DX119" s="1"/>
      <c r="EE119" s="1"/>
      <c r="EK119" s="98"/>
      <c r="EL119" s="98"/>
      <c r="EM119" s="98"/>
      <c r="EN119" s="98"/>
      <c r="EO119" s="98"/>
      <c r="EP119" s="98"/>
      <c r="EQ119" s="98"/>
      <c r="ER119" s="241"/>
    </row>
    <row r="120" spans="1:148" s="93" customFormat="1">
      <c r="A120" s="95"/>
      <c r="B120" s="95"/>
      <c r="D120" s="97"/>
      <c r="E120" s="97"/>
      <c r="F120" s="97"/>
      <c r="G120" s="219"/>
      <c r="H120" s="98"/>
      <c r="I120" s="96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92"/>
      <c r="AP120" s="92"/>
      <c r="AQ120" s="92"/>
      <c r="AR120" s="1"/>
      <c r="AS120" s="228"/>
      <c r="AT120" s="1"/>
      <c r="AU120" s="1"/>
      <c r="AV120" s="1"/>
      <c r="AW120" s="1"/>
      <c r="AX120" s="1"/>
      <c r="AY120" s="1"/>
      <c r="AZ120" s="1"/>
      <c r="BA120" s="1"/>
      <c r="BB120" s="1"/>
      <c r="BC120" s="102"/>
      <c r="BD120" s="1"/>
      <c r="BE120" s="1"/>
      <c r="BF120" s="1"/>
      <c r="BG120" s="1"/>
      <c r="BH120" s="1"/>
      <c r="BI120" s="1"/>
      <c r="BJ120" s="1"/>
      <c r="BK120" s="1"/>
      <c r="BL120" s="1"/>
      <c r="BM120" s="1"/>
      <c r="BN120" s="1"/>
      <c r="BO120" s="1"/>
      <c r="BP120" s="1"/>
      <c r="BQ120" s="1"/>
      <c r="BR120" s="1"/>
      <c r="BS120" s="1"/>
      <c r="BT120" s="1"/>
      <c r="BU120" s="1"/>
      <c r="BV120" s="1"/>
      <c r="BW120" s="1"/>
      <c r="BX120" s="1"/>
      <c r="BY120" s="136"/>
      <c r="BZ120" s="136"/>
      <c r="CA120" s="136"/>
      <c r="CB120" s="136"/>
      <c r="CC120" s="136"/>
      <c r="CD120" s="136"/>
      <c r="CE120" s="136"/>
      <c r="CF120" s="147"/>
      <c r="CG120" s="136"/>
      <c r="CH120" s="147"/>
      <c r="CI120" s="147"/>
      <c r="CJ120" s="136"/>
      <c r="CK120" s="136"/>
      <c r="CL120" s="136"/>
      <c r="CM120" s="136"/>
      <c r="CN120" s="136"/>
      <c r="CO120" s="136"/>
      <c r="CP120" s="136"/>
      <c r="CQ120" s="1"/>
      <c r="CR120" s="1"/>
      <c r="CS120" s="225"/>
      <c r="CT120" s="1"/>
      <c r="CU120" s="136"/>
      <c r="CV120" s="136"/>
      <c r="CW120" s="136"/>
      <c r="CX120" s="136"/>
      <c r="CY120" s="136"/>
      <c r="CZ120" s="136"/>
      <c r="DA120" s="136"/>
      <c r="DB120" s="136"/>
      <c r="DC120" s="136"/>
      <c r="DD120" s="136"/>
      <c r="DE120" s="210"/>
      <c r="DF120" s="210"/>
      <c r="DG120" s="255"/>
      <c r="DH120" s="136"/>
      <c r="DI120" s="1"/>
      <c r="DJ120" s="1"/>
      <c r="DK120" s="102"/>
      <c r="DL120" s="102"/>
      <c r="DM120" s="102"/>
      <c r="DN120" s="102"/>
      <c r="DO120" s="102"/>
      <c r="DP120" s="143"/>
      <c r="DQ120" s="143"/>
      <c r="DR120" s="143"/>
      <c r="DS120" s="102"/>
      <c r="DT120" s="1"/>
      <c r="DU120" s="1"/>
      <c r="DV120" s="1"/>
      <c r="DW120" s="99"/>
      <c r="DX120" s="1"/>
      <c r="EE120" s="1"/>
      <c r="EK120" s="98"/>
      <c r="EL120" s="98"/>
      <c r="EM120" s="98"/>
      <c r="EN120" s="98"/>
      <c r="EO120" s="98"/>
      <c r="EP120" s="98"/>
      <c r="EQ120" s="98"/>
      <c r="ER120" s="241"/>
    </row>
    <row r="121" spans="1:148" s="93" customFormat="1">
      <c r="A121" s="95"/>
      <c r="B121" s="95"/>
      <c r="D121" s="97"/>
      <c r="E121" s="97"/>
      <c r="F121" s="97"/>
      <c r="G121" s="219"/>
      <c r="H121" s="98"/>
      <c r="I121" s="96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92"/>
      <c r="AP121" s="92"/>
      <c r="AQ121" s="92"/>
      <c r="AR121" s="1"/>
      <c r="AS121" s="228"/>
      <c r="AT121" s="1"/>
      <c r="AU121" s="1"/>
      <c r="AV121" s="1"/>
      <c r="AW121" s="1"/>
      <c r="AX121" s="1"/>
      <c r="AY121" s="1"/>
      <c r="AZ121" s="1"/>
      <c r="BA121" s="1"/>
      <c r="BB121" s="1"/>
      <c r="BC121" s="102"/>
      <c r="BD121" s="1"/>
      <c r="BE121" s="1"/>
      <c r="BF121" s="1"/>
      <c r="BG121" s="1"/>
      <c r="BH121" s="1"/>
      <c r="BI121" s="1"/>
      <c r="BJ121" s="1"/>
      <c r="BK121" s="1"/>
      <c r="BL121" s="1"/>
      <c r="BM121" s="1"/>
      <c r="BN121" s="1"/>
      <c r="BO121" s="1"/>
      <c r="BP121" s="1"/>
      <c r="BQ121" s="1"/>
      <c r="BR121" s="1"/>
      <c r="BS121" s="1"/>
      <c r="BT121" s="1"/>
      <c r="BU121" s="1"/>
      <c r="BV121" s="1"/>
      <c r="BW121" s="1"/>
      <c r="BX121" s="1"/>
      <c r="BY121" s="136"/>
      <c r="BZ121" s="136"/>
      <c r="CA121" s="136"/>
      <c r="CB121" s="136"/>
      <c r="CC121" s="136"/>
      <c r="CD121" s="136"/>
      <c r="CE121" s="136"/>
      <c r="CF121" s="147"/>
      <c r="CG121" s="136"/>
      <c r="CH121" s="147"/>
      <c r="CI121" s="147"/>
      <c r="CJ121" s="136"/>
      <c r="CK121" s="136"/>
      <c r="CL121" s="136"/>
      <c r="CM121" s="136"/>
      <c r="CN121" s="136"/>
      <c r="CO121" s="136"/>
      <c r="CP121" s="136"/>
      <c r="CQ121" s="1"/>
      <c r="CR121" s="1"/>
      <c r="CS121" s="225"/>
      <c r="CT121" s="1"/>
      <c r="CU121" s="136"/>
      <c r="CV121" s="136"/>
      <c r="CW121" s="136"/>
      <c r="CX121" s="136"/>
      <c r="CY121" s="136"/>
      <c r="CZ121" s="136"/>
      <c r="DA121" s="136"/>
      <c r="DB121" s="136"/>
      <c r="DC121" s="136"/>
      <c r="DD121" s="136"/>
      <c r="DE121" s="210"/>
      <c r="DF121" s="210"/>
      <c r="DG121" s="255"/>
      <c r="DH121" s="136"/>
      <c r="DI121" s="1"/>
      <c r="DJ121" s="1"/>
      <c r="DK121" s="102"/>
      <c r="DL121" s="102"/>
      <c r="DM121" s="102"/>
      <c r="DN121" s="102"/>
      <c r="DO121" s="102"/>
      <c r="DP121" s="143"/>
      <c r="DQ121" s="143"/>
      <c r="DR121" s="143"/>
      <c r="DS121" s="102"/>
      <c r="DT121" s="1"/>
      <c r="DU121" s="1"/>
      <c r="DV121" s="1"/>
      <c r="DW121" s="99"/>
      <c r="DX121" s="1"/>
      <c r="EE121" s="1"/>
      <c r="EK121" s="98"/>
      <c r="EL121" s="98"/>
      <c r="EM121" s="98"/>
      <c r="EN121" s="98"/>
      <c r="EO121" s="98"/>
      <c r="EP121" s="98"/>
      <c r="EQ121" s="98"/>
      <c r="ER121" s="241"/>
    </row>
    <row r="122" spans="1:148" s="93" customFormat="1">
      <c r="A122" s="95"/>
      <c r="B122" s="95"/>
      <c r="D122" s="97"/>
      <c r="E122" s="97"/>
      <c r="F122" s="97"/>
      <c r="G122" s="219"/>
      <c r="H122" s="98"/>
      <c r="I122" s="96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92"/>
      <c r="AP122" s="92"/>
      <c r="AQ122" s="92"/>
      <c r="AR122" s="1"/>
      <c r="AS122" s="228"/>
      <c r="AT122" s="1"/>
      <c r="AU122" s="1"/>
      <c r="AV122" s="1"/>
      <c r="AW122" s="1"/>
      <c r="AX122" s="1"/>
      <c r="AY122" s="1"/>
      <c r="AZ122" s="1"/>
      <c r="BA122" s="1"/>
      <c r="BB122" s="1"/>
      <c r="BC122" s="102"/>
      <c r="BD122" s="1"/>
      <c r="BE122" s="1"/>
      <c r="BF122" s="1"/>
      <c r="BG122" s="1"/>
      <c r="BH122" s="1"/>
      <c r="BI122" s="1"/>
      <c r="BJ122" s="1"/>
      <c r="BK122" s="1"/>
      <c r="BL122" s="1"/>
      <c r="BM122" s="1"/>
      <c r="BN122" s="1"/>
      <c r="BO122" s="1"/>
      <c r="BP122" s="1"/>
      <c r="BQ122" s="1"/>
      <c r="BR122" s="1"/>
      <c r="BS122" s="1"/>
      <c r="BT122" s="1"/>
      <c r="BU122" s="1"/>
      <c r="BV122" s="1"/>
      <c r="BW122" s="1"/>
      <c r="BX122" s="1"/>
      <c r="BY122" s="136"/>
      <c r="BZ122" s="136"/>
      <c r="CA122" s="136"/>
      <c r="CB122" s="136"/>
      <c r="CC122" s="136"/>
      <c r="CD122" s="136"/>
      <c r="CE122" s="136"/>
      <c r="CF122" s="147"/>
      <c r="CG122" s="136"/>
      <c r="CH122" s="147"/>
      <c r="CI122" s="147"/>
      <c r="CJ122" s="136"/>
      <c r="CK122" s="136"/>
      <c r="CL122" s="136"/>
      <c r="CM122" s="136"/>
      <c r="CN122" s="136"/>
      <c r="CO122" s="136"/>
      <c r="CP122" s="136"/>
      <c r="CQ122" s="1"/>
      <c r="CR122" s="1"/>
      <c r="CS122" s="225"/>
      <c r="CT122" s="1"/>
      <c r="CU122" s="136"/>
      <c r="CV122" s="136"/>
      <c r="CW122" s="136"/>
      <c r="CX122" s="136"/>
      <c r="CY122" s="136"/>
      <c r="CZ122" s="136"/>
      <c r="DA122" s="136"/>
      <c r="DB122" s="136"/>
      <c r="DC122" s="136"/>
      <c r="DD122" s="136"/>
      <c r="DE122" s="210"/>
      <c r="DF122" s="210"/>
      <c r="DG122" s="255"/>
      <c r="DH122" s="136"/>
      <c r="DI122" s="1"/>
      <c r="DJ122" s="1"/>
      <c r="DK122" s="102"/>
      <c r="DL122" s="102"/>
      <c r="DM122" s="102"/>
      <c r="DN122" s="102"/>
      <c r="DO122" s="102"/>
      <c r="DP122" s="143"/>
      <c r="DQ122" s="143"/>
      <c r="DR122" s="143"/>
      <c r="DS122" s="102"/>
      <c r="DT122" s="1"/>
      <c r="DU122" s="1"/>
      <c r="DV122" s="1"/>
      <c r="DW122" s="99"/>
      <c r="DX122" s="1"/>
      <c r="EE122" s="1"/>
      <c r="EK122" s="98"/>
      <c r="EL122" s="98"/>
      <c r="EM122" s="98"/>
      <c r="EN122" s="98"/>
      <c r="EO122" s="98"/>
      <c r="EP122" s="98"/>
      <c r="EQ122" s="98"/>
      <c r="ER122" s="241"/>
    </row>
    <row r="123" spans="1:148" s="93" customFormat="1">
      <c r="A123" s="95"/>
      <c r="B123" s="95"/>
      <c r="D123" s="97"/>
      <c r="E123" s="97"/>
      <c r="F123" s="97"/>
      <c r="G123" s="219"/>
      <c r="H123" s="98"/>
      <c r="I123" s="96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92"/>
      <c r="AP123" s="92"/>
      <c r="AQ123" s="92"/>
      <c r="AR123" s="1"/>
      <c r="AS123" s="228"/>
      <c r="AT123" s="1"/>
      <c r="AU123" s="1"/>
      <c r="AV123" s="1"/>
      <c r="AW123" s="1"/>
      <c r="AX123" s="1"/>
      <c r="AY123" s="1"/>
      <c r="AZ123" s="1"/>
      <c r="BA123" s="1"/>
      <c r="BB123" s="1"/>
      <c r="BC123" s="102"/>
      <c r="BD123" s="1"/>
      <c r="BE123" s="1"/>
      <c r="BF123" s="1"/>
      <c r="BG123" s="1"/>
      <c r="BH123" s="1"/>
      <c r="BI123" s="1"/>
      <c r="BJ123" s="1"/>
      <c r="BK123" s="1"/>
      <c r="BL123" s="1"/>
      <c r="BM123" s="1"/>
      <c r="BN123" s="1"/>
      <c r="BO123" s="1"/>
      <c r="BP123" s="1"/>
      <c r="BQ123" s="1"/>
      <c r="BR123" s="1"/>
      <c r="BS123" s="1"/>
      <c r="BT123" s="1"/>
      <c r="BU123" s="1"/>
      <c r="BV123" s="1"/>
      <c r="BW123" s="1"/>
      <c r="BX123" s="1"/>
      <c r="BY123" s="136"/>
      <c r="BZ123" s="136"/>
      <c r="CA123" s="136"/>
      <c r="CB123" s="136"/>
      <c r="CC123" s="136"/>
      <c r="CD123" s="136"/>
      <c r="CE123" s="136"/>
      <c r="CF123" s="147"/>
      <c r="CG123" s="136"/>
      <c r="CH123" s="147"/>
      <c r="CI123" s="147"/>
      <c r="CJ123" s="136"/>
      <c r="CK123" s="136"/>
      <c r="CL123" s="136"/>
      <c r="CM123" s="136"/>
      <c r="CN123" s="136"/>
      <c r="CO123" s="136"/>
      <c r="CP123" s="136"/>
      <c r="CQ123" s="1"/>
      <c r="CR123" s="1"/>
      <c r="CS123" s="225"/>
      <c r="CT123" s="1"/>
      <c r="CU123" s="136"/>
      <c r="CV123" s="136"/>
      <c r="CW123" s="136"/>
      <c r="CX123" s="136"/>
      <c r="CY123" s="136"/>
      <c r="CZ123" s="136"/>
      <c r="DA123" s="136"/>
      <c r="DB123" s="136"/>
      <c r="DC123" s="136"/>
      <c r="DD123" s="136"/>
      <c r="DE123" s="210"/>
      <c r="DF123" s="210"/>
      <c r="DG123" s="255"/>
      <c r="DH123" s="136"/>
      <c r="DI123" s="1"/>
      <c r="DJ123" s="1"/>
      <c r="DK123" s="102"/>
      <c r="DL123" s="102"/>
      <c r="DM123" s="102"/>
      <c r="DN123" s="102"/>
      <c r="DO123" s="102"/>
      <c r="DP123" s="143"/>
      <c r="DQ123" s="143"/>
      <c r="DR123" s="143"/>
      <c r="DS123" s="102"/>
      <c r="DT123" s="1"/>
      <c r="DU123" s="1"/>
      <c r="DV123" s="1"/>
      <c r="DW123" s="99"/>
      <c r="DX123" s="1"/>
      <c r="EE123" s="1"/>
      <c r="EK123" s="98"/>
      <c r="EL123" s="98"/>
      <c r="EM123" s="98"/>
      <c r="EN123" s="98"/>
      <c r="EO123" s="98"/>
      <c r="EP123" s="98"/>
      <c r="EQ123" s="98"/>
      <c r="ER123" s="241"/>
    </row>
    <row r="124" spans="1:148" s="93" customFormat="1">
      <c r="A124" s="95"/>
      <c r="B124" s="95"/>
      <c r="D124" s="97"/>
      <c r="E124" s="97"/>
      <c r="F124" s="97"/>
      <c r="G124" s="219"/>
      <c r="H124" s="98"/>
      <c r="I124" s="96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92"/>
      <c r="AP124" s="92"/>
      <c r="AQ124" s="92"/>
      <c r="AR124" s="1"/>
      <c r="AS124" s="228"/>
      <c r="AT124" s="1"/>
      <c r="AU124" s="1"/>
      <c r="AV124" s="1"/>
      <c r="AW124" s="1"/>
      <c r="AX124" s="1"/>
      <c r="AY124" s="1"/>
      <c r="AZ124" s="1"/>
      <c r="BA124" s="1"/>
      <c r="BB124" s="1"/>
      <c r="BC124" s="102"/>
      <c r="BD124" s="1"/>
      <c r="BE124" s="1"/>
      <c r="BF124" s="1"/>
      <c r="BG124" s="1"/>
      <c r="BH124" s="1"/>
      <c r="BI124" s="1"/>
      <c r="BJ124" s="1"/>
      <c r="BK124" s="1"/>
      <c r="BL124" s="1"/>
      <c r="BM124" s="1"/>
      <c r="BN124" s="1"/>
      <c r="BO124" s="1"/>
      <c r="BP124" s="1"/>
      <c r="BQ124" s="1"/>
      <c r="BR124" s="1"/>
      <c r="BS124" s="1"/>
      <c r="BT124" s="1"/>
      <c r="BU124" s="1"/>
      <c r="BV124" s="1"/>
      <c r="BW124" s="1"/>
      <c r="BX124" s="1"/>
      <c r="BY124" s="136"/>
      <c r="BZ124" s="136"/>
      <c r="CA124" s="136"/>
      <c r="CB124" s="136"/>
      <c r="CC124" s="136"/>
      <c r="CD124" s="136"/>
      <c r="CE124" s="136"/>
      <c r="CF124" s="147"/>
      <c r="CG124" s="136"/>
      <c r="CH124" s="147"/>
      <c r="CI124" s="147"/>
      <c r="CJ124" s="136"/>
      <c r="CK124" s="136"/>
      <c r="CL124" s="136"/>
      <c r="CM124" s="136"/>
      <c r="CN124" s="136"/>
      <c r="CO124" s="136"/>
      <c r="CP124" s="136"/>
      <c r="CQ124" s="1"/>
      <c r="CR124" s="1"/>
      <c r="CS124" s="225"/>
      <c r="CT124" s="1"/>
      <c r="CU124" s="136"/>
      <c r="CV124" s="136"/>
      <c r="CW124" s="136"/>
      <c r="CX124" s="136"/>
      <c r="CY124" s="136"/>
      <c r="CZ124" s="136"/>
      <c r="DA124" s="136"/>
      <c r="DB124" s="136"/>
      <c r="DC124" s="136"/>
      <c r="DD124" s="136"/>
      <c r="DE124" s="210"/>
      <c r="DF124" s="210"/>
      <c r="DG124" s="255"/>
      <c r="DH124" s="136"/>
      <c r="DI124" s="1"/>
      <c r="DJ124" s="1"/>
      <c r="DK124" s="102"/>
      <c r="DL124" s="102"/>
      <c r="DM124" s="102"/>
      <c r="DN124" s="102"/>
      <c r="DO124" s="102"/>
      <c r="DP124" s="143"/>
      <c r="DQ124" s="143"/>
      <c r="DR124" s="143"/>
      <c r="DS124" s="102"/>
      <c r="DT124" s="1"/>
      <c r="DU124" s="1"/>
      <c r="DV124" s="1"/>
      <c r="DW124" s="99"/>
      <c r="DX124" s="1"/>
      <c r="EE124" s="1"/>
      <c r="EK124" s="98"/>
      <c r="EL124" s="98"/>
      <c r="EM124" s="98"/>
      <c r="EN124" s="98"/>
      <c r="EO124" s="98"/>
      <c r="EP124" s="98"/>
      <c r="EQ124" s="98"/>
      <c r="ER124" s="241"/>
    </row>
    <row r="125" spans="1:148" s="93" customFormat="1">
      <c r="A125" s="95"/>
      <c r="B125" s="95"/>
      <c r="D125" s="97"/>
      <c r="E125" s="97"/>
      <c r="F125" s="97"/>
      <c r="G125" s="219"/>
      <c r="H125" s="98"/>
      <c r="I125" s="96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92"/>
      <c r="AP125" s="92"/>
      <c r="AQ125" s="92"/>
      <c r="AR125" s="1"/>
      <c r="AS125" s="228"/>
      <c r="AT125" s="1"/>
      <c r="AU125" s="1"/>
      <c r="AV125" s="1"/>
      <c r="AW125" s="1"/>
      <c r="AX125" s="1"/>
      <c r="AY125" s="1"/>
      <c r="AZ125" s="1"/>
      <c r="BA125" s="1"/>
      <c r="BB125" s="1"/>
      <c r="BC125" s="102"/>
      <c r="BD125" s="1"/>
      <c r="BE125" s="1"/>
      <c r="BF125" s="1"/>
      <c r="BG125" s="1"/>
      <c r="BH125" s="1"/>
      <c r="BI125" s="1"/>
      <c r="BJ125" s="1"/>
      <c r="BK125" s="1"/>
      <c r="BL125" s="1"/>
      <c r="BM125" s="1"/>
      <c r="BN125" s="1"/>
      <c r="BO125" s="1"/>
      <c r="BP125" s="1"/>
      <c r="BQ125" s="1"/>
      <c r="BR125" s="1"/>
      <c r="BS125" s="1"/>
      <c r="BT125" s="1"/>
      <c r="BU125" s="1"/>
      <c r="BV125" s="1"/>
      <c r="BW125" s="1"/>
      <c r="BX125" s="1"/>
      <c r="BY125" s="136"/>
      <c r="BZ125" s="136"/>
      <c r="CA125" s="136"/>
      <c r="CB125" s="136"/>
      <c r="CC125" s="136"/>
      <c r="CD125" s="136"/>
      <c r="CE125" s="136"/>
      <c r="CF125" s="147"/>
      <c r="CG125" s="136"/>
      <c r="CH125" s="147"/>
      <c r="CI125" s="147"/>
      <c r="CJ125" s="136"/>
      <c r="CK125" s="136"/>
      <c r="CL125" s="136"/>
      <c r="CM125" s="136"/>
      <c r="CN125" s="136"/>
      <c r="CO125" s="136"/>
      <c r="CP125" s="136"/>
      <c r="CQ125" s="1"/>
      <c r="CR125" s="1"/>
      <c r="CS125" s="225"/>
      <c r="CT125" s="1"/>
      <c r="CU125" s="136"/>
      <c r="CV125" s="136"/>
      <c r="CW125" s="136"/>
      <c r="CX125" s="136"/>
      <c r="CY125" s="136"/>
      <c r="CZ125" s="136"/>
      <c r="DA125" s="136"/>
      <c r="DB125" s="136"/>
      <c r="DC125" s="136"/>
      <c r="DD125" s="136"/>
      <c r="DE125" s="210"/>
      <c r="DF125" s="210"/>
      <c r="DG125" s="255"/>
      <c r="DH125" s="136"/>
      <c r="DI125" s="1"/>
      <c r="DJ125" s="1"/>
      <c r="DK125" s="102"/>
      <c r="DL125" s="102"/>
      <c r="DM125" s="102"/>
      <c r="DN125" s="102"/>
      <c r="DO125" s="102"/>
      <c r="DP125" s="143"/>
      <c r="DQ125" s="143"/>
      <c r="DR125" s="143"/>
      <c r="DS125" s="102"/>
      <c r="DT125" s="1"/>
      <c r="DU125" s="1"/>
      <c r="DV125" s="1"/>
      <c r="DW125" s="99"/>
      <c r="DX125" s="1"/>
      <c r="EE125" s="1"/>
      <c r="EK125" s="98"/>
      <c r="EL125" s="98"/>
      <c r="EM125" s="98"/>
      <c r="EN125" s="98"/>
      <c r="EO125" s="98"/>
      <c r="EP125" s="98"/>
      <c r="EQ125" s="98"/>
      <c r="ER125" s="241"/>
    </row>
    <row r="126" spans="1:148" s="93" customFormat="1">
      <c r="A126" s="95"/>
      <c r="B126" s="95"/>
      <c r="D126" s="97"/>
      <c r="E126" s="97"/>
      <c r="F126" s="97"/>
      <c r="G126" s="219"/>
      <c r="H126" s="98"/>
      <c r="I126" s="96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92"/>
      <c r="AP126" s="92"/>
      <c r="AQ126" s="92"/>
      <c r="AR126" s="1"/>
      <c r="AS126" s="228"/>
      <c r="AT126" s="1"/>
      <c r="AU126" s="1"/>
      <c r="AV126" s="1"/>
      <c r="AW126" s="1"/>
      <c r="AX126" s="1"/>
      <c r="AY126" s="1"/>
      <c r="AZ126" s="1"/>
      <c r="BA126" s="1"/>
      <c r="BB126" s="1"/>
      <c r="BC126" s="102"/>
      <c r="BD126" s="1"/>
      <c r="BE126" s="1"/>
      <c r="BF126" s="1"/>
      <c r="BG126" s="1"/>
      <c r="BH126" s="1"/>
      <c r="BI126" s="1"/>
      <c r="BJ126" s="1"/>
      <c r="BK126" s="1"/>
      <c r="BL126" s="1"/>
      <c r="BM126" s="1"/>
      <c r="BN126" s="1"/>
      <c r="BO126" s="1"/>
      <c r="BP126" s="1"/>
      <c r="BQ126" s="1"/>
      <c r="BR126" s="1"/>
      <c r="BS126" s="1"/>
      <c r="BT126" s="1"/>
      <c r="BU126" s="1"/>
      <c r="BV126" s="1"/>
      <c r="BW126" s="1"/>
      <c r="BX126" s="1"/>
      <c r="BY126" s="136"/>
      <c r="BZ126" s="136"/>
      <c r="CA126" s="136"/>
      <c r="CB126" s="136"/>
      <c r="CC126" s="136"/>
      <c r="CD126" s="136"/>
      <c r="CE126" s="136"/>
      <c r="CF126" s="147"/>
      <c r="CG126" s="136"/>
      <c r="CH126" s="147"/>
      <c r="CI126" s="147"/>
      <c r="CJ126" s="136"/>
      <c r="CK126" s="136"/>
      <c r="CL126" s="136"/>
      <c r="CM126" s="136"/>
      <c r="CN126" s="136"/>
      <c r="CO126" s="136"/>
      <c r="CP126" s="136"/>
      <c r="CQ126" s="1"/>
      <c r="CR126" s="1"/>
      <c r="CS126" s="225"/>
      <c r="CT126" s="1"/>
      <c r="CU126" s="136"/>
      <c r="CV126" s="136"/>
      <c r="CW126" s="136"/>
      <c r="CX126" s="136"/>
      <c r="CY126" s="136"/>
      <c r="CZ126" s="136"/>
      <c r="DA126" s="136"/>
      <c r="DB126" s="136"/>
      <c r="DC126" s="136"/>
      <c r="DD126" s="136"/>
      <c r="DE126" s="210"/>
      <c r="DF126" s="210"/>
      <c r="DG126" s="255"/>
      <c r="DH126" s="136"/>
      <c r="DI126" s="1"/>
      <c r="DJ126" s="1"/>
      <c r="DK126" s="102"/>
      <c r="DL126" s="102"/>
      <c r="DM126" s="102"/>
      <c r="DN126" s="102"/>
      <c r="DO126" s="102"/>
      <c r="DP126" s="143"/>
      <c r="DQ126" s="143"/>
      <c r="DR126" s="143"/>
      <c r="DS126" s="102"/>
      <c r="DT126" s="1"/>
      <c r="DU126" s="1"/>
      <c r="DV126" s="1"/>
      <c r="DW126" s="99"/>
      <c r="DX126" s="1"/>
      <c r="EE126" s="1"/>
      <c r="EK126" s="98"/>
      <c r="EL126" s="98"/>
      <c r="EM126" s="98"/>
      <c r="EN126" s="98"/>
      <c r="EO126" s="98"/>
      <c r="EP126" s="98"/>
      <c r="EQ126" s="98"/>
      <c r="ER126" s="241"/>
    </row>
    <row r="127" spans="1:148" s="93" customFormat="1">
      <c r="A127" s="95"/>
      <c r="B127" s="95"/>
      <c r="D127" s="97"/>
      <c r="E127" s="97"/>
      <c r="F127" s="97"/>
      <c r="G127" s="219"/>
      <c r="H127" s="98"/>
      <c r="I127" s="96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92"/>
      <c r="AP127" s="92"/>
      <c r="AQ127" s="92"/>
      <c r="AR127" s="1"/>
      <c r="AS127" s="228"/>
      <c r="AT127" s="1"/>
      <c r="AU127" s="1"/>
      <c r="AV127" s="1"/>
      <c r="AW127" s="1"/>
      <c r="AX127" s="1"/>
      <c r="AY127" s="1"/>
      <c r="AZ127" s="1"/>
      <c r="BA127" s="1"/>
      <c r="BB127" s="1"/>
      <c r="BC127" s="102"/>
      <c r="BD127" s="1"/>
      <c r="BE127" s="1"/>
      <c r="BF127" s="1"/>
      <c r="BG127" s="1"/>
      <c r="BH127" s="1"/>
      <c r="BI127" s="1"/>
      <c r="BJ127" s="1"/>
      <c r="BK127" s="1"/>
      <c r="BL127" s="1"/>
      <c r="BM127" s="1"/>
      <c r="BN127" s="1"/>
      <c r="BO127" s="1"/>
      <c r="BP127" s="1"/>
      <c r="BQ127" s="1"/>
      <c r="BR127" s="1"/>
      <c r="BS127" s="1"/>
      <c r="BT127" s="1"/>
      <c r="BU127" s="1"/>
      <c r="BV127" s="1"/>
      <c r="BW127" s="1"/>
      <c r="BX127" s="1"/>
      <c r="BY127" s="136"/>
      <c r="BZ127" s="136"/>
      <c r="CA127" s="136"/>
      <c r="CB127" s="136"/>
      <c r="CC127" s="136"/>
      <c r="CD127" s="136"/>
      <c r="CE127" s="136"/>
      <c r="CF127" s="147"/>
      <c r="CG127" s="136"/>
      <c r="CH127" s="147"/>
      <c r="CI127" s="147"/>
      <c r="CJ127" s="136"/>
      <c r="CK127" s="136"/>
      <c r="CL127" s="136"/>
      <c r="CM127" s="136"/>
      <c r="CN127" s="136"/>
      <c r="CO127" s="136"/>
      <c r="CP127" s="136"/>
      <c r="CQ127" s="1"/>
      <c r="CR127" s="1"/>
      <c r="CS127" s="225"/>
      <c r="CT127" s="1"/>
      <c r="CU127" s="136"/>
      <c r="CV127" s="136"/>
      <c r="CW127" s="136"/>
      <c r="CX127" s="136"/>
      <c r="CY127" s="136"/>
      <c r="CZ127" s="136"/>
      <c r="DA127" s="136"/>
      <c r="DB127" s="136"/>
      <c r="DC127" s="136"/>
      <c r="DD127" s="136"/>
      <c r="DE127" s="210"/>
      <c r="DF127" s="210"/>
      <c r="DG127" s="255"/>
      <c r="DH127" s="136"/>
      <c r="DI127" s="1"/>
      <c r="DJ127" s="1"/>
      <c r="DK127" s="102"/>
      <c r="DL127" s="102"/>
      <c r="DM127" s="102"/>
      <c r="DN127" s="102"/>
      <c r="DO127" s="102"/>
      <c r="DP127" s="143"/>
      <c r="DQ127" s="143"/>
      <c r="DR127" s="143"/>
      <c r="DS127" s="102"/>
      <c r="DT127" s="1"/>
      <c r="DU127" s="1"/>
      <c r="DV127" s="1"/>
      <c r="DW127" s="99"/>
      <c r="DX127" s="1"/>
      <c r="EE127" s="1"/>
      <c r="EK127" s="98"/>
      <c r="EL127" s="98"/>
      <c r="EM127" s="98"/>
      <c r="EN127" s="98"/>
      <c r="EO127" s="98"/>
      <c r="EP127" s="98"/>
      <c r="EQ127" s="98"/>
      <c r="ER127" s="241"/>
    </row>
    <row r="128" spans="1:148" s="93" customFormat="1">
      <c r="A128" s="95"/>
      <c r="B128" s="95"/>
      <c r="D128" s="97"/>
      <c r="E128" s="97"/>
      <c r="F128" s="97"/>
      <c r="G128" s="219"/>
      <c r="H128" s="98"/>
      <c r="I128" s="96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92"/>
      <c r="AP128" s="92"/>
      <c r="AQ128" s="92"/>
      <c r="AR128" s="1"/>
      <c r="AS128" s="228"/>
      <c r="AT128" s="1"/>
      <c r="AU128" s="1"/>
      <c r="AV128" s="1"/>
      <c r="AW128" s="1"/>
      <c r="AX128" s="1"/>
      <c r="AY128" s="1"/>
      <c r="AZ128" s="1"/>
      <c r="BA128" s="1"/>
      <c r="BB128" s="1"/>
      <c r="BC128" s="102"/>
      <c r="BD128" s="1"/>
      <c r="BE128" s="1"/>
      <c r="BF128" s="1"/>
      <c r="BG128" s="1"/>
      <c r="BH128" s="1"/>
      <c r="BI128" s="1"/>
      <c r="BJ128" s="1"/>
      <c r="BK128" s="1"/>
      <c r="BL128" s="1"/>
      <c r="BM128" s="1"/>
      <c r="BN128" s="1"/>
      <c r="BO128" s="1"/>
      <c r="BP128" s="1"/>
      <c r="BQ128" s="1"/>
      <c r="BR128" s="1"/>
      <c r="BS128" s="1"/>
      <c r="BT128" s="1"/>
      <c r="BU128" s="1"/>
      <c r="BV128" s="1"/>
      <c r="BW128" s="1"/>
      <c r="BX128" s="1"/>
      <c r="BY128" s="136"/>
      <c r="BZ128" s="136"/>
      <c r="CA128" s="136"/>
      <c r="CB128" s="136"/>
      <c r="CC128" s="136"/>
      <c r="CD128" s="136"/>
      <c r="CE128" s="136"/>
      <c r="CF128" s="147"/>
      <c r="CG128" s="136"/>
      <c r="CH128" s="147"/>
      <c r="CI128" s="147"/>
      <c r="CJ128" s="136"/>
      <c r="CK128" s="136"/>
      <c r="CL128" s="136"/>
      <c r="CM128" s="136"/>
      <c r="CN128" s="136"/>
      <c r="CO128" s="136"/>
      <c r="CP128" s="136"/>
      <c r="CQ128" s="1"/>
      <c r="CR128" s="1"/>
      <c r="CS128" s="225"/>
      <c r="CT128" s="1"/>
      <c r="CU128" s="136"/>
      <c r="CV128" s="136"/>
      <c r="CW128" s="136"/>
      <c r="CX128" s="136"/>
      <c r="CY128" s="136"/>
      <c r="CZ128" s="136"/>
      <c r="DA128" s="136"/>
      <c r="DB128" s="136"/>
      <c r="DC128" s="136"/>
      <c r="DD128" s="136"/>
      <c r="DE128" s="210"/>
      <c r="DF128" s="210"/>
      <c r="DG128" s="255"/>
      <c r="DH128" s="136"/>
      <c r="DI128" s="1"/>
      <c r="DJ128" s="1"/>
      <c r="DK128" s="102"/>
      <c r="DL128" s="102"/>
      <c r="DM128" s="102"/>
      <c r="DN128" s="102"/>
      <c r="DO128" s="102"/>
      <c r="DP128" s="143"/>
      <c r="DQ128" s="143"/>
      <c r="DR128" s="143"/>
      <c r="DS128" s="102"/>
      <c r="DT128" s="1"/>
      <c r="DU128" s="1"/>
      <c r="DV128" s="1"/>
      <c r="DW128" s="99"/>
      <c r="DX128" s="1"/>
      <c r="EE128" s="1"/>
      <c r="EK128" s="98"/>
      <c r="EL128" s="98"/>
      <c r="EM128" s="98"/>
      <c r="EN128" s="98"/>
      <c r="EO128" s="98"/>
      <c r="EP128" s="98"/>
      <c r="EQ128" s="98"/>
      <c r="ER128" s="241"/>
    </row>
    <row r="129" spans="1:148" s="93" customFormat="1">
      <c r="A129" s="95"/>
      <c r="B129" s="95"/>
      <c r="D129" s="97"/>
      <c r="E129" s="97"/>
      <c r="F129" s="97"/>
      <c r="G129" s="219"/>
      <c r="H129" s="98"/>
      <c r="I129" s="96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92"/>
      <c r="AP129" s="92"/>
      <c r="AQ129" s="92"/>
      <c r="AR129" s="1"/>
      <c r="AS129" s="228"/>
      <c r="AT129" s="1"/>
      <c r="AU129" s="1"/>
      <c r="AV129" s="1"/>
      <c r="AW129" s="1"/>
      <c r="AX129" s="1"/>
      <c r="AY129" s="1"/>
      <c r="AZ129" s="1"/>
      <c r="BA129" s="1"/>
      <c r="BB129" s="1"/>
      <c r="BC129" s="102"/>
      <c r="BD129" s="1"/>
      <c r="BE129" s="1"/>
      <c r="BF129" s="1"/>
      <c r="BG129" s="1"/>
      <c r="BH129" s="1"/>
      <c r="BI129" s="1"/>
      <c r="BJ129" s="1"/>
      <c r="BK129" s="1"/>
      <c r="BL129" s="1"/>
      <c r="BM129" s="1"/>
      <c r="BN129" s="1"/>
      <c r="BO129" s="1"/>
      <c r="BP129" s="1"/>
      <c r="BQ129" s="1"/>
      <c r="BR129" s="1"/>
      <c r="BS129" s="1"/>
      <c r="BT129" s="1"/>
      <c r="BU129" s="1"/>
      <c r="BV129" s="1"/>
      <c r="BW129" s="1"/>
      <c r="BX129" s="1"/>
      <c r="BY129" s="136"/>
      <c r="BZ129" s="136"/>
      <c r="CA129" s="136"/>
      <c r="CB129" s="136"/>
      <c r="CC129" s="136"/>
      <c r="CD129" s="136"/>
      <c r="CE129" s="136"/>
      <c r="CF129" s="147"/>
      <c r="CG129" s="136"/>
      <c r="CH129" s="147"/>
      <c r="CI129" s="147"/>
      <c r="CJ129" s="136"/>
      <c r="CK129" s="136"/>
      <c r="CL129" s="136"/>
      <c r="CM129" s="136"/>
      <c r="CN129" s="136"/>
      <c r="CO129" s="136"/>
      <c r="CP129" s="136"/>
      <c r="CQ129" s="1"/>
      <c r="CR129" s="1"/>
      <c r="CS129" s="225"/>
      <c r="CT129" s="1"/>
      <c r="CU129" s="136"/>
      <c r="CV129" s="136"/>
      <c r="CW129" s="136"/>
      <c r="CX129" s="136"/>
      <c r="CY129" s="136"/>
      <c r="CZ129" s="136"/>
      <c r="DA129" s="136"/>
      <c r="DB129" s="136"/>
      <c r="DC129" s="136"/>
      <c r="DD129" s="136"/>
      <c r="DE129" s="210"/>
      <c r="DF129" s="210"/>
      <c r="DG129" s="255"/>
      <c r="DH129" s="136"/>
      <c r="DI129" s="1"/>
      <c r="DJ129" s="1"/>
      <c r="DK129" s="102"/>
      <c r="DL129" s="102"/>
      <c r="DM129" s="102"/>
      <c r="DN129" s="102"/>
      <c r="DO129" s="102"/>
      <c r="DP129" s="143"/>
      <c r="DQ129" s="143"/>
      <c r="DR129" s="143"/>
      <c r="DS129" s="102"/>
      <c r="DT129" s="1"/>
      <c r="DU129" s="1"/>
      <c r="DV129" s="1"/>
      <c r="DW129" s="99"/>
      <c r="DX129" s="1"/>
      <c r="EE129" s="1"/>
      <c r="EK129" s="98"/>
      <c r="EL129" s="98"/>
      <c r="EM129" s="98"/>
      <c r="EN129" s="98"/>
      <c r="EO129" s="98"/>
      <c r="EP129" s="98"/>
      <c r="EQ129" s="98"/>
      <c r="ER129" s="241"/>
    </row>
    <row r="130" spans="1:148" s="93" customFormat="1">
      <c r="A130" s="95"/>
      <c r="B130" s="95"/>
      <c r="D130" s="97"/>
      <c r="E130" s="97"/>
      <c r="F130" s="97"/>
      <c r="G130" s="219"/>
      <c r="H130" s="98"/>
      <c r="I130" s="96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92"/>
      <c r="AP130" s="92"/>
      <c r="AQ130" s="92"/>
      <c r="AR130" s="1"/>
      <c r="AS130" s="228"/>
      <c r="AT130" s="1"/>
      <c r="AU130" s="1"/>
      <c r="AV130" s="1"/>
      <c r="AW130" s="1"/>
      <c r="AX130" s="1"/>
      <c r="AY130" s="1"/>
      <c r="AZ130" s="1"/>
      <c r="BA130" s="1"/>
      <c r="BB130" s="1"/>
      <c r="BC130" s="102"/>
      <c r="BD130" s="1"/>
      <c r="BE130" s="1"/>
      <c r="BF130" s="1"/>
      <c r="BG130" s="1"/>
      <c r="BH130" s="1"/>
      <c r="BI130" s="1"/>
      <c r="BJ130" s="1"/>
      <c r="BK130" s="1"/>
      <c r="BL130" s="1"/>
      <c r="BM130" s="1"/>
      <c r="BN130" s="1"/>
      <c r="BO130" s="1"/>
      <c r="BP130" s="1"/>
      <c r="BQ130" s="1"/>
      <c r="BR130" s="1"/>
      <c r="BS130" s="1"/>
      <c r="BT130" s="1"/>
      <c r="BU130" s="1"/>
      <c r="BV130" s="1"/>
      <c r="BW130" s="1"/>
      <c r="BX130" s="1"/>
      <c r="BY130" s="136"/>
      <c r="BZ130" s="136"/>
      <c r="CA130" s="136"/>
      <c r="CB130" s="136"/>
      <c r="CC130" s="136"/>
      <c r="CD130" s="136"/>
      <c r="CE130" s="136"/>
      <c r="CF130" s="147"/>
      <c r="CG130" s="136"/>
      <c r="CH130" s="147"/>
      <c r="CI130" s="147"/>
      <c r="CJ130" s="136"/>
      <c r="CK130" s="136"/>
      <c r="CL130" s="136"/>
      <c r="CM130" s="136"/>
      <c r="CN130" s="136"/>
      <c r="CO130" s="136"/>
      <c r="CP130" s="136"/>
      <c r="CQ130" s="1"/>
      <c r="CR130" s="1"/>
      <c r="CS130" s="225"/>
      <c r="CT130" s="1"/>
      <c r="CU130" s="136"/>
      <c r="CV130" s="136"/>
      <c r="CW130" s="136"/>
      <c r="CX130" s="136"/>
      <c r="CY130" s="136"/>
      <c r="CZ130" s="136"/>
      <c r="DA130" s="136"/>
      <c r="DB130" s="136"/>
      <c r="DC130" s="136"/>
      <c r="DD130" s="136"/>
      <c r="DE130" s="210"/>
      <c r="DF130" s="210"/>
      <c r="DG130" s="255"/>
      <c r="DH130" s="136"/>
      <c r="DI130" s="1"/>
      <c r="DJ130" s="1"/>
      <c r="DK130" s="102"/>
      <c r="DL130" s="102"/>
      <c r="DM130" s="102"/>
      <c r="DN130" s="102"/>
      <c r="DO130" s="102"/>
      <c r="DP130" s="143"/>
      <c r="DQ130" s="143"/>
      <c r="DR130" s="143"/>
      <c r="DS130" s="102"/>
      <c r="DT130" s="1"/>
      <c r="DU130" s="1"/>
      <c r="DV130" s="1"/>
      <c r="DW130" s="99"/>
      <c r="DX130" s="1"/>
      <c r="EE130" s="1"/>
      <c r="EK130" s="98"/>
      <c r="EL130" s="98"/>
      <c r="EM130" s="98"/>
      <c r="EN130" s="98"/>
      <c r="EO130" s="98"/>
      <c r="EP130" s="98"/>
      <c r="EQ130" s="98"/>
      <c r="ER130" s="241"/>
    </row>
    <row r="131" spans="1:148" s="93" customFormat="1">
      <c r="A131" s="95"/>
      <c r="B131" s="95"/>
      <c r="D131" s="97"/>
      <c r="E131" s="97"/>
      <c r="F131" s="97"/>
      <c r="G131" s="219"/>
      <c r="H131" s="98"/>
      <c r="I131" s="96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92"/>
      <c r="AP131" s="92"/>
      <c r="AQ131" s="92"/>
      <c r="AR131" s="1"/>
      <c r="AS131" s="228"/>
      <c r="AT131" s="1"/>
      <c r="AU131" s="1"/>
      <c r="AV131" s="1"/>
      <c r="AW131" s="1"/>
      <c r="AX131" s="1"/>
      <c r="AY131" s="1"/>
      <c r="AZ131" s="1"/>
      <c r="BA131" s="1"/>
      <c r="BB131" s="1"/>
      <c r="BC131" s="102"/>
      <c r="BD131" s="1"/>
      <c r="BE131" s="1"/>
      <c r="BF131" s="1"/>
      <c r="BG131" s="1"/>
      <c r="BH131" s="1"/>
      <c r="BI131" s="1"/>
      <c r="BJ131" s="1"/>
      <c r="BK131" s="1"/>
      <c r="BL131" s="1"/>
      <c r="BM131" s="1"/>
      <c r="BN131" s="1"/>
      <c r="BO131" s="1"/>
      <c r="BP131" s="1"/>
      <c r="BQ131" s="1"/>
      <c r="BR131" s="1"/>
      <c r="BS131" s="1"/>
      <c r="BT131" s="1"/>
      <c r="BU131" s="1"/>
      <c r="BV131" s="1"/>
      <c r="BW131" s="1"/>
      <c r="BX131" s="1"/>
      <c r="BY131" s="136"/>
      <c r="BZ131" s="136"/>
      <c r="CA131" s="136"/>
      <c r="CB131" s="136"/>
      <c r="CC131" s="136"/>
      <c r="CD131" s="136"/>
      <c r="CE131" s="136"/>
      <c r="CF131" s="147"/>
      <c r="CG131" s="136"/>
      <c r="CH131" s="147"/>
      <c r="CI131" s="147"/>
      <c r="CJ131" s="136"/>
      <c r="CK131" s="136"/>
      <c r="CL131" s="136"/>
      <c r="CM131" s="136"/>
      <c r="CN131" s="136"/>
      <c r="CO131" s="136"/>
      <c r="CP131" s="136"/>
      <c r="CQ131" s="1"/>
      <c r="CR131" s="1"/>
      <c r="CS131" s="225"/>
      <c r="CT131" s="1"/>
      <c r="CU131" s="136"/>
      <c r="CV131" s="136"/>
      <c r="CW131" s="136"/>
      <c r="CX131" s="136"/>
      <c r="CY131" s="136"/>
      <c r="CZ131" s="136"/>
      <c r="DA131" s="136"/>
      <c r="DB131" s="136"/>
      <c r="DC131" s="136"/>
      <c r="DD131" s="136"/>
      <c r="DE131" s="210"/>
      <c r="DF131" s="210"/>
      <c r="DG131" s="255"/>
      <c r="DH131" s="136"/>
      <c r="DI131" s="1"/>
      <c r="DJ131" s="1"/>
      <c r="DK131" s="102"/>
      <c r="DL131" s="102"/>
      <c r="DM131" s="102"/>
      <c r="DN131" s="102"/>
      <c r="DO131" s="102"/>
      <c r="DP131" s="143"/>
      <c r="DQ131" s="143"/>
      <c r="DR131" s="143"/>
      <c r="DS131" s="102"/>
      <c r="DT131" s="1"/>
      <c r="DU131" s="1"/>
      <c r="DV131" s="1"/>
      <c r="DW131" s="99"/>
      <c r="DX131" s="1"/>
      <c r="EE131" s="1"/>
      <c r="EK131" s="98"/>
      <c r="EL131" s="98"/>
      <c r="EM131" s="98"/>
      <c r="EN131" s="98"/>
      <c r="EO131" s="98"/>
      <c r="EP131" s="98"/>
      <c r="EQ131" s="98"/>
      <c r="ER131" s="241"/>
    </row>
    <row r="132" spans="1:148" s="93" customFormat="1">
      <c r="A132" s="95"/>
      <c r="B132" s="95"/>
      <c r="D132" s="97"/>
      <c r="E132" s="97"/>
      <c r="F132" s="97"/>
      <c r="G132" s="219"/>
      <c r="H132" s="98"/>
      <c r="I132" s="96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92"/>
      <c r="AP132" s="92"/>
      <c r="AQ132" s="92"/>
      <c r="AR132" s="1"/>
      <c r="AS132" s="228"/>
      <c r="AT132" s="1"/>
      <c r="AU132" s="1"/>
      <c r="AV132" s="1"/>
      <c r="AW132" s="1"/>
      <c r="AX132" s="1"/>
      <c r="AY132" s="1"/>
      <c r="AZ132" s="1"/>
      <c r="BA132" s="1"/>
      <c r="BB132" s="1"/>
      <c r="BC132" s="102"/>
      <c r="BD132" s="1"/>
      <c r="BE132" s="1"/>
      <c r="BF132" s="1"/>
      <c r="BG132" s="1"/>
      <c r="BH132" s="1"/>
      <c r="BI132" s="1"/>
      <c r="BJ132" s="1"/>
      <c r="BK132" s="1"/>
      <c r="BL132" s="1"/>
      <c r="BM132" s="1"/>
      <c r="BN132" s="1"/>
      <c r="BO132" s="1"/>
      <c r="BP132" s="1"/>
      <c r="BQ132" s="1"/>
      <c r="BR132" s="1"/>
      <c r="BS132" s="1"/>
      <c r="BT132" s="1"/>
      <c r="BU132" s="1"/>
      <c r="BV132" s="1"/>
      <c r="BW132" s="1"/>
      <c r="BX132" s="1"/>
      <c r="BY132" s="136"/>
      <c r="BZ132" s="136"/>
      <c r="CA132" s="136"/>
      <c r="CB132" s="136"/>
      <c r="CC132" s="136"/>
      <c r="CD132" s="136"/>
      <c r="CE132" s="136"/>
      <c r="CF132" s="147"/>
      <c r="CG132" s="136"/>
      <c r="CH132" s="147"/>
      <c r="CI132" s="147"/>
      <c r="CJ132" s="136"/>
      <c r="CK132" s="136"/>
      <c r="CL132" s="136"/>
      <c r="CM132" s="136"/>
      <c r="CN132" s="136"/>
      <c r="CO132" s="136"/>
      <c r="CP132" s="136"/>
      <c r="CQ132" s="1"/>
      <c r="CR132" s="1"/>
      <c r="CS132" s="225"/>
      <c r="CT132" s="1"/>
      <c r="CU132" s="136"/>
      <c r="CV132" s="136"/>
      <c r="CW132" s="136"/>
      <c r="CX132" s="136"/>
      <c r="CY132" s="136"/>
      <c r="CZ132" s="136"/>
      <c r="DA132" s="136"/>
      <c r="DB132" s="136"/>
      <c r="DC132" s="136"/>
      <c r="DD132" s="136"/>
      <c r="DE132" s="210"/>
      <c r="DF132" s="210"/>
      <c r="DG132" s="255"/>
      <c r="DH132" s="136"/>
      <c r="DI132" s="1"/>
      <c r="DJ132" s="1"/>
      <c r="DK132" s="102"/>
      <c r="DL132" s="102"/>
      <c r="DM132" s="102"/>
      <c r="DN132" s="102"/>
      <c r="DO132" s="102"/>
      <c r="DP132" s="143"/>
      <c r="DQ132" s="143"/>
      <c r="DR132" s="143"/>
      <c r="DS132" s="102"/>
      <c r="DT132" s="1"/>
      <c r="DU132" s="1"/>
      <c r="DV132" s="1"/>
      <c r="DW132" s="99"/>
      <c r="DX132" s="1"/>
      <c r="EE132" s="1"/>
      <c r="EK132" s="98"/>
      <c r="EL132" s="98"/>
      <c r="EM132" s="98"/>
      <c r="EN132" s="98"/>
      <c r="EO132" s="98"/>
      <c r="EP132" s="98"/>
      <c r="EQ132" s="98"/>
      <c r="ER132" s="241"/>
    </row>
    <row r="133" spans="1:148" s="93" customFormat="1">
      <c r="A133" s="95"/>
      <c r="B133" s="95"/>
      <c r="D133" s="97"/>
      <c r="E133" s="97"/>
      <c r="F133" s="97"/>
      <c r="G133" s="219"/>
      <c r="H133" s="98"/>
      <c r="I133" s="96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92"/>
      <c r="AP133" s="92"/>
      <c r="AQ133" s="92"/>
      <c r="AR133" s="1"/>
      <c r="AS133" s="228"/>
      <c r="AT133" s="1"/>
      <c r="AU133" s="1"/>
      <c r="AV133" s="1"/>
      <c r="AW133" s="1"/>
      <c r="AX133" s="1"/>
      <c r="AY133" s="1"/>
      <c r="AZ133" s="1"/>
      <c r="BA133" s="1"/>
      <c r="BB133" s="1"/>
      <c r="BC133" s="102"/>
      <c r="BD133" s="1"/>
      <c r="BE133" s="1"/>
      <c r="BF133" s="1"/>
      <c r="BG133" s="1"/>
      <c r="BH133" s="1"/>
      <c r="BI133" s="1"/>
      <c r="BJ133" s="1"/>
      <c r="BK133" s="1"/>
      <c r="BL133" s="1"/>
      <c r="BM133" s="1"/>
      <c r="BN133" s="1"/>
      <c r="BO133" s="1"/>
      <c r="BP133" s="1"/>
      <c r="BQ133" s="1"/>
      <c r="BR133" s="1"/>
      <c r="BS133" s="1"/>
      <c r="BT133" s="1"/>
      <c r="BU133" s="1"/>
      <c r="BV133" s="1"/>
      <c r="BW133" s="1"/>
      <c r="BX133" s="1"/>
      <c r="BY133" s="136"/>
      <c r="BZ133" s="136"/>
      <c r="CA133" s="136"/>
      <c r="CB133" s="136"/>
      <c r="CC133" s="136"/>
      <c r="CD133" s="136"/>
      <c r="CE133" s="136"/>
      <c r="CF133" s="147"/>
      <c r="CG133" s="136"/>
      <c r="CH133" s="147"/>
      <c r="CI133" s="147"/>
      <c r="CJ133" s="136"/>
      <c r="CK133" s="136"/>
      <c r="CL133" s="136"/>
      <c r="CM133" s="136"/>
      <c r="CN133" s="136"/>
      <c r="CO133" s="136"/>
      <c r="CP133" s="136"/>
      <c r="CQ133" s="1"/>
      <c r="CR133" s="1"/>
      <c r="CS133" s="225"/>
      <c r="CT133" s="1"/>
      <c r="CU133" s="136"/>
      <c r="CV133" s="136"/>
      <c r="CW133" s="136"/>
      <c r="CX133" s="136"/>
      <c r="CY133" s="136"/>
      <c r="CZ133" s="136"/>
      <c r="DA133" s="136"/>
      <c r="DB133" s="136"/>
      <c r="DC133" s="136"/>
      <c r="DD133" s="136"/>
      <c r="DE133" s="210"/>
      <c r="DF133" s="210"/>
      <c r="DG133" s="255"/>
      <c r="DH133" s="136"/>
      <c r="DI133" s="1"/>
      <c r="DJ133" s="1"/>
      <c r="DK133" s="102"/>
      <c r="DL133" s="102"/>
      <c r="DM133" s="102"/>
      <c r="DN133" s="102"/>
      <c r="DO133" s="102"/>
      <c r="DP133" s="143"/>
      <c r="DQ133" s="143"/>
      <c r="DR133" s="143"/>
      <c r="DS133" s="102"/>
      <c r="DT133" s="1"/>
      <c r="DU133" s="1"/>
      <c r="DV133" s="1"/>
      <c r="DW133" s="99"/>
      <c r="DX133" s="1"/>
      <c r="EE133" s="1"/>
      <c r="EK133" s="98"/>
      <c r="EL133" s="98"/>
      <c r="EM133" s="98"/>
      <c r="EN133" s="98"/>
      <c r="EO133" s="98"/>
      <c r="EP133" s="98"/>
      <c r="EQ133" s="98"/>
      <c r="ER133" s="241"/>
    </row>
    <row r="134" spans="1:148" s="93" customFormat="1">
      <c r="A134" s="95"/>
      <c r="B134" s="95"/>
      <c r="D134" s="97"/>
      <c r="E134" s="97"/>
      <c r="F134" s="97"/>
      <c r="G134" s="219"/>
      <c r="H134" s="98"/>
      <c r="I134" s="96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92"/>
      <c r="AP134" s="92"/>
      <c r="AQ134" s="92"/>
      <c r="AR134" s="1"/>
      <c r="AS134" s="228"/>
      <c r="AT134" s="1"/>
      <c r="AU134" s="1"/>
      <c r="AV134" s="1"/>
      <c r="AW134" s="1"/>
      <c r="AX134" s="1"/>
      <c r="AY134" s="1"/>
      <c r="AZ134" s="1"/>
      <c r="BA134" s="1"/>
      <c r="BB134" s="1"/>
      <c r="BC134" s="102"/>
      <c r="BD134" s="1"/>
      <c r="BE134" s="1"/>
      <c r="BF134" s="1"/>
      <c r="BG134" s="1"/>
      <c r="BH134" s="1"/>
      <c r="BI134" s="1"/>
      <c r="BJ134" s="1"/>
      <c r="BK134" s="1"/>
      <c r="BL134" s="1"/>
      <c r="BM134" s="1"/>
      <c r="BN134" s="1"/>
      <c r="BO134" s="1"/>
      <c r="BP134" s="1"/>
      <c r="BQ134" s="1"/>
      <c r="BR134" s="1"/>
      <c r="BS134" s="1"/>
      <c r="BT134" s="1"/>
      <c r="BU134" s="1"/>
      <c r="BV134" s="1"/>
      <c r="BW134" s="1"/>
      <c r="BX134" s="1"/>
      <c r="BY134" s="136"/>
      <c r="BZ134" s="136"/>
      <c r="CA134" s="136"/>
      <c r="CB134" s="136"/>
      <c r="CC134" s="136"/>
      <c r="CD134" s="136"/>
      <c r="CE134" s="136"/>
      <c r="CF134" s="147"/>
      <c r="CG134" s="136"/>
      <c r="CH134" s="147"/>
      <c r="CI134" s="147"/>
      <c r="CJ134" s="136"/>
      <c r="CK134" s="136"/>
      <c r="CL134" s="136"/>
      <c r="CM134" s="136"/>
      <c r="CN134" s="136"/>
      <c r="CO134" s="136"/>
      <c r="CP134" s="136"/>
      <c r="CQ134" s="1"/>
      <c r="CR134" s="1"/>
      <c r="CS134" s="225"/>
      <c r="CT134" s="1"/>
      <c r="CU134" s="136"/>
      <c r="CV134" s="136"/>
      <c r="CW134" s="136"/>
      <c r="CX134" s="136"/>
      <c r="CY134" s="136"/>
      <c r="CZ134" s="136"/>
      <c r="DA134" s="136"/>
      <c r="DB134" s="136"/>
      <c r="DC134" s="136"/>
      <c r="DD134" s="136"/>
      <c r="DE134" s="210"/>
      <c r="DF134" s="210"/>
      <c r="DG134" s="255"/>
      <c r="DH134" s="136"/>
      <c r="DI134" s="1"/>
      <c r="DJ134" s="1"/>
      <c r="DK134" s="102"/>
      <c r="DL134" s="102"/>
      <c r="DM134" s="102"/>
      <c r="DN134" s="102"/>
      <c r="DO134" s="102"/>
      <c r="DP134" s="143"/>
      <c r="DQ134" s="143"/>
      <c r="DR134" s="143"/>
      <c r="DS134" s="102"/>
      <c r="DT134" s="1"/>
      <c r="DU134" s="1"/>
      <c r="DV134" s="1"/>
      <c r="DW134" s="99"/>
      <c r="DX134" s="1"/>
      <c r="EE134" s="1"/>
      <c r="EK134" s="98"/>
      <c r="EL134" s="98"/>
      <c r="EM134" s="98"/>
      <c r="EN134" s="98"/>
      <c r="EO134" s="98"/>
      <c r="EP134" s="98"/>
      <c r="EQ134" s="98"/>
      <c r="ER134" s="241"/>
    </row>
    <row r="135" spans="1:148" s="93" customFormat="1">
      <c r="A135" s="95"/>
      <c r="B135" s="95"/>
      <c r="D135" s="97"/>
      <c r="E135" s="97"/>
      <c r="F135" s="97"/>
      <c r="G135" s="219"/>
      <c r="H135" s="98"/>
      <c r="I135" s="96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92"/>
      <c r="AP135" s="92"/>
      <c r="AQ135" s="92"/>
      <c r="AR135" s="1"/>
      <c r="AS135" s="228"/>
      <c r="AT135" s="1"/>
      <c r="AU135" s="1"/>
      <c r="AV135" s="1"/>
      <c r="AW135" s="1"/>
      <c r="AX135" s="1"/>
      <c r="AY135" s="1"/>
      <c r="AZ135" s="1"/>
      <c r="BA135" s="1"/>
      <c r="BB135" s="1"/>
      <c r="BC135" s="102"/>
      <c r="BD135" s="1"/>
      <c r="BE135" s="1"/>
      <c r="BF135" s="1"/>
      <c r="BG135" s="1"/>
      <c r="BH135" s="1"/>
      <c r="BI135" s="1"/>
      <c r="BJ135" s="1"/>
      <c r="BK135" s="1"/>
      <c r="BL135" s="1"/>
      <c r="BM135" s="1"/>
      <c r="BN135" s="1"/>
      <c r="BO135" s="1"/>
      <c r="BP135" s="1"/>
      <c r="BQ135" s="1"/>
      <c r="BR135" s="1"/>
      <c r="BS135" s="1"/>
      <c r="BT135" s="1"/>
      <c r="BU135" s="1"/>
      <c r="BV135" s="1"/>
      <c r="BW135" s="1"/>
      <c r="BX135" s="1"/>
      <c r="BY135" s="136"/>
      <c r="BZ135" s="136"/>
      <c r="CA135" s="136"/>
      <c r="CB135" s="136"/>
      <c r="CC135" s="136"/>
      <c r="CD135" s="136"/>
      <c r="CE135" s="136"/>
      <c r="CF135" s="147"/>
      <c r="CG135" s="136"/>
      <c r="CH135" s="147"/>
      <c r="CI135" s="147"/>
      <c r="CJ135" s="136"/>
      <c r="CK135" s="136"/>
      <c r="CL135" s="136"/>
      <c r="CM135" s="136"/>
      <c r="CN135" s="136"/>
      <c r="CO135" s="136"/>
      <c r="CP135" s="136"/>
      <c r="CQ135" s="1"/>
      <c r="CR135" s="1"/>
      <c r="CS135" s="225"/>
      <c r="CT135" s="1"/>
      <c r="CU135" s="136"/>
      <c r="CV135" s="136"/>
      <c r="CW135" s="136"/>
      <c r="CX135" s="136"/>
      <c r="CY135" s="136"/>
      <c r="CZ135" s="136"/>
      <c r="DA135" s="136"/>
      <c r="DB135" s="136"/>
      <c r="DC135" s="136"/>
      <c r="DD135" s="136"/>
      <c r="DE135" s="210"/>
      <c r="DF135" s="210"/>
      <c r="DG135" s="255"/>
      <c r="DH135" s="136"/>
      <c r="DI135" s="1"/>
      <c r="DJ135" s="1"/>
      <c r="DK135" s="102"/>
      <c r="DL135" s="102"/>
      <c r="DM135" s="102"/>
      <c r="DN135" s="102"/>
      <c r="DO135" s="102"/>
      <c r="DP135" s="143"/>
      <c r="DQ135" s="143"/>
      <c r="DR135" s="143"/>
      <c r="DS135" s="102"/>
      <c r="DT135" s="1"/>
      <c r="DU135" s="1"/>
      <c r="DV135" s="1"/>
      <c r="DW135" s="99"/>
      <c r="DX135" s="1"/>
      <c r="EE135" s="1"/>
      <c r="EK135" s="98"/>
      <c r="EL135" s="98"/>
      <c r="EM135" s="98"/>
      <c r="EN135" s="98"/>
      <c r="EO135" s="98"/>
      <c r="EP135" s="98"/>
      <c r="EQ135" s="98"/>
      <c r="ER135" s="241"/>
    </row>
    <row r="136" spans="1:148" s="93" customFormat="1">
      <c r="A136" s="95"/>
      <c r="B136" s="95"/>
      <c r="D136" s="97"/>
      <c r="E136" s="97"/>
      <c r="F136" s="97"/>
      <c r="G136" s="219"/>
      <c r="H136" s="98"/>
      <c r="I136" s="96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92"/>
      <c r="AP136" s="92"/>
      <c r="AQ136" s="92"/>
      <c r="AR136" s="1"/>
      <c r="AS136" s="228"/>
      <c r="AT136" s="1"/>
      <c r="AU136" s="1"/>
      <c r="AV136" s="1"/>
      <c r="AW136" s="1"/>
      <c r="AX136" s="1"/>
      <c r="AY136" s="1"/>
      <c r="AZ136" s="1"/>
      <c r="BA136" s="1"/>
      <c r="BB136" s="1"/>
      <c r="BC136" s="102"/>
      <c r="BD136" s="1"/>
      <c r="BE136" s="1"/>
      <c r="BF136" s="1"/>
      <c r="BG136" s="1"/>
      <c r="BH136" s="1"/>
      <c r="BI136" s="1"/>
      <c r="BJ136" s="1"/>
      <c r="BK136" s="1"/>
      <c r="BL136" s="1"/>
      <c r="BM136" s="1"/>
      <c r="BN136" s="1"/>
      <c r="BO136" s="1"/>
      <c r="BP136" s="1"/>
      <c r="BQ136" s="1"/>
      <c r="BR136" s="1"/>
      <c r="BS136" s="1"/>
      <c r="BT136" s="1"/>
      <c r="BU136" s="1"/>
      <c r="BV136" s="1"/>
      <c r="BW136" s="1"/>
      <c r="BX136" s="1"/>
      <c r="BY136" s="136"/>
      <c r="BZ136" s="136"/>
      <c r="CA136" s="136"/>
      <c r="CB136" s="136"/>
      <c r="CC136" s="136"/>
      <c r="CD136" s="136"/>
      <c r="CE136" s="136"/>
      <c r="CF136" s="147"/>
      <c r="CG136" s="136"/>
      <c r="CH136" s="147"/>
      <c r="CI136" s="147"/>
      <c r="CJ136" s="136"/>
      <c r="CK136" s="136"/>
      <c r="CL136" s="136"/>
      <c r="CM136" s="136"/>
      <c r="CN136" s="136"/>
      <c r="CO136" s="136"/>
      <c r="CP136" s="136"/>
      <c r="CQ136" s="1"/>
      <c r="CR136" s="1"/>
      <c r="CS136" s="225"/>
      <c r="CT136" s="1"/>
      <c r="CU136" s="136"/>
      <c r="CV136" s="136"/>
      <c r="CW136" s="136"/>
      <c r="CX136" s="136"/>
      <c r="CY136" s="136"/>
      <c r="CZ136" s="136"/>
      <c r="DA136" s="136"/>
      <c r="DB136" s="136"/>
      <c r="DC136" s="136"/>
      <c r="DD136" s="136"/>
      <c r="DE136" s="210"/>
      <c r="DF136" s="210"/>
      <c r="DG136" s="255"/>
      <c r="DH136" s="136"/>
      <c r="DI136" s="1"/>
      <c r="DJ136" s="1"/>
      <c r="DK136" s="102"/>
      <c r="DL136" s="102"/>
      <c r="DM136" s="102"/>
      <c r="DN136" s="102"/>
      <c r="DO136" s="102"/>
      <c r="DP136" s="143"/>
      <c r="DQ136" s="143"/>
      <c r="DR136" s="143"/>
      <c r="DS136" s="102"/>
      <c r="DT136" s="1"/>
      <c r="DU136" s="1"/>
      <c r="DV136" s="1"/>
      <c r="DW136" s="99"/>
      <c r="DX136" s="1"/>
      <c r="EE136" s="1"/>
      <c r="EK136" s="98"/>
      <c r="EL136" s="98"/>
      <c r="EM136" s="98"/>
      <c r="EN136" s="98"/>
      <c r="EO136" s="98"/>
      <c r="EP136" s="98"/>
      <c r="EQ136" s="98"/>
      <c r="ER136" s="241"/>
    </row>
    <row r="137" spans="1:148" s="93" customFormat="1">
      <c r="A137" s="95"/>
      <c r="B137" s="95"/>
      <c r="D137" s="97"/>
      <c r="E137" s="97"/>
      <c r="F137" s="97"/>
      <c r="G137" s="219"/>
      <c r="H137" s="98"/>
      <c r="I137" s="96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92"/>
      <c r="AP137" s="92"/>
      <c r="AQ137" s="92"/>
      <c r="AR137" s="1"/>
      <c r="AS137" s="228"/>
      <c r="AT137" s="1"/>
      <c r="AU137" s="1"/>
      <c r="AV137" s="1"/>
      <c r="AW137" s="1"/>
      <c r="AX137" s="1"/>
      <c r="AY137" s="1"/>
      <c r="AZ137" s="1"/>
      <c r="BA137" s="1"/>
      <c r="BB137" s="1"/>
      <c r="BC137" s="102"/>
      <c r="BD137" s="1"/>
      <c r="BE137" s="1"/>
      <c r="BF137" s="1"/>
      <c r="BG137" s="1"/>
      <c r="BH137" s="1"/>
      <c r="BI137" s="1"/>
      <c r="BJ137" s="1"/>
      <c r="BK137" s="1"/>
      <c r="BL137" s="1"/>
      <c r="BM137" s="1"/>
      <c r="BN137" s="1"/>
      <c r="BO137" s="1"/>
      <c r="BP137" s="1"/>
      <c r="BQ137" s="1"/>
      <c r="BR137" s="1"/>
      <c r="BS137" s="1"/>
      <c r="BT137" s="1"/>
      <c r="BU137" s="1"/>
      <c r="BV137" s="1"/>
      <c r="BW137" s="1"/>
      <c r="BX137" s="1"/>
      <c r="BY137" s="136"/>
      <c r="BZ137" s="136"/>
      <c r="CA137" s="136"/>
      <c r="CB137" s="136"/>
      <c r="CC137" s="136"/>
      <c r="CD137" s="136"/>
      <c r="CE137" s="136"/>
      <c r="CF137" s="147"/>
      <c r="CG137" s="136"/>
      <c r="CH137" s="147"/>
      <c r="CI137" s="147"/>
      <c r="CJ137" s="136"/>
      <c r="CK137" s="136"/>
      <c r="CL137" s="136"/>
      <c r="CM137" s="136"/>
      <c r="CN137" s="136"/>
      <c r="CO137" s="136"/>
      <c r="CP137" s="136"/>
      <c r="CQ137" s="1"/>
      <c r="CR137" s="1"/>
      <c r="CS137" s="225"/>
      <c r="CT137" s="1"/>
      <c r="CU137" s="136"/>
      <c r="CV137" s="136"/>
      <c r="CW137" s="136"/>
      <c r="CX137" s="136"/>
      <c r="CY137" s="136"/>
      <c r="CZ137" s="136"/>
      <c r="DA137" s="136"/>
      <c r="DB137" s="136"/>
      <c r="DC137" s="136"/>
      <c r="DD137" s="136"/>
      <c r="DE137" s="210"/>
      <c r="DF137" s="210"/>
      <c r="DG137" s="255"/>
      <c r="DH137" s="136"/>
      <c r="DI137" s="1"/>
      <c r="DJ137" s="1"/>
      <c r="DK137" s="102"/>
      <c r="DL137" s="102"/>
      <c r="DM137" s="102"/>
      <c r="DN137" s="102"/>
      <c r="DO137" s="102"/>
      <c r="DP137" s="143"/>
      <c r="DQ137" s="143"/>
      <c r="DR137" s="143"/>
      <c r="DS137" s="102"/>
      <c r="DT137" s="1"/>
      <c r="DU137" s="1"/>
      <c r="DV137" s="1"/>
      <c r="DW137" s="99"/>
      <c r="DX137" s="1"/>
      <c r="EE137" s="1"/>
      <c r="EK137" s="98"/>
      <c r="EL137" s="98"/>
      <c r="EM137" s="98"/>
      <c r="EN137" s="98"/>
      <c r="EO137" s="98"/>
      <c r="EP137" s="98"/>
      <c r="EQ137" s="98"/>
      <c r="ER137" s="241"/>
    </row>
    <row r="138" spans="1:148" s="93" customFormat="1">
      <c r="A138" s="95"/>
      <c r="B138" s="95"/>
      <c r="D138" s="97"/>
      <c r="E138" s="97"/>
      <c r="F138" s="97"/>
      <c r="G138" s="219"/>
      <c r="H138" s="98"/>
      <c r="I138" s="96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92"/>
      <c r="AP138" s="92"/>
      <c r="AQ138" s="92"/>
      <c r="AR138" s="1"/>
      <c r="AS138" s="228"/>
      <c r="AT138" s="1"/>
      <c r="AU138" s="1"/>
      <c r="AV138" s="1"/>
      <c r="AW138" s="1"/>
      <c r="AX138" s="1"/>
      <c r="AY138" s="1"/>
      <c r="AZ138" s="1"/>
      <c r="BA138" s="1"/>
      <c r="BB138" s="1"/>
      <c r="BC138" s="102"/>
      <c r="BD138" s="1"/>
      <c r="BE138" s="1"/>
      <c r="BF138" s="1"/>
      <c r="BG138" s="1"/>
      <c r="BH138" s="1"/>
      <c r="BI138" s="1"/>
      <c r="BJ138" s="1"/>
      <c r="BK138" s="1"/>
      <c r="BL138" s="1"/>
      <c r="BM138" s="1"/>
      <c r="BN138" s="1"/>
      <c r="BO138" s="1"/>
      <c r="BP138" s="1"/>
      <c r="BQ138" s="1"/>
      <c r="BR138" s="1"/>
      <c r="BS138" s="1"/>
      <c r="BT138" s="1"/>
      <c r="BU138" s="1"/>
      <c r="BV138" s="1"/>
      <c r="BW138" s="1"/>
      <c r="BX138" s="1"/>
      <c r="BY138" s="136"/>
      <c r="BZ138" s="136"/>
      <c r="CA138" s="136"/>
      <c r="CB138" s="136"/>
      <c r="CC138" s="136"/>
      <c r="CD138" s="136"/>
      <c r="CE138" s="136"/>
      <c r="CF138" s="147"/>
      <c r="CG138" s="136"/>
      <c r="CH138" s="147"/>
      <c r="CI138" s="147"/>
      <c r="CJ138" s="136"/>
      <c r="CK138" s="136"/>
      <c r="CL138" s="136"/>
      <c r="CM138" s="136"/>
      <c r="CN138" s="136"/>
      <c r="CO138" s="136"/>
      <c r="CP138" s="136"/>
      <c r="CQ138" s="1"/>
      <c r="CR138" s="1"/>
      <c r="CS138" s="225"/>
      <c r="CT138" s="1"/>
      <c r="CU138" s="136"/>
      <c r="CV138" s="136"/>
      <c r="CW138" s="136"/>
      <c r="CX138" s="136"/>
      <c r="CY138" s="136"/>
      <c r="CZ138" s="136"/>
      <c r="DA138" s="136"/>
      <c r="DB138" s="136"/>
      <c r="DC138" s="136"/>
      <c r="DD138" s="136"/>
      <c r="DE138" s="210"/>
      <c r="DF138" s="210"/>
      <c r="DG138" s="255"/>
      <c r="DH138" s="136"/>
      <c r="DI138" s="1"/>
      <c r="DJ138" s="1"/>
      <c r="DK138" s="102"/>
      <c r="DL138" s="102"/>
      <c r="DM138" s="102"/>
      <c r="DN138" s="102"/>
      <c r="DO138" s="102"/>
      <c r="DP138" s="143"/>
      <c r="DQ138" s="143"/>
      <c r="DR138" s="143"/>
      <c r="DS138" s="102"/>
      <c r="DT138" s="1"/>
      <c r="DU138" s="1"/>
      <c r="DV138" s="1"/>
      <c r="DW138" s="99"/>
      <c r="DX138" s="1"/>
      <c r="EE138" s="1"/>
      <c r="EK138" s="98"/>
      <c r="EL138" s="98"/>
      <c r="EM138" s="98"/>
      <c r="EN138" s="98"/>
      <c r="EO138" s="98"/>
      <c r="EP138" s="98"/>
      <c r="EQ138" s="98"/>
      <c r="ER138" s="241"/>
    </row>
    <row r="139" spans="1:148" s="93" customFormat="1">
      <c r="A139" s="95"/>
      <c r="B139" s="95"/>
      <c r="D139" s="97"/>
      <c r="E139" s="97"/>
      <c r="F139" s="97"/>
      <c r="G139" s="219"/>
      <c r="H139" s="98"/>
      <c r="I139" s="96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92"/>
      <c r="AP139" s="92"/>
      <c r="AQ139" s="92"/>
      <c r="AR139" s="1"/>
      <c r="AS139" s="228"/>
      <c r="AT139" s="1"/>
      <c r="AU139" s="1"/>
      <c r="AV139" s="1"/>
      <c r="AW139" s="1"/>
      <c r="AX139" s="1"/>
      <c r="AY139" s="1"/>
      <c r="AZ139" s="1"/>
      <c r="BA139" s="1"/>
      <c r="BB139" s="1"/>
      <c r="BC139" s="102"/>
      <c r="BD139" s="1"/>
      <c r="BE139" s="1"/>
      <c r="BF139" s="1"/>
      <c r="BG139" s="1"/>
      <c r="BH139" s="1"/>
      <c r="BI139" s="1"/>
      <c r="BJ139" s="1"/>
      <c r="BK139" s="1"/>
      <c r="BL139" s="1"/>
      <c r="BM139" s="1"/>
      <c r="BN139" s="1"/>
      <c r="BO139" s="1"/>
      <c r="BP139" s="1"/>
      <c r="BQ139" s="1"/>
      <c r="BR139" s="1"/>
      <c r="BS139" s="1"/>
      <c r="BT139" s="1"/>
      <c r="BU139" s="1"/>
      <c r="BV139" s="1"/>
      <c r="BW139" s="1"/>
      <c r="BX139" s="1"/>
      <c r="BY139" s="136"/>
      <c r="BZ139" s="136"/>
      <c r="CA139" s="136"/>
      <c r="CB139" s="136"/>
      <c r="CC139" s="136"/>
      <c r="CD139" s="136"/>
      <c r="CE139" s="136"/>
      <c r="CF139" s="147"/>
      <c r="CG139" s="136"/>
      <c r="CH139" s="147"/>
      <c r="CI139" s="147"/>
      <c r="CJ139" s="136"/>
      <c r="CK139" s="136"/>
      <c r="CL139" s="136"/>
      <c r="CM139" s="136"/>
      <c r="CN139" s="136"/>
      <c r="CO139" s="136"/>
      <c r="CP139" s="136"/>
      <c r="CQ139" s="1"/>
      <c r="CR139" s="1"/>
      <c r="CS139" s="225"/>
      <c r="CT139" s="1"/>
      <c r="CU139" s="136"/>
      <c r="CV139" s="136"/>
      <c r="CW139" s="136"/>
      <c r="CX139" s="136"/>
      <c r="CY139" s="136"/>
      <c r="CZ139" s="136"/>
      <c r="DA139" s="136"/>
      <c r="DB139" s="136"/>
      <c r="DC139" s="136"/>
      <c r="DD139" s="136"/>
      <c r="DE139" s="210"/>
      <c r="DF139" s="210"/>
      <c r="DG139" s="255"/>
      <c r="DH139" s="136"/>
      <c r="DI139" s="1"/>
      <c r="DJ139" s="1"/>
      <c r="DK139" s="102"/>
      <c r="DL139" s="102"/>
      <c r="DM139" s="102"/>
      <c r="DN139" s="102"/>
      <c r="DO139" s="102"/>
      <c r="DP139" s="143"/>
      <c r="DQ139" s="143"/>
      <c r="DR139" s="143"/>
      <c r="DS139" s="102"/>
      <c r="DT139" s="1"/>
      <c r="DU139" s="1"/>
      <c r="DV139" s="1"/>
      <c r="DW139" s="99"/>
      <c r="DX139" s="1"/>
      <c r="EE139" s="1"/>
      <c r="EK139" s="98"/>
      <c r="EL139" s="98"/>
      <c r="EM139" s="98"/>
      <c r="EN139" s="98"/>
      <c r="EO139" s="98"/>
      <c r="EP139" s="98"/>
      <c r="EQ139" s="98"/>
      <c r="ER139" s="241"/>
    </row>
    <row r="140" spans="1:148" s="93" customFormat="1">
      <c r="A140" s="95"/>
      <c r="B140" s="95"/>
      <c r="D140" s="97"/>
      <c r="E140" s="97"/>
      <c r="F140" s="97"/>
      <c r="G140" s="219"/>
      <c r="H140" s="98"/>
      <c r="I140" s="96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92"/>
      <c r="AP140" s="92"/>
      <c r="AQ140" s="92"/>
      <c r="AR140" s="1"/>
      <c r="AS140" s="228"/>
      <c r="AT140" s="1"/>
      <c r="AU140" s="1"/>
      <c r="AV140" s="1"/>
      <c r="AW140" s="1"/>
      <c r="AX140" s="1"/>
      <c r="AY140" s="1"/>
      <c r="AZ140" s="1"/>
      <c r="BA140" s="1"/>
      <c r="BB140" s="1"/>
      <c r="BC140" s="102"/>
      <c r="BD140" s="1"/>
      <c r="BE140" s="1"/>
      <c r="BF140" s="1"/>
      <c r="BG140" s="1"/>
      <c r="BH140" s="1"/>
      <c r="BI140" s="1"/>
      <c r="BJ140" s="1"/>
      <c r="BK140" s="1"/>
      <c r="BL140" s="1"/>
      <c r="BM140" s="1"/>
      <c r="BN140" s="1"/>
      <c r="BO140" s="1"/>
      <c r="BP140" s="1"/>
      <c r="BQ140" s="1"/>
      <c r="BR140" s="1"/>
      <c r="BS140" s="1"/>
      <c r="BT140" s="1"/>
      <c r="BU140" s="1"/>
      <c r="BV140" s="1"/>
      <c r="BW140" s="1"/>
      <c r="BX140" s="1"/>
      <c r="BY140" s="136"/>
      <c r="BZ140" s="136"/>
      <c r="CA140" s="136"/>
      <c r="CB140" s="136"/>
      <c r="CC140" s="136"/>
      <c r="CD140" s="136"/>
      <c r="CE140" s="136"/>
      <c r="CF140" s="147"/>
      <c r="CG140" s="136"/>
      <c r="CH140" s="147"/>
      <c r="CI140" s="147"/>
      <c r="CJ140" s="136"/>
      <c r="CK140" s="136"/>
      <c r="CL140" s="136"/>
      <c r="CM140" s="136"/>
      <c r="CN140" s="136"/>
      <c r="CO140" s="136"/>
      <c r="CP140" s="136"/>
      <c r="CQ140" s="1"/>
      <c r="CR140" s="1"/>
      <c r="CS140" s="225"/>
      <c r="CT140" s="1"/>
      <c r="CU140" s="136"/>
      <c r="CV140" s="136"/>
      <c r="CW140" s="136"/>
      <c r="CX140" s="136"/>
      <c r="CY140" s="136"/>
      <c r="CZ140" s="136"/>
      <c r="DA140" s="136"/>
      <c r="DB140" s="136"/>
      <c r="DC140" s="136"/>
      <c r="DD140" s="136"/>
      <c r="DE140" s="210"/>
      <c r="DF140" s="210"/>
      <c r="DG140" s="255"/>
      <c r="DH140" s="136"/>
      <c r="DI140" s="1"/>
      <c r="DJ140" s="1"/>
      <c r="DK140" s="102"/>
      <c r="DL140" s="102"/>
      <c r="DM140" s="102"/>
      <c r="DN140" s="102"/>
      <c r="DO140" s="102"/>
      <c r="DP140" s="143"/>
      <c r="DQ140" s="143"/>
      <c r="DR140" s="143"/>
      <c r="DS140" s="102"/>
      <c r="DT140" s="1"/>
      <c r="DU140" s="1"/>
      <c r="DV140" s="1"/>
      <c r="DW140" s="99"/>
      <c r="DX140" s="1"/>
      <c r="EE140" s="1"/>
      <c r="EK140" s="98"/>
      <c r="EL140" s="98"/>
      <c r="EM140" s="98"/>
      <c r="EN140" s="98"/>
      <c r="EO140" s="98"/>
      <c r="EP140" s="98"/>
      <c r="EQ140" s="98"/>
      <c r="ER140" s="241"/>
    </row>
    <row r="141" spans="1:148" s="93" customFormat="1">
      <c r="A141" s="95"/>
      <c r="B141" s="95"/>
      <c r="D141" s="97"/>
      <c r="E141" s="97"/>
      <c r="F141" s="97"/>
      <c r="G141" s="219"/>
      <c r="H141" s="98"/>
      <c r="I141" s="96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92"/>
      <c r="AP141" s="92"/>
      <c r="AQ141" s="92"/>
      <c r="AR141" s="1"/>
      <c r="AS141" s="228"/>
      <c r="AT141" s="1"/>
      <c r="AU141" s="1"/>
      <c r="AV141" s="1"/>
      <c r="AW141" s="1"/>
      <c r="AX141" s="1"/>
      <c r="AY141" s="1"/>
      <c r="AZ141" s="1"/>
      <c r="BA141" s="1"/>
      <c r="BB141" s="1"/>
      <c r="BC141" s="102"/>
      <c r="BD141" s="1"/>
      <c r="BE141" s="1"/>
      <c r="BF141" s="1"/>
      <c r="BG141" s="1"/>
      <c r="BH141" s="1"/>
      <c r="BI141" s="1"/>
      <c r="BJ141" s="1"/>
      <c r="BK141" s="1"/>
      <c r="BL141" s="1"/>
      <c r="BM141" s="1"/>
      <c r="BN141" s="1"/>
      <c r="BO141" s="1"/>
      <c r="BP141" s="1"/>
      <c r="BQ141" s="1"/>
      <c r="BR141" s="1"/>
      <c r="BS141" s="1"/>
      <c r="BT141" s="1"/>
      <c r="BU141" s="1"/>
      <c r="BV141" s="1"/>
      <c r="BW141" s="1"/>
      <c r="BX141" s="1"/>
      <c r="BY141" s="136"/>
      <c r="BZ141" s="136"/>
      <c r="CA141" s="136"/>
      <c r="CB141" s="136"/>
      <c r="CC141" s="136"/>
      <c r="CD141" s="136"/>
      <c r="CE141" s="136"/>
      <c r="CF141" s="147"/>
      <c r="CG141" s="136"/>
      <c r="CH141" s="147"/>
      <c r="CI141" s="147"/>
      <c r="CJ141" s="136"/>
      <c r="CK141" s="136"/>
      <c r="CL141" s="136"/>
      <c r="CM141" s="136"/>
      <c r="CN141" s="136"/>
      <c r="CO141" s="136"/>
      <c r="CP141" s="136"/>
      <c r="CQ141" s="1"/>
      <c r="CR141" s="1"/>
      <c r="CS141" s="225"/>
      <c r="CT141" s="1"/>
      <c r="CU141" s="136"/>
      <c r="CV141" s="136"/>
      <c r="CW141" s="136"/>
      <c r="CX141" s="136"/>
      <c r="CY141" s="136"/>
      <c r="CZ141" s="136"/>
      <c r="DA141" s="136"/>
      <c r="DB141" s="136"/>
      <c r="DC141" s="136"/>
      <c r="DD141" s="136"/>
      <c r="DE141" s="210"/>
      <c r="DF141" s="210"/>
      <c r="DG141" s="255"/>
      <c r="DH141" s="136"/>
      <c r="DI141" s="1"/>
      <c r="DJ141" s="1"/>
      <c r="DK141" s="102"/>
      <c r="DL141" s="102"/>
      <c r="DM141" s="102"/>
      <c r="DN141" s="102"/>
      <c r="DO141" s="102"/>
      <c r="DP141" s="143"/>
      <c r="DQ141" s="143"/>
      <c r="DR141" s="143"/>
      <c r="DS141" s="102"/>
      <c r="DT141" s="1"/>
      <c r="DU141" s="1"/>
      <c r="DV141" s="1"/>
      <c r="DW141" s="99"/>
      <c r="DX141" s="1"/>
      <c r="EE141" s="1"/>
      <c r="EK141" s="98"/>
      <c r="EL141" s="98"/>
      <c r="EM141" s="98"/>
      <c r="EN141" s="98"/>
      <c r="EO141" s="98"/>
      <c r="EP141" s="98"/>
      <c r="EQ141" s="98"/>
      <c r="ER141" s="241"/>
    </row>
    <row r="142" spans="1:148" s="93" customFormat="1">
      <c r="A142" s="95"/>
      <c r="B142" s="95"/>
      <c r="D142" s="97"/>
      <c r="E142" s="97"/>
      <c r="F142" s="97"/>
      <c r="G142" s="219"/>
      <c r="H142" s="98"/>
      <c r="I142" s="96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92"/>
      <c r="AP142" s="92"/>
      <c r="AQ142" s="92"/>
      <c r="AR142" s="1"/>
      <c r="AS142" s="228"/>
      <c r="AT142" s="1"/>
      <c r="AU142" s="1"/>
      <c r="AV142" s="1"/>
      <c r="AW142" s="1"/>
      <c r="AX142" s="1"/>
      <c r="AY142" s="1"/>
      <c r="AZ142" s="1"/>
      <c r="BA142" s="1"/>
      <c r="BB142" s="1"/>
      <c r="BC142" s="102"/>
      <c r="BD142" s="1"/>
      <c r="BE142" s="1"/>
      <c r="BF142" s="1"/>
      <c r="BG142" s="1"/>
      <c r="BH142" s="1"/>
      <c r="BI142" s="1"/>
      <c r="BJ142" s="1"/>
      <c r="BK142" s="1"/>
      <c r="BL142" s="1"/>
      <c r="BM142" s="1"/>
      <c r="BN142" s="1"/>
      <c r="BO142" s="1"/>
      <c r="BP142" s="1"/>
      <c r="BQ142" s="1"/>
      <c r="BR142" s="1"/>
      <c r="BS142" s="1"/>
      <c r="BT142" s="1"/>
      <c r="BU142" s="1"/>
      <c r="BV142" s="1"/>
      <c r="BW142" s="1"/>
      <c r="BX142" s="1"/>
      <c r="BY142" s="136"/>
      <c r="BZ142" s="136"/>
      <c r="CA142" s="136"/>
      <c r="CB142" s="136"/>
      <c r="CC142" s="136"/>
      <c r="CD142" s="136"/>
      <c r="CE142" s="136"/>
      <c r="CF142" s="147"/>
      <c r="CG142" s="136"/>
      <c r="CH142" s="147"/>
      <c r="CI142" s="147"/>
      <c r="CJ142" s="136"/>
      <c r="CK142" s="136"/>
      <c r="CL142" s="136"/>
      <c r="CM142" s="136"/>
      <c r="CN142" s="136"/>
      <c r="CO142" s="136"/>
      <c r="CP142" s="136"/>
      <c r="CQ142" s="1"/>
      <c r="CR142" s="1"/>
      <c r="CS142" s="225"/>
      <c r="CT142" s="1"/>
      <c r="CU142" s="136"/>
      <c r="CV142" s="136"/>
      <c r="CW142" s="136"/>
      <c r="CX142" s="136"/>
      <c r="CY142" s="136"/>
      <c r="CZ142" s="136"/>
      <c r="DA142" s="136"/>
      <c r="DB142" s="136"/>
      <c r="DC142" s="136"/>
      <c r="DD142" s="136"/>
      <c r="DE142" s="210"/>
      <c r="DF142" s="210"/>
      <c r="DG142" s="255"/>
      <c r="DH142" s="136"/>
      <c r="DI142" s="1"/>
      <c r="DJ142" s="1"/>
      <c r="DK142" s="102"/>
      <c r="DL142" s="102"/>
      <c r="DM142" s="102"/>
      <c r="DN142" s="102"/>
      <c r="DO142" s="102"/>
      <c r="DP142" s="143"/>
      <c r="DQ142" s="143"/>
      <c r="DR142" s="143"/>
      <c r="DS142" s="102"/>
      <c r="DT142" s="1"/>
      <c r="DU142" s="1"/>
      <c r="DV142" s="1"/>
      <c r="DW142" s="99"/>
      <c r="DX142" s="1"/>
      <c r="EE142" s="1"/>
      <c r="EK142" s="98"/>
      <c r="EL142" s="98"/>
      <c r="EM142" s="98"/>
      <c r="EN142" s="98"/>
      <c r="EO142" s="98"/>
      <c r="EP142" s="98"/>
      <c r="EQ142" s="98"/>
      <c r="ER142" s="241"/>
    </row>
    <row r="143" spans="1:148" s="93" customFormat="1">
      <c r="A143" s="95"/>
      <c r="B143" s="95"/>
      <c r="D143" s="97"/>
      <c r="E143" s="97"/>
      <c r="F143" s="97"/>
      <c r="G143" s="219"/>
      <c r="H143" s="98"/>
      <c r="I143" s="96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92"/>
      <c r="AP143" s="92"/>
      <c r="AQ143" s="92"/>
      <c r="AR143" s="1"/>
      <c r="AS143" s="228"/>
      <c r="AT143" s="1"/>
      <c r="AU143" s="1"/>
      <c r="AV143" s="1"/>
      <c r="AW143" s="1"/>
      <c r="AX143" s="1"/>
      <c r="AY143" s="1"/>
      <c r="AZ143" s="1"/>
      <c r="BA143" s="1"/>
      <c r="BB143" s="1"/>
      <c r="BC143" s="102"/>
      <c r="BD143" s="1"/>
      <c r="BE143" s="1"/>
      <c r="BF143" s="1"/>
      <c r="BG143" s="1"/>
      <c r="BH143" s="1"/>
      <c r="BI143" s="1"/>
      <c r="BJ143" s="1"/>
      <c r="BK143" s="1"/>
      <c r="BL143" s="1"/>
      <c r="BM143" s="1"/>
      <c r="BN143" s="1"/>
      <c r="BO143" s="1"/>
      <c r="BP143" s="1"/>
      <c r="BQ143" s="1"/>
      <c r="BR143" s="1"/>
      <c r="BS143" s="1"/>
      <c r="BT143" s="1"/>
      <c r="BU143" s="1"/>
      <c r="BV143" s="1"/>
      <c r="BW143" s="1"/>
      <c r="BX143" s="1"/>
      <c r="BY143" s="136"/>
      <c r="BZ143" s="136"/>
      <c r="CA143" s="136"/>
      <c r="CB143" s="136"/>
      <c r="CC143" s="136"/>
      <c r="CD143" s="136"/>
      <c r="CE143" s="136"/>
      <c r="CF143" s="147"/>
      <c r="CG143" s="136"/>
      <c r="CH143" s="147"/>
      <c r="CI143" s="147"/>
      <c r="CJ143" s="136"/>
      <c r="CK143" s="136"/>
      <c r="CL143" s="136"/>
      <c r="CM143" s="136"/>
      <c r="CN143" s="136"/>
      <c r="CO143" s="136"/>
      <c r="CP143" s="136"/>
      <c r="CQ143" s="1"/>
      <c r="CR143" s="1"/>
      <c r="CS143" s="225"/>
      <c r="CT143" s="1"/>
      <c r="CU143" s="136"/>
      <c r="CV143" s="136"/>
      <c r="CW143" s="136"/>
      <c r="CX143" s="136"/>
      <c r="CY143" s="136"/>
      <c r="CZ143" s="136"/>
      <c r="DA143" s="136"/>
      <c r="DB143" s="136"/>
      <c r="DC143" s="136"/>
      <c r="DD143" s="136"/>
      <c r="DE143" s="210"/>
      <c r="DF143" s="210"/>
      <c r="DG143" s="255"/>
      <c r="DH143" s="136"/>
      <c r="DI143" s="1"/>
      <c r="DJ143" s="1"/>
      <c r="DK143" s="102"/>
      <c r="DL143" s="102"/>
      <c r="DM143" s="102"/>
      <c r="DN143" s="102"/>
      <c r="DO143" s="102"/>
      <c r="DP143" s="143"/>
      <c r="DQ143" s="143"/>
      <c r="DR143" s="143"/>
      <c r="DS143" s="102"/>
      <c r="DT143" s="1"/>
      <c r="DU143" s="1"/>
      <c r="DV143" s="1"/>
      <c r="DW143" s="99"/>
      <c r="DX143" s="1"/>
      <c r="EE143" s="1"/>
      <c r="EK143" s="98"/>
      <c r="EL143" s="98"/>
      <c r="EM143" s="98"/>
      <c r="EN143" s="98"/>
      <c r="EO143" s="98"/>
      <c r="EP143" s="98"/>
      <c r="EQ143" s="98"/>
      <c r="ER143" s="241"/>
    </row>
    <row r="144" spans="1:148" s="93" customFormat="1">
      <c r="A144" s="95"/>
      <c r="B144" s="95"/>
      <c r="D144" s="97"/>
      <c r="E144" s="97"/>
      <c r="F144" s="97"/>
      <c r="G144" s="219"/>
      <c r="H144" s="98"/>
      <c r="I144" s="96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92"/>
      <c r="AP144" s="92"/>
      <c r="AQ144" s="92"/>
      <c r="AR144" s="1"/>
      <c r="AS144" s="228"/>
      <c r="AT144" s="1"/>
      <c r="AU144" s="1"/>
      <c r="AV144" s="1"/>
      <c r="AW144" s="1"/>
      <c r="AX144" s="1"/>
      <c r="AY144" s="1"/>
      <c r="AZ144" s="1"/>
      <c r="BA144" s="1"/>
      <c r="BB144" s="1"/>
      <c r="BC144" s="102"/>
      <c r="BD144" s="1"/>
      <c r="BE144" s="1"/>
      <c r="BF144" s="1"/>
      <c r="BG144" s="1"/>
      <c r="BH144" s="1"/>
      <c r="BI144" s="1"/>
      <c r="BJ144" s="1"/>
      <c r="BK144" s="1"/>
      <c r="BL144" s="1"/>
      <c r="BM144" s="1"/>
      <c r="BN144" s="1"/>
      <c r="BO144" s="1"/>
      <c r="BP144" s="1"/>
      <c r="BQ144" s="1"/>
      <c r="BR144" s="1"/>
      <c r="BS144" s="1"/>
      <c r="BT144" s="1"/>
      <c r="BU144" s="1"/>
      <c r="BV144" s="1"/>
      <c r="BW144" s="1"/>
      <c r="BX144" s="1"/>
      <c r="BY144" s="136"/>
      <c r="BZ144" s="136"/>
      <c r="CA144" s="136"/>
      <c r="CB144" s="136"/>
      <c r="CC144" s="136"/>
      <c r="CD144" s="136"/>
      <c r="CE144" s="136"/>
      <c r="CF144" s="147"/>
      <c r="CG144" s="136"/>
      <c r="CH144" s="147"/>
      <c r="CI144" s="147"/>
      <c r="CJ144" s="136"/>
      <c r="CK144" s="136"/>
      <c r="CL144" s="136"/>
      <c r="CM144" s="136"/>
      <c r="CN144" s="136"/>
      <c r="CO144" s="136"/>
      <c r="CP144" s="136"/>
      <c r="CQ144" s="1"/>
      <c r="CR144" s="1"/>
      <c r="CS144" s="225"/>
      <c r="CT144" s="1"/>
      <c r="CU144" s="136"/>
      <c r="CV144" s="136"/>
      <c r="CW144" s="136"/>
      <c r="CX144" s="136"/>
      <c r="CY144" s="136"/>
      <c r="CZ144" s="136"/>
      <c r="DA144" s="136"/>
      <c r="DB144" s="136"/>
      <c r="DC144" s="136"/>
      <c r="DD144" s="136"/>
      <c r="DE144" s="210"/>
      <c r="DF144" s="210"/>
      <c r="DG144" s="255"/>
      <c r="DH144" s="136"/>
      <c r="DI144" s="1"/>
      <c r="DJ144" s="1"/>
      <c r="DK144" s="102"/>
      <c r="DL144" s="102"/>
      <c r="DM144" s="102"/>
      <c r="DN144" s="102"/>
      <c r="DO144" s="102"/>
      <c r="DP144" s="143"/>
      <c r="DQ144" s="143"/>
      <c r="DR144" s="143"/>
      <c r="DS144" s="102"/>
      <c r="DT144" s="1"/>
      <c r="DU144" s="1"/>
      <c r="DV144" s="1"/>
      <c r="DW144" s="99"/>
      <c r="DX144" s="1"/>
      <c r="EE144" s="1"/>
      <c r="EK144" s="98"/>
      <c r="EL144" s="98"/>
      <c r="EM144" s="98"/>
      <c r="EN144" s="98"/>
      <c r="EO144" s="98"/>
      <c r="EP144" s="98"/>
      <c r="EQ144" s="98"/>
      <c r="ER144" s="241"/>
    </row>
    <row r="145" spans="1:148" s="93" customFormat="1">
      <c r="A145" s="95"/>
      <c r="B145" s="95"/>
      <c r="D145" s="97"/>
      <c r="E145" s="97"/>
      <c r="F145" s="97"/>
      <c r="G145" s="219"/>
      <c r="H145" s="98"/>
      <c r="I145" s="96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92"/>
      <c r="AP145" s="92"/>
      <c r="AQ145" s="92"/>
      <c r="AR145" s="1"/>
      <c r="AS145" s="228"/>
      <c r="AT145" s="1"/>
      <c r="AU145" s="1"/>
      <c r="AV145" s="1"/>
      <c r="AW145" s="1"/>
      <c r="AX145" s="1"/>
      <c r="AY145" s="1"/>
      <c r="AZ145" s="1"/>
      <c r="BA145" s="1"/>
      <c r="BB145" s="1"/>
      <c r="BC145" s="102"/>
      <c r="BD145" s="1"/>
      <c r="BE145" s="1"/>
      <c r="BF145" s="1"/>
      <c r="BG145" s="1"/>
      <c r="BH145" s="1"/>
      <c r="BI145" s="1"/>
      <c r="BJ145" s="1"/>
      <c r="BK145" s="1"/>
      <c r="BL145" s="1"/>
      <c r="BM145" s="1"/>
      <c r="BN145" s="1"/>
      <c r="BO145" s="1"/>
      <c r="BP145" s="1"/>
      <c r="BQ145" s="1"/>
      <c r="BR145" s="1"/>
      <c r="BS145" s="1"/>
      <c r="BT145" s="1"/>
      <c r="BU145" s="1"/>
      <c r="BV145" s="1"/>
      <c r="BW145" s="1"/>
      <c r="BX145" s="1"/>
      <c r="BY145" s="136"/>
      <c r="BZ145" s="136"/>
      <c r="CA145" s="136"/>
      <c r="CB145" s="136"/>
      <c r="CC145" s="136"/>
      <c r="CD145" s="136"/>
      <c r="CE145" s="136"/>
      <c r="CF145" s="147"/>
      <c r="CG145" s="136"/>
      <c r="CH145" s="147"/>
      <c r="CI145" s="147"/>
      <c r="CJ145" s="136"/>
      <c r="CK145" s="136"/>
      <c r="CL145" s="136"/>
      <c r="CM145" s="136"/>
      <c r="CN145" s="136"/>
      <c r="CO145" s="136"/>
      <c r="CP145" s="136"/>
      <c r="CQ145" s="1"/>
      <c r="CR145" s="1"/>
      <c r="CS145" s="225"/>
      <c r="CT145" s="1"/>
      <c r="CU145" s="136"/>
      <c r="CV145" s="136"/>
      <c r="CW145" s="136"/>
      <c r="CX145" s="136"/>
      <c r="CY145" s="136"/>
      <c r="CZ145" s="136"/>
      <c r="DA145" s="136"/>
      <c r="DB145" s="136"/>
      <c r="DC145" s="136"/>
      <c r="DD145" s="136"/>
      <c r="DE145" s="210"/>
      <c r="DF145" s="210"/>
      <c r="DG145" s="255"/>
      <c r="DH145" s="136"/>
      <c r="DI145" s="1"/>
      <c r="DJ145" s="1"/>
      <c r="DK145" s="102"/>
      <c r="DL145" s="102"/>
      <c r="DM145" s="102"/>
      <c r="DN145" s="102"/>
      <c r="DO145" s="102"/>
      <c r="DP145" s="143"/>
      <c r="DQ145" s="143"/>
      <c r="DR145" s="143"/>
      <c r="DS145" s="102"/>
      <c r="DT145" s="1"/>
      <c r="DU145" s="1"/>
      <c r="DV145" s="1"/>
      <c r="DW145" s="99"/>
      <c r="DX145" s="1"/>
      <c r="EE145" s="1"/>
      <c r="EK145" s="98"/>
      <c r="EL145" s="98"/>
      <c r="EM145" s="98"/>
      <c r="EN145" s="98"/>
      <c r="EO145" s="98"/>
      <c r="EP145" s="98"/>
      <c r="EQ145" s="98"/>
      <c r="ER145" s="241"/>
    </row>
    <row r="146" spans="1:148" s="93" customFormat="1">
      <c r="A146" s="95"/>
      <c r="B146" s="95"/>
      <c r="D146" s="97"/>
      <c r="E146" s="97"/>
      <c r="F146" s="97"/>
      <c r="G146" s="219"/>
      <c r="H146" s="98"/>
      <c r="I146" s="96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92"/>
      <c r="AP146" s="92"/>
      <c r="AQ146" s="92"/>
      <c r="AR146" s="1"/>
      <c r="AS146" s="228"/>
      <c r="AT146" s="1"/>
      <c r="AU146" s="1"/>
      <c r="AV146" s="1"/>
      <c r="AW146" s="1"/>
      <c r="AX146" s="1"/>
      <c r="AY146" s="1"/>
      <c r="AZ146" s="1"/>
      <c r="BA146" s="1"/>
      <c r="BB146" s="1"/>
      <c r="BC146" s="102"/>
      <c r="BD146" s="1"/>
      <c r="BE146" s="1"/>
      <c r="BF146" s="1"/>
      <c r="BG146" s="1"/>
      <c r="BH146" s="1"/>
      <c r="BI146" s="1"/>
      <c r="BJ146" s="1"/>
      <c r="BK146" s="1"/>
      <c r="BL146" s="1"/>
      <c r="BM146" s="1"/>
      <c r="BN146" s="1"/>
      <c r="BO146" s="1"/>
      <c r="BP146" s="1"/>
      <c r="BQ146" s="1"/>
      <c r="BR146" s="1"/>
      <c r="BS146" s="1"/>
      <c r="BT146" s="1"/>
      <c r="BU146" s="1"/>
      <c r="BV146" s="1"/>
      <c r="BW146" s="1"/>
      <c r="BX146" s="1"/>
      <c r="BY146" s="136"/>
      <c r="BZ146" s="136"/>
      <c r="CA146" s="136"/>
      <c r="CB146" s="136"/>
      <c r="CC146" s="136"/>
      <c r="CD146" s="136"/>
      <c r="CE146" s="136"/>
      <c r="CF146" s="147"/>
      <c r="CG146" s="136"/>
      <c r="CH146" s="147"/>
      <c r="CI146" s="147"/>
      <c r="CJ146" s="136"/>
      <c r="CK146" s="136"/>
      <c r="CL146" s="136"/>
      <c r="CM146" s="136"/>
      <c r="CN146" s="136"/>
      <c r="CO146" s="136"/>
      <c r="CP146" s="136"/>
      <c r="CQ146" s="1"/>
      <c r="CR146" s="1"/>
      <c r="CS146" s="225"/>
      <c r="CT146" s="1"/>
      <c r="CU146" s="136"/>
      <c r="CV146" s="136"/>
      <c r="CW146" s="136"/>
      <c r="CX146" s="136"/>
      <c r="CY146" s="136"/>
      <c r="CZ146" s="136"/>
      <c r="DA146" s="136"/>
      <c r="DB146" s="136"/>
      <c r="DC146" s="136"/>
      <c r="DD146" s="136"/>
      <c r="DE146" s="210"/>
      <c r="DF146" s="210"/>
      <c r="DG146" s="255"/>
      <c r="DH146" s="136"/>
      <c r="DI146" s="1"/>
      <c r="DJ146" s="1"/>
      <c r="DK146" s="102"/>
      <c r="DL146" s="102"/>
      <c r="DM146" s="102"/>
      <c r="DN146" s="102"/>
      <c r="DO146" s="102"/>
      <c r="DP146" s="143"/>
      <c r="DQ146" s="143"/>
      <c r="DR146" s="143"/>
      <c r="DS146" s="102"/>
      <c r="DT146" s="1"/>
      <c r="DU146" s="1"/>
      <c r="DV146" s="1"/>
      <c r="DW146" s="99"/>
      <c r="DX146" s="1"/>
      <c r="EE146" s="1"/>
      <c r="EK146" s="98"/>
      <c r="EL146" s="98"/>
      <c r="EM146" s="98"/>
      <c r="EN146" s="98"/>
      <c r="EO146" s="98"/>
      <c r="EP146" s="98"/>
      <c r="EQ146" s="98"/>
      <c r="ER146" s="241"/>
    </row>
    <row r="147" spans="1:148" s="93" customFormat="1">
      <c r="A147" s="95"/>
      <c r="B147" s="95"/>
      <c r="D147" s="97"/>
      <c r="E147" s="97"/>
      <c r="F147" s="97"/>
      <c r="G147" s="219"/>
      <c r="H147" s="98"/>
      <c r="I147" s="96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92"/>
      <c r="AP147" s="92"/>
      <c r="AQ147" s="92"/>
      <c r="AR147" s="1"/>
      <c r="AS147" s="228"/>
      <c r="AT147" s="1"/>
      <c r="AU147" s="1"/>
      <c r="AV147" s="1"/>
      <c r="AW147" s="1"/>
      <c r="AX147" s="1"/>
      <c r="AY147" s="1"/>
      <c r="AZ147" s="1"/>
      <c r="BA147" s="1"/>
      <c r="BB147" s="1"/>
      <c r="BC147" s="102"/>
      <c r="BD147" s="1"/>
      <c r="BE147" s="1"/>
      <c r="BF147" s="1"/>
      <c r="BG147" s="1"/>
      <c r="BH147" s="1"/>
      <c r="BI147" s="1"/>
      <c r="BJ147" s="1"/>
      <c r="BK147" s="1"/>
      <c r="BL147" s="1"/>
      <c r="BM147" s="1"/>
      <c r="BN147" s="1"/>
      <c r="BO147" s="1"/>
      <c r="BP147" s="1"/>
      <c r="BQ147" s="1"/>
      <c r="BR147" s="1"/>
      <c r="BS147" s="1"/>
      <c r="BT147" s="1"/>
      <c r="BU147" s="1"/>
      <c r="BV147" s="1"/>
      <c r="BW147" s="1"/>
      <c r="BX147" s="1"/>
      <c r="BY147" s="136"/>
      <c r="BZ147" s="136"/>
      <c r="CA147" s="136"/>
      <c r="CB147" s="136"/>
      <c r="CC147" s="136"/>
      <c r="CD147" s="136"/>
      <c r="CE147" s="136"/>
      <c r="CF147" s="147"/>
      <c r="CG147" s="136"/>
      <c r="CH147" s="147"/>
      <c r="CI147" s="147"/>
      <c r="CJ147" s="136"/>
      <c r="CK147" s="136"/>
      <c r="CL147" s="136"/>
      <c r="CM147" s="136"/>
      <c r="CN147" s="136"/>
      <c r="CO147" s="136"/>
      <c r="CP147" s="136"/>
      <c r="CQ147" s="1"/>
      <c r="CR147" s="1"/>
      <c r="CS147" s="225"/>
      <c r="CT147" s="1"/>
      <c r="CU147" s="136"/>
      <c r="CV147" s="136"/>
      <c r="CW147" s="136"/>
      <c r="CX147" s="136"/>
      <c r="CY147" s="136"/>
      <c r="CZ147" s="136"/>
      <c r="DA147" s="136"/>
      <c r="DB147" s="136"/>
      <c r="DC147" s="136"/>
      <c r="DD147" s="136"/>
      <c r="DE147" s="210"/>
      <c r="DF147" s="210"/>
      <c r="DG147" s="255"/>
      <c r="DH147" s="136"/>
      <c r="DI147" s="1"/>
      <c r="DJ147" s="1"/>
      <c r="DK147" s="102"/>
      <c r="DL147" s="102"/>
      <c r="DM147" s="102"/>
      <c r="DN147" s="102"/>
      <c r="DO147" s="102"/>
      <c r="DP147" s="143"/>
      <c r="DQ147" s="143"/>
      <c r="DR147" s="143"/>
      <c r="DS147" s="102"/>
      <c r="DT147" s="1"/>
      <c r="DU147" s="1"/>
      <c r="DV147" s="1"/>
      <c r="DW147" s="99"/>
      <c r="DX147" s="1"/>
      <c r="EE147" s="1"/>
      <c r="EK147" s="98"/>
      <c r="EL147" s="98"/>
      <c r="EM147" s="98"/>
      <c r="EN147" s="98"/>
      <c r="EO147" s="98"/>
      <c r="EP147" s="98"/>
      <c r="EQ147" s="98"/>
      <c r="ER147" s="241"/>
    </row>
    <row r="148" spans="1:148" s="93" customFormat="1">
      <c r="A148" s="95"/>
      <c r="B148" s="95"/>
      <c r="D148" s="97"/>
      <c r="E148" s="97"/>
      <c r="F148" s="97"/>
      <c r="G148" s="219"/>
      <c r="H148" s="98"/>
      <c r="I148" s="96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92"/>
      <c r="AP148" s="92"/>
      <c r="AQ148" s="92"/>
      <c r="AR148" s="1"/>
      <c r="AS148" s="228"/>
      <c r="AT148" s="1"/>
      <c r="AU148" s="1"/>
      <c r="AV148" s="1"/>
      <c r="AW148" s="1"/>
      <c r="AX148" s="1"/>
      <c r="AY148" s="1"/>
      <c r="AZ148" s="1"/>
      <c r="BA148" s="1"/>
      <c r="BB148" s="1"/>
      <c r="BC148" s="102"/>
      <c r="BD148" s="1"/>
      <c r="BE148" s="1"/>
      <c r="BF148" s="1"/>
      <c r="BG148" s="1"/>
      <c r="BH148" s="1"/>
      <c r="BI148" s="1"/>
      <c r="BJ148" s="1"/>
      <c r="BK148" s="1"/>
      <c r="BL148" s="1"/>
      <c r="BM148" s="1"/>
      <c r="BN148" s="1"/>
      <c r="BO148" s="1"/>
      <c r="BP148" s="1"/>
      <c r="BQ148" s="1"/>
      <c r="BR148" s="1"/>
      <c r="BS148" s="1"/>
      <c r="BT148" s="1"/>
      <c r="BU148" s="1"/>
      <c r="BV148" s="1"/>
      <c r="BW148" s="1"/>
      <c r="BX148" s="1"/>
      <c r="BY148" s="136"/>
      <c r="BZ148" s="136"/>
      <c r="CA148" s="136"/>
      <c r="CB148" s="136"/>
      <c r="CC148" s="136"/>
      <c r="CD148" s="136"/>
      <c r="CE148" s="136"/>
      <c r="CF148" s="147"/>
      <c r="CG148" s="136"/>
      <c r="CH148" s="147"/>
      <c r="CI148" s="147"/>
      <c r="CJ148" s="136"/>
      <c r="CK148" s="136"/>
      <c r="CL148" s="136"/>
      <c r="CM148" s="136"/>
      <c r="CN148" s="136"/>
      <c r="CO148" s="136"/>
      <c r="CP148" s="136"/>
      <c r="CQ148" s="1"/>
      <c r="CR148" s="1"/>
      <c r="CS148" s="225"/>
      <c r="CT148" s="1"/>
      <c r="CU148" s="136"/>
      <c r="CV148" s="136"/>
      <c r="CW148" s="136"/>
      <c r="CX148" s="136"/>
      <c r="CY148" s="136"/>
      <c r="CZ148" s="136"/>
      <c r="DA148" s="136"/>
      <c r="DB148" s="136"/>
      <c r="DC148" s="136"/>
      <c r="DD148" s="136"/>
      <c r="DE148" s="210"/>
      <c r="DF148" s="210"/>
      <c r="DG148" s="255"/>
      <c r="DH148" s="136"/>
      <c r="DI148" s="1"/>
      <c r="DJ148" s="1"/>
      <c r="DK148" s="102"/>
      <c r="DL148" s="102"/>
      <c r="DM148" s="102"/>
      <c r="DN148" s="102"/>
      <c r="DO148" s="102"/>
      <c r="DP148" s="143"/>
      <c r="DQ148" s="143"/>
      <c r="DR148" s="143"/>
      <c r="DS148" s="102"/>
      <c r="DT148" s="1"/>
      <c r="DU148" s="1"/>
      <c r="DV148" s="1"/>
      <c r="DW148" s="99"/>
      <c r="DX148" s="1"/>
      <c r="EE148" s="1"/>
      <c r="EK148" s="98"/>
      <c r="EL148" s="98"/>
      <c r="EM148" s="98"/>
      <c r="EN148" s="98"/>
      <c r="EO148" s="98"/>
      <c r="EP148" s="98"/>
      <c r="EQ148" s="98"/>
      <c r="ER148" s="241"/>
    </row>
    <row r="149" spans="1:148" s="93" customFormat="1">
      <c r="A149" s="95"/>
      <c r="B149" s="95"/>
      <c r="D149" s="97"/>
      <c r="E149" s="97"/>
      <c r="F149" s="97"/>
      <c r="G149" s="219"/>
      <c r="H149" s="98"/>
      <c r="I149" s="96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92"/>
      <c r="AP149" s="92"/>
      <c r="AQ149" s="92"/>
      <c r="AR149" s="1"/>
      <c r="AS149" s="228"/>
      <c r="AT149" s="1"/>
      <c r="AU149" s="1"/>
      <c r="AV149" s="1"/>
      <c r="AW149" s="1"/>
      <c r="AX149" s="1"/>
      <c r="AY149" s="1"/>
      <c r="AZ149" s="1"/>
      <c r="BA149" s="1"/>
      <c r="BB149" s="1"/>
      <c r="BC149" s="102"/>
      <c r="BD149" s="1"/>
      <c r="BE149" s="1"/>
      <c r="BF149" s="1"/>
      <c r="BG149" s="1"/>
      <c r="BH149" s="1"/>
      <c r="BI149" s="1"/>
      <c r="BJ149" s="1"/>
      <c r="BK149" s="1"/>
      <c r="BL149" s="1"/>
      <c r="BM149" s="1"/>
      <c r="BN149" s="1"/>
      <c r="BO149" s="1"/>
      <c r="BP149" s="1"/>
      <c r="BQ149" s="1"/>
      <c r="BR149" s="1"/>
      <c r="BS149" s="1"/>
      <c r="BT149" s="1"/>
      <c r="BU149" s="1"/>
      <c r="BV149" s="1"/>
      <c r="BW149" s="1"/>
      <c r="BX149" s="1"/>
      <c r="BY149" s="136"/>
      <c r="BZ149" s="136"/>
      <c r="CA149" s="136"/>
      <c r="CB149" s="136"/>
      <c r="CC149" s="136"/>
      <c r="CD149" s="136"/>
      <c r="CE149" s="136"/>
      <c r="CF149" s="147"/>
      <c r="CG149" s="136"/>
      <c r="CH149" s="147"/>
      <c r="CI149" s="147"/>
      <c r="CJ149" s="136"/>
      <c r="CK149" s="136"/>
      <c r="CL149" s="136"/>
      <c r="CM149" s="136"/>
      <c r="CN149" s="136"/>
      <c r="CO149" s="136"/>
      <c r="CP149" s="136"/>
      <c r="CQ149" s="1"/>
      <c r="CR149" s="1"/>
      <c r="CS149" s="225"/>
      <c r="CT149" s="1"/>
      <c r="CU149" s="136"/>
      <c r="CV149" s="136"/>
      <c r="CW149" s="136"/>
      <c r="CX149" s="136"/>
      <c r="CY149" s="136"/>
      <c r="CZ149" s="136"/>
      <c r="DA149" s="136"/>
      <c r="DB149" s="136"/>
      <c r="DC149" s="136"/>
      <c r="DD149" s="136"/>
      <c r="DE149" s="210"/>
      <c r="DF149" s="210"/>
      <c r="DG149" s="255"/>
      <c r="DH149" s="136"/>
      <c r="DI149" s="1"/>
      <c r="DJ149" s="1"/>
      <c r="DK149" s="102"/>
      <c r="DL149" s="102"/>
      <c r="DM149" s="102"/>
      <c r="DN149" s="102"/>
      <c r="DO149" s="102"/>
      <c r="DP149" s="143"/>
      <c r="DQ149" s="143"/>
      <c r="DR149" s="143"/>
      <c r="DS149" s="102"/>
      <c r="DT149" s="1"/>
      <c r="DU149" s="1"/>
      <c r="DV149" s="1"/>
      <c r="DW149" s="99"/>
      <c r="DX149" s="1"/>
      <c r="EE149" s="1"/>
      <c r="EK149" s="98"/>
      <c r="EL149" s="98"/>
      <c r="EM149" s="98"/>
      <c r="EN149" s="98"/>
      <c r="EO149" s="98"/>
      <c r="EP149" s="98"/>
      <c r="EQ149" s="98"/>
      <c r="ER149" s="241"/>
    </row>
    <row r="150" spans="1:148" s="93" customFormat="1">
      <c r="A150" s="95"/>
      <c r="B150" s="95"/>
      <c r="D150" s="97"/>
      <c r="E150" s="97"/>
      <c r="F150" s="97"/>
      <c r="G150" s="219"/>
      <c r="H150" s="98"/>
      <c r="I150" s="96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92"/>
      <c r="AP150" s="92"/>
      <c r="AQ150" s="92"/>
      <c r="AR150" s="1"/>
      <c r="AS150" s="228"/>
      <c r="AT150" s="1"/>
      <c r="AU150" s="1"/>
      <c r="AV150" s="1"/>
      <c r="AW150" s="1"/>
      <c r="AX150" s="1"/>
      <c r="AY150" s="1"/>
      <c r="AZ150" s="1"/>
      <c r="BA150" s="1"/>
      <c r="BB150" s="1"/>
      <c r="BC150" s="102"/>
      <c r="BD150" s="1"/>
      <c r="BE150" s="1"/>
      <c r="BF150" s="1"/>
      <c r="BG150" s="1"/>
      <c r="BH150" s="1"/>
      <c r="BI150" s="1"/>
      <c r="BJ150" s="1"/>
      <c r="BK150" s="1"/>
      <c r="BL150" s="1"/>
      <c r="BM150" s="1"/>
      <c r="BN150" s="1"/>
      <c r="BO150" s="1"/>
      <c r="BP150" s="1"/>
      <c r="BQ150" s="1"/>
      <c r="BR150" s="1"/>
      <c r="BS150" s="1"/>
      <c r="BT150" s="1"/>
      <c r="BU150" s="1"/>
      <c r="BV150" s="1"/>
      <c r="BW150" s="1"/>
      <c r="BX150" s="1"/>
      <c r="BY150" s="136"/>
      <c r="BZ150" s="136"/>
      <c r="CA150" s="136"/>
      <c r="CB150" s="136"/>
      <c r="CC150" s="136"/>
      <c r="CD150" s="136"/>
      <c r="CE150" s="136"/>
      <c r="CF150" s="147"/>
      <c r="CG150" s="136"/>
      <c r="CH150" s="147"/>
      <c r="CI150" s="147"/>
      <c r="CJ150" s="136"/>
      <c r="CK150" s="136"/>
      <c r="CL150" s="136"/>
      <c r="CM150" s="136"/>
      <c r="CN150" s="136"/>
      <c r="CO150" s="136"/>
      <c r="CP150" s="136"/>
      <c r="CQ150" s="1"/>
      <c r="CR150" s="1"/>
      <c r="CS150" s="225"/>
      <c r="CT150" s="1"/>
      <c r="CU150" s="136"/>
      <c r="CV150" s="136"/>
      <c r="CW150" s="136"/>
      <c r="CX150" s="136"/>
      <c r="CY150" s="136"/>
      <c r="CZ150" s="136"/>
      <c r="DA150" s="136"/>
      <c r="DB150" s="136"/>
      <c r="DC150" s="136"/>
      <c r="DD150" s="136"/>
      <c r="DE150" s="210"/>
      <c r="DF150" s="210"/>
      <c r="DG150" s="255"/>
      <c r="DH150" s="136"/>
      <c r="DI150" s="1"/>
      <c r="DJ150" s="1"/>
      <c r="DK150" s="102"/>
      <c r="DL150" s="102"/>
      <c r="DM150" s="102"/>
      <c r="DN150" s="102"/>
      <c r="DO150" s="102"/>
      <c r="DP150" s="143"/>
      <c r="DQ150" s="143"/>
      <c r="DR150" s="143"/>
      <c r="DS150" s="102"/>
      <c r="DT150" s="1"/>
      <c r="DU150" s="1"/>
      <c r="DV150" s="1"/>
      <c r="DW150" s="99"/>
      <c r="DX150" s="1"/>
      <c r="EE150" s="1"/>
      <c r="EK150" s="98"/>
      <c r="EL150" s="98"/>
      <c r="EM150" s="98"/>
      <c r="EN150" s="98"/>
      <c r="EO150" s="98"/>
      <c r="EP150" s="98"/>
      <c r="EQ150" s="98"/>
      <c r="ER150" s="241"/>
    </row>
    <row r="151" spans="1:148" s="93" customFormat="1">
      <c r="A151" s="95"/>
      <c r="B151" s="95"/>
      <c r="D151" s="97"/>
      <c r="E151" s="97"/>
      <c r="F151" s="97"/>
      <c r="G151" s="219"/>
      <c r="H151" s="98"/>
      <c r="I151" s="96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92"/>
      <c r="AP151" s="92"/>
      <c r="AQ151" s="92"/>
      <c r="AR151" s="1"/>
      <c r="AS151" s="228"/>
      <c r="AT151" s="1"/>
      <c r="AU151" s="1"/>
      <c r="AV151" s="1"/>
      <c r="AW151" s="1"/>
      <c r="AX151" s="1"/>
      <c r="AY151" s="1"/>
      <c r="AZ151" s="1"/>
      <c r="BA151" s="1"/>
      <c r="BB151" s="1"/>
      <c r="BC151" s="102"/>
      <c r="BD151" s="1"/>
      <c r="BE151" s="1"/>
      <c r="BF151" s="1"/>
      <c r="BG151" s="1"/>
      <c r="BH151" s="1"/>
      <c r="BI151" s="1"/>
      <c r="BJ151" s="1"/>
      <c r="BK151" s="1"/>
      <c r="BL151" s="1"/>
      <c r="BM151" s="1"/>
      <c r="BN151" s="1"/>
      <c r="BO151" s="1"/>
      <c r="BP151" s="1"/>
      <c r="BQ151" s="1"/>
      <c r="BR151" s="1"/>
      <c r="BS151" s="1"/>
      <c r="BT151" s="1"/>
      <c r="BU151" s="1"/>
      <c r="BV151" s="1"/>
      <c r="BW151" s="1"/>
      <c r="BX151" s="1"/>
      <c r="BY151" s="136"/>
      <c r="BZ151" s="136"/>
      <c r="CA151" s="136"/>
      <c r="CB151" s="136"/>
      <c r="CC151" s="136"/>
      <c r="CD151" s="136"/>
      <c r="CE151" s="136"/>
      <c r="CF151" s="147"/>
      <c r="CG151" s="136"/>
      <c r="CH151" s="147"/>
      <c r="CI151" s="147"/>
      <c r="CJ151" s="136"/>
      <c r="CK151" s="136"/>
      <c r="CL151" s="136"/>
      <c r="CM151" s="136"/>
      <c r="CN151" s="136"/>
      <c r="CO151" s="136"/>
      <c r="CP151" s="136"/>
      <c r="CQ151" s="1"/>
      <c r="CR151" s="1"/>
      <c r="CS151" s="225"/>
      <c r="CT151" s="1"/>
      <c r="CU151" s="136"/>
      <c r="CV151" s="136"/>
      <c r="CW151" s="136"/>
      <c r="CX151" s="136"/>
      <c r="CY151" s="136"/>
      <c r="CZ151" s="136"/>
      <c r="DA151" s="136"/>
      <c r="DB151" s="136"/>
      <c r="DC151" s="136"/>
      <c r="DD151" s="136"/>
      <c r="DE151" s="210"/>
      <c r="DF151" s="210"/>
      <c r="DG151" s="255"/>
      <c r="DH151" s="136"/>
      <c r="DI151" s="1"/>
      <c r="DJ151" s="1"/>
      <c r="DK151" s="102"/>
      <c r="DL151" s="102"/>
      <c r="DM151" s="102"/>
      <c r="DN151" s="102"/>
      <c r="DO151" s="102"/>
      <c r="DP151" s="143"/>
      <c r="DQ151" s="143"/>
      <c r="DR151" s="143"/>
      <c r="DS151" s="102"/>
      <c r="DT151" s="1"/>
      <c r="DU151" s="1"/>
      <c r="DV151" s="1"/>
      <c r="DW151" s="99"/>
      <c r="DX151" s="1"/>
      <c r="EE151" s="1"/>
      <c r="EK151" s="98"/>
      <c r="EL151" s="98"/>
      <c r="EM151" s="98"/>
      <c r="EN151" s="98"/>
      <c r="EO151" s="98"/>
      <c r="EP151" s="98"/>
      <c r="EQ151" s="98"/>
      <c r="ER151" s="241"/>
    </row>
    <row r="152" spans="1:148" s="93" customFormat="1">
      <c r="A152" s="95"/>
      <c r="B152" s="95"/>
      <c r="D152" s="97"/>
      <c r="E152" s="97"/>
      <c r="F152" s="97"/>
      <c r="G152" s="219"/>
      <c r="H152" s="98"/>
      <c r="I152" s="96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92"/>
      <c r="AP152" s="92"/>
      <c r="AQ152" s="92"/>
      <c r="AR152" s="1"/>
      <c r="AS152" s="228"/>
      <c r="AT152" s="1"/>
      <c r="AU152" s="1"/>
      <c r="AV152" s="1"/>
      <c r="AW152" s="1"/>
      <c r="AX152" s="1"/>
      <c r="AY152" s="1"/>
      <c r="AZ152" s="1"/>
      <c r="BA152" s="1"/>
      <c r="BB152" s="1"/>
      <c r="BC152" s="102"/>
      <c r="BD152" s="1"/>
      <c r="BE152" s="1"/>
      <c r="BF152" s="1"/>
      <c r="BG152" s="1"/>
      <c r="BH152" s="1"/>
      <c r="BI152" s="1"/>
      <c r="BJ152" s="1"/>
      <c r="BK152" s="1"/>
      <c r="BL152" s="1"/>
      <c r="BM152" s="1"/>
      <c r="BN152" s="1"/>
      <c r="BO152" s="1"/>
      <c r="BP152" s="1"/>
      <c r="BQ152" s="1"/>
      <c r="BR152" s="1"/>
      <c r="BS152" s="1"/>
      <c r="BT152" s="1"/>
      <c r="BU152" s="1"/>
      <c r="BV152" s="1"/>
      <c r="BW152" s="1"/>
      <c r="BX152" s="1"/>
      <c r="BY152" s="136"/>
      <c r="BZ152" s="136"/>
      <c r="CA152" s="136"/>
      <c r="CB152" s="136"/>
      <c r="CC152" s="136"/>
      <c r="CD152" s="136"/>
      <c r="CE152" s="136"/>
      <c r="CF152" s="147"/>
      <c r="CG152" s="136"/>
      <c r="CH152" s="147"/>
      <c r="CI152" s="147"/>
      <c r="CJ152" s="136"/>
      <c r="CK152" s="136"/>
      <c r="CL152" s="136"/>
      <c r="CM152" s="136"/>
      <c r="CN152" s="136"/>
      <c r="CO152" s="136"/>
      <c r="CP152" s="136"/>
      <c r="CQ152" s="1"/>
      <c r="CR152" s="1"/>
      <c r="CS152" s="225"/>
      <c r="CT152" s="1"/>
      <c r="CU152" s="136"/>
      <c r="CV152" s="136"/>
      <c r="CW152" s="136"/>
      <c r="CX152" s="136"/>
      <c r="CY152" s="136"/>
      <c r="CZ152" s="136"/>
      <c r="DA152" s="136"/>
      <c r="DB152" s="136"/>
      <c r="DC152" s="136"/>
      <c r="DD152" s="136"/>
      <c r="DE152" s="210"/>
      <c r="DF152" s="210"/>
      <c r="DG152" s="255"/>
      <c r="DH152" s="136"/>
      <c r="DI152" s="1"/>
      <c r="DJ152" s="1"/>
      <c r="DK152" s="102"/>
      <c r="DL152" s="102"/>
      <c r="DM152" s="102"/>
      <c r="DN152" s="102"/>
      <c r="DO152" s="102"/>
      <c r="DP152" s="143"/>
      <c r="DQ152" s="143"/>
      <c r="DR152" s="143"/>
      <c r="DS152" s="102"/>
      <c r="DT152" s="1"/>
      <c r="DU152" s="1"/>
      <c r="DV152" s="1"/>
      <c r="DW152" s="99"/>
      <c r="DX152" s="1"/>
      <c r="EE152" s="1"/>
      <c r="EK152" s="98"/>
      <c r="EL152" s="98"/>
      <c r="EM152" s="98"/>
      <c r="EN152" s="98"/>
      <c r="EO152" s="98"/>
      <c r="EP152" s="98"/>
      <c r="EQ152" s="98"/>
      <c r="ER152" s="241"/>
    </row>
    <row r="153" spans="1:148" s="93" customFormat="1">
      <c r="A153" s="95"/>
      <c r="B153" s="95"/>
      <c r="D153" s="97"/>
      <c r="E153" s="97"/>
      <c r="F153" s="97"/>
      <c r="G153" s="219"/>
      <c r="H153" s="98"/>
      <c r="I153" s="96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92"/>
      <c r="AP153" s="92"/>
      <c r="AQ153" s="92"/>
      <c r="AR153" s="1"/>
      <c r="AS153" s="228"/>
      <c r="AT153" s="1"/>
      <c r="AU153" s="1"/>
      <c r="AV153" s="1"/>
      <c r="AW153" s="1"/>
      <c r="AX153" s="1"/>
      <c r="AY153" s="1"/>
      <c r="AZ153" s="1"/>
      <c r="BA153" s="1"/>
      <c r="BB153" s="1"/>
      <c r="BC153" s="102"/>
      <c r="BD153" s="1"/>
      <c r="BE153" s="1"/>
      <c r="BF153" s="1"/>
      <c r="BG153" s="1"/>
      <c r="BH153" s="1"/>
      <c r="BI153" s="1"/>
      <c r="BJ153" s="1"/>
      <c r="BK153" s="1"/>
      <c r="BL153" s="1"/>
      <c r="BM153" s="1"/>
      <c r="BN153" s="1"/>
      <c r="BO153" s="1"/>
      <c r="BP153" s="1"/>
      <c r="BQ153" s="1"/>
      <c r="BR153" s="1"/>
      <c r="BS153" s="1"/>
      <c r="BT153" s="1"/>
      <c r="BU153" s="1"/>
      <c r="BV153" s="1"/>
      <c r="BW153" s="1"/>
      <c r="BX153" s="1"/>
      <c r="BY153" s="136"/>
      <c r="BZ153" s="136"/>
      <c r="CA153" s="136"/>
      <c r="CB153" s="136"/>
      <c r="CC153" s="136"/>
      <c r="CD153" s="136"/>
      <c r="CE153" s="136"/>
      <c r="CF153" s="147"/>
      <c r="CG153" s="136"/>
      <c r="CH153" s="147"/>
      <c r="CI153" s="147"/>
      <c r="CJ153" s="136"/>
      <c r="CK153" s="136"/>
      <c r="CL153" s="136"/>
      <c r="CM153" s="136"/>
      <c r="CN153" s="136"/>
      <c r="CO153" s="136"/>
      <c r="CP153" s="136"/>
      <c r="CQ153" s="1"/>
      <c r="CR153" s="1"/>
      <c r="CS153" s="225"/>
      <c r="CT153" s="1"/>
      <c r="CU153" s="136"/>
      <c r="CV153" s="136"/>
      <c r="CW153" s="136"/>
      <c r="CX153" s="136"/>
      <c r="CY153" s="136"/>
      <c r="CZ153" s="136"/>
      <c r="DA153" s="136"/>
      <c r="DB153" s="136"/>
      <c r="DC153" s="136"/>
      <c r="DD153" s="136"/>
      <c r="DE153" s="210"/>
      <c r="DF153" s="210"/>
      <c r="DG153" s="255"/>
      <c r="DH153" s="136"/>
      <c r="DI153" s="1"/>
      <c r="DJ153" s="1"/>
      <c r="DK153" s="102"/>
      <c r="DL153" s="102"/>
      <c r="DM153" s="102"/>
      <c r="DN153" s="102"/>
      <c r="DO153" s="102"/>
      <c r="DP153" s="143"/>
      <c r="DQ153" s="143"/>
      <c r="DR153" s="143"/>
      <c r="DS153" s="102"/>
      <c r="DT153" s="1"/>
      <c r="DU153" s="1"/>
      <c r="DV153" s="1"/>
      <c r="DW153" s="99"/>
      <c r="DX153" s="1"/>
      <c r="EE153" s="1"/>
      <c r="EK153" s="98"/>
      <c r="EL153" s="98"/>
      <c r="EM153" s="98"/>
      <c r="EN153" s="98"/>
      <c r="EO153" s="98"/>
      <c r="EP153" s="98"/>
      <c r="EQ153" s="98"/>
      <c r="ER153" s="241"/>
    </row>
    <row r="154" spans="1:148" s="93" customFormat="1">
      <c r="A154" s="95"/>
      <c r="B154" s="95"/>
      <c r="D154" s="97"/>
      <c r="E154" s="97"/>
      <c r="F154" s="97"/>
      <c r="G154" s="219"/>
      <c r="H154" s="98"/>
      <c r="I154" s="96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92"/>
      <c r="AP154" s="92"/>
      <c r="AQ154" s="92"/>
      <c r="AR154" s="1"/>
      <c r="AS154" s="228"/>
      <c r="AT154" s="1"/>
      <c r="AU154" s="1"/>
      <c r="AV154" s="1"/>
      <c r="AW154" s="1"/>
      <c r="AX154" s="1"/>
      <c r="AY154" s="1"/>
      <c r="AZ154" s="1"/>
      <c r="BA154" s="1"/>
      <c r="BB154" s="1"/>
      <c r="BC154" s="102"/>
      <c r="BD154" s="1"/>
      <c r="BE154" s="1"/>
      <c r="BF154" s="1"/>
      <c r="BG154" s="1"/>
      <c r="BH154" s="1"/>
      <c r="BI154" s="1"/>
      <c r="BJ154" s="1"/>
      <c r="BK154" s="1"/>
      <c r="BL154" s="1"/>
      <c r="BM154" s="1"/>
      <c r="BN154" s="1"/>
      <c r="BO154" s="1"/>
      <c r="BP154" s="1"/>
      <c r="BQ154" s="1"/>
      <c r="BR154" s="1"/>
      <c r="BS154" s="1"/>
      <c r="BT154" s="1"/>
      <c r="BU154" s="1"/>
      <c r="BV154" s="1"/>
      <c r="BW154" s="1"/>
      <c r="BX154" s="1"/>
      <c r="BY154" s="136"/>
      <c r="BZ154" s="136"/>
      <c r="CA154" s="136"/>
      <c r="CB154" s="136"/>
      <c r="CC154" s="136"/>
      <c r="CD154" s="136"/>
      <c r="CE154" s="136"/>
      <c r="CF154" s="147"/>
      <c r="CG154" s="136"/>
      <c r="CH154" s="147"/>
      <c r="CI154" s="147"/>
      <c r="CJ154" s="136"/>
      <c r="CK154" s="136"/>
      <c r="CL154" s="136"/>
      <c r="CM154" s="136"/>
      <c r="CN154" s="136"/>
      <c r="CO154" s="136"/>
      <c r="CP154" s="136"/>
      <c r="CQ154" s="1"/>
      <c r="CR154" s="1"/>
      <c r="CS154" s="225"/>
      <c r="CT154" s="1"/>
      <c r="CU154" s="136"/>
      <c r="CV154" s="136"/>
      <c r="CW154" s="136"/>
      <c r="CX154" s="136"/>
      <c r="CY154" s="136"/>
      <c r="CZ154" s="136"/>
      <c r="DA154" s="136"/>
      <c r="DB154" s="136"/>
      <c r="DC154" s="136"/>
      <c r="DD154" s="136"/>
      <c r="DE154" s="210"/>
      <c r="DF154" s="210"/>
      <c r="DG154" s="255"/>
      <c r="DH154" s="136"/>
      <c r="DI154" s="1"/>
      <c r="DJ154" s="1"/>
      <c r="DK154" s="102"/>
      <c r="DL154" s="102"/>
      <c r="DM154" s="102"/>
      <c r="DN154" s="102"/>
      <c r="DO154" s="102"/>
      <c r="DP154" s="143"/>
      <c r="DQ154" s="143"/>
      <c r="DR154" s="143"/>
      <c r="DS154" s="102"/>
      <c r="DT154" s="1"/>
      <c r="DU154" s="1"/>
      <c r="DV154" s="1"/>
      <c r="DW154" s="99"/>
      <c r="DX154" s="1"/>
      <c r="EE154" s="1"/>
      <c r="EK154" s="98"/>
      <c r="EL154" s="98"/>
      <c r="EM154" s="98"/>
      <c r="EN154" s="98"/>
      <c r="EO154" s="98"/>
      <c r="EP154" s="98"/>
      <c r="EQ154" s="98"/>
      <c r="ER154" s="241"/>
    </row>
    <row r="155" spans="1:148" s="93" customFormat="1">
      <c r="A155" s="95"/>
      <c r="B155" s="95"/>
      <c r="D155" s="97"/>
      <c r="E155" s="97"/>
      <c r="F155" s="97"/>
      <c r="G155" s="219"/>
      <c r="H155" s="98"/>
      <c r="I155" s="96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92"/>
      <c r="AP155" s="92"/>
      <c r="AQ155" s="92"/>
      <c r="AR155" s="1"/>
      <c r="AS155" s="228"/>
      <c r="AT155" s="1"/>
      <c r="AU155" s="1"/>
      <c r="AV155" s="1"/>
      <c r="AW155" s="1"/>
      <c r="AX155" s="1"/>
      <c r="AY155" s="1"/>
      <c r="AZ155" s="1"/>
      <c r="BA155" s="1"/>
      <c r="BB155" s="1"/>
      <c r="BC155" s="102"/>
      <c r="BD155" s="1"/>
      <c r="BE155" s="1"/>
      <c r="BF155" s="1"/>
      <c r="BG155" s="1"/>
      <c r="BH155" s="1"/>
      <c r="BI155" s="1"/>
      <c r="BJ155" s="1"/>
      <c r="BK155" s="1"/>
      <c r="BL155" s="1"/>
      <c r="BM155" s="1"/>
      <c r="BN155" s="1"/>
      <c r="BO155" s="1"/>
      <c r="BP155" s="1"/>
      <c r="BQ155" s="1"/>
      <c r="BR155" s="1"/>
      <c r="BS155" s="1"/>
      <c r="BT155" s="1"/>
      <c r="BU155" s="1"/>
      <c r="BV155" s="1"/>
      <c r="BW155" s="1"/>
      <c r="BX155" s="1"/>
      <c r="BY155" s="136"/>
      <c r="BZ155" s="136"/>
      <c r="CA155" s="136"/>
      <c r="CB155" s="136"/>
      <c r="CC155" s="136"/>
      <c r="CD155" s="136"/>
      <c r="CE155" s="136"/>
      <c r="CF155" s="147"/>
      <c r="CG155" s="136"/>
      <c r="CH155" s="147"/>
      <c r="CI155" s="147"/>
      <c r="CJ155" s="136"/>
      <c r="CK155" s="136"/>
      <c r="CL155" s="136"/>
      <c r="CM155" s="136"/>
      <c r="CN155" s="136"/>
      <c r="CO155" s="136"/>
      <c r="CP155" s="136"/>
      <c r="CQ155" s="1"/>
      <c r="CR155" s="1"/>
      <c r="CS155" s="225"/>
      <c r="CT155" s="1"/>
      <c r="CU155" s="136"/>
      <c r="CV155" s="136"/>
      <c r="CW155" s="136"/>
      <c r="CX155" s="136"/>
      <c r="CY155" s="136"/>
      <c r="CZ155" s="136"/>
      <c r="DA155" s="136"/>
      <c r="DB155" s="136"/>
      <c r="DC155" s="136"/>
      <c r="DD155" s="136"/>
      <c r="DE155" s="210"/>
      <c r="DF155" s="210"/>
      <c r="DG155" s="255"/>
      <c r="DH155" s="136"/>
      <c r="DI155" s="1"/>
      <c r="DJ155" s="1"/>
      <c r="DK155" s="102"/>
      <c r="DL155" s="102"/>
      <c r="DM155" s="102"/>
      <c r="DN155" s="102"/>
      <c r="DO155" s="102"/>
      <c r="DP155" s="143"/>
      <c r="DQ155" s="143"/>
      <c r="DR155" s="143"/>
      <c r="DS155" s="102"/>
      <c r="DT155" s="1"/>
      <c r="DU155" s="1"/>
      <c r="DV155" s="1"/>
      <c r="DW155" s="99"/>
      <c r="DX155" s="1"/>
      <c r="EE155" s="1"/>
      <c r="EK155" s="98"/>
      <c r="EL155" s="98"/>
      <c r="EM155" s="98"/>
      <c r="EN155" s="98"/>
      <c r="EO155" s="98"/>
      <c r="EP155" s="98"/>
      <c r="EQ155" s="98"/>
      <c r="ER155" s="241"/>
    </row>
    <row r="156" spans="1:148" s="93" customFormat="1">
      <c r="A156" s="95"/>
      <c r="B156" s="95"/>
      <c r="D156" s="97"/>
      <c r="E156" s="97"/>
      <c r="F156" s="97"/>
      <c r="G156" s="219"/>
      <c r="H156" s="98"/>
      <c r="I156" s="96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92"/>
      <c r="AP156" s="92"/>
      <c r="AQ156" s="92"/>
      <c r="AR156" s="1"/>
      <c r="AS156" s="228"/>
      <c r="AT156" s="1"/>
      <c r="AU156" s="1"/>
      <c r="AV156" s="1"/>
      <c r="AW156" s="1"/>
      <c r="AX156" s="1"/>
      <c r="AY156" s="1"/>
      <c r="AZ156" s="1"/>
      <c r="BA156" s="1"/>
      <c r="BB156" s="1"/>
      <c r="BC156" s="102"/>
      <c r="BD156" s="1"/>
      <c r="BE156" s="1"/>
      <c r="BF156" s="1"/>
      <c r="BG156" s="1"/>
      <c r="BH156" s="1"/>
      <c r="BI156" s="1"/>
      <c r="BJ156" s="1"/>
      <c r="BK156" s="1"/>
      <c r="BL156" s="1"/>
      <c r="BM156" s="1"/>
      <c r="BN156" s="1"/>
      <c r="BO156" s="1"/>
      <c r="BP156" s="1"/>
      <c r="BQ156" s="1"/>
      <c r="BR156" s="1"/>
      <c r="BS156" s="1"/>
      <c r="BT156" s="1"/>
      <c r="BU156" s="1"/>
      <c r="BV156" s="1"/>
      <c r="BW156" s="1"/>
      <c r="BX156" s="1"/>
      <c r="BY156" s="136"/>
      <c r="BZ156" s="136"/>
      <c r="CA156" s="136"/>
      <c r="CB156" s="136"/>
      <c r="CC156" s="136"/>
      <c r="CD156" s="136"/>
      <c r="CE156" s="136"/>
      <c r="CF156" s="147"/>
      <c r="CG156" s="136"/>
      <c r="CH156" s="147"/>
      <c r="CI156" s="147"/>
      <c r="CJ156" s="136"/>
      <c r="CK156" s="136"/>
      <c r="CL156" s="136"/>
      <c r="CM156" s="136"/>
      <c r="CN156" s="136"/>
      <c r="CO156" s="136"/>
      <c r="CP156" s="136"/>
      <c r="CQ156" s="1"/>
      <c r="CR156" s="1"/>
      <c r="CS156" s="225"/>
      <c r="CT156" s="1"/>
      <c r="CU156" s="136"/>
      <c r="CV156" s="136"/>
      <c r="CW156" s="136"/>
      <c r="CX156" s="136"/>
      <c r="CY156" s="136"/>
      <c r="CZ156" s="136"/>
      <c r="DA156" s="136"/>
      <c r="DB156" s="136"/>
      <c r="DC156" s="136"/>
      <c r="DD156" s="136"/>
      <c r="DE156" s="210"/>
      <c r="DF156" s="210"/>
      <c r="DG156" s="255"/>
      <c r="DH156" s="136"/>
      <c r="DI156" s="1"/>
      <c r="DJ156" s="1"/>
      <c r="DK156" s="102"/>
      <c r="DL156" s="102"/>
      <c r="DM156" s="102"/>
      <c r="DN156" s="102"/>
      <c r="DO156" s="102"/>
      <c r="DP156" s="143"/>
      <c r="DQ156" s="143"/>
      <c r="DR156" s="143"/>
      <c r="DS156" s="102"/>
      <c r="DT156" s="1"/>
      <c r="DU156" s="1"/>
      <c r="DV156" s="1"/>
      <c r="DW156" s="99"/>
      <c r="DX156" s="1"/>
      <c r="EE156" s="1"/>
      <c r="EK156" s="98"/>
      <c r="EL156" s="98"/>
      <c r="EM156" s="98"/>
      <c r="EN156" s="98"/>
      <c r="EO156" s="98"/>
      <c r="EP156" s="98"/>
      <c r="EQ156" s="98"/>
      <c r="ER156" s="241"/>
    </row>
    <row r="157" spans="1:148" s="93" customFormat="1">
      <c r="A157" s="95"/>
      <c r="B157" s="95"/>
      <c r="D157" s="97"/>
      <c r="E157" s="97"/>
      <c r="F157" s="97"/>
      <c r="G157" s="219"/>
      <c r="H157" s="98"/>
      <c r="I157" s="96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92"/>
      <c r="AP157" s="92"/>
      <c r="AQ157" s="92"/>
      <c r="AR157" s="1"/>
      <c r="AS157" s="228"/>
      <c r="AT157" s="1"/>
      <c r="AU157" s="1"/>
      <c r="AV157" s="1"/>
      <c r="AW157" s="1"/>
      <c r="AX157" s="1"/>
      <c r="AY157" s="1"/>
      <c r="AZ157" s="1"/>
      <c r="BA157" s="1"/>
      <c r="BB157" s="1"/>
      <c r="BC157" s="102"/>
      <c r="BD157" s="1"/>
      <c r="BE157" s="1"/>
      <c r="BF157" s="1"/>
      <c r="BG157" s="1"/>
      <c r="BH157" s="1"/>
      <c r="BI157" s="1"/>
      <c r="BJ157" s="1"/>
      <c r="BK157" s="1"/>
      <c r="BL157" s="1"/>
      <c r="BM157" s="1"/>
      <c r="BN157" s="1"/>
      <c r="BO157" s="1"/>
      <c r="BP157" s="1"/>
      <c r="BQ157" s="1"/>
      <c r="BR157" s="1"/>
      <c r="BS157" s="1"/>
      <c r="BT157" s="1"/>
      <c r="BU157" s="1"/>
      <c r="BV157" s="1"/>
      <c r="BW157" s="1"/>
      <c r="BX157" s="1"/>
      <c r="BY157" s="136"/>
      <c r="BZ157" s="136"/>
      <c r="CA157" s="136"/>
      <c r="CB157" s="136"/>
      <c r="CC157" s="136"/>
      <c r="CD157" s="136"/>
      <c r="CE157" s="136"/>
      <c r="CF157" s="147"/>
      <c r="CG157" s="136"/>
      <c r="CH157" s="147"/>
      <c r="CI157" s="147"/>
      <c r="CJ157" s="136"/>
      <c r="CK157" s="136"/>
      <c r="CL157" s="136"/>
      <c r="CM157" s="136"/>
      <c r="CN157" s="136"/>
      <c r="CO157" s="136"/>
      <c r="CP157" s="136"/>
      <c r="CQ157" s="1"/>
      <c r="CR157" s="1"/>
      <c r="CS157" s="225"/>
      <c r="CT157" s="1"/>
      <c r="CU157" s="136"/>
      <c r="CV157" s="136"/>
      <c r="CW157" s="136"/>
      <c r="CX157" s="136"/>
      <c r="CY157" s="136"/>
      <c r="CZ157" s="136"/>
      <c r="DA157" s="136"/>
      <c r="DB157" s="136"/>
      <c r="DC157" s="136"/>
      <c r="DD157" s="136"/>
      <c r="DE157" s="210"/>
      <c r="DF157" s="210"/>
      <c r="DG157" s="255"/>
      <c r="DH157" s="136"/>
      <c r="DI157" s="1"/>
      <c r="DJ157" s="1"/>
      <c r="DK157" s="102"/>
      <c r="DL157" s="102"/>
      <c r="DM157" s="102"/>
      <c r="DN157" s="102"/>
      <c r="DO157" s="102"/>
      <c r="DP157" s="143"/>
      <c r="DQ157" s="143"/>
      <c r="DR157" s="143"/>
      <c r="DS157" s="102"/>
      <c r="DT157" s="1"/>
      <c r="DU157" s="1"/>
      <c r="DV157" s="1"/>
      <c r="DW157" s="99"/>
      <c r="DX157" s="1"/>
      <c r="EE157" s="1"/>
      <c r="EK157" s="98"/>
      <c r="EL157" s="98"/>
      <c r="EM157" s="98"/>
      <c r="EN157" s="98"/>
      <c r="EO157" s="98"/>
      <c r="EP157" s="98"/>
      <c r="EQ157" s="98"/>
      <c r="ER157" s="241"/>
    </row>
    <row r="158" spans="1:148" s="93" customFormat="1">
      <c r="A158" s="95"/>
      <c r="B158" s="95"/>
      <c r="D158" s="97"/>
      <c r="E158" s="97"/>
      <c r="F158" s="97"/>
      <c r="G158" s="219"/>
      <c r="H158" s="98"/>
      <c r="I158" s="96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92"/>
      <c r="AP158" s="92"/>
      <c r="AQ158" s="92"/>
      <c r="AR158" s="1"/>
      <c r="AS158" s="228"/>
      <c r="AT158" s="1"/>
      <c r="AU158" s="1"/>
      <c r="AV158" s="1"/>
      <c r="AW158" s="1"/>
      <c r="AX158" s="1"/>
      <c r="AY158" s="1"/>
      <c r="AZ158" s="1"/>
      <c r="BA158" s="1"/>
      <c r="BB158" s="1"/>
      <c r="BC158" s="102"/>
      <c r="BD158" s="1"/>
      <c r="BE158" s="1"/>
      <c r="BF158" s="1"/>
      <c r="BG158" s="1"/>
      <c r="BH158" s="1"/>
      <c r="BI158" s="1"/>
      <c r="BJ158" s="1"/>
      <c r="BK158" s="1"/>
      <c r="BL158" s="1"/>
      <c r="BM158" s="1"/>
      <c r="BN158" s="1"/>
      <c r="BO158" s="1"/>
      <c r="BP158" s="1"/>
      <c r="BQ158" s="1"/>
      <c r="BR158" s="1"/>
      <c r="BS158" s="1"/>
      <c r="BT158" s="1"/>
      <c r="BU158" s="1"/>
      <c r="BV158" s="1"/>
      <c r="BW158" s="1"/>
      <c r="BX158" s="1"/>
      <c r="BY158" s="136"/>
      <c r="BZ158" s="136"/>
      <c r="CA158" s="136"/>
      <c r="CB158" s="136"/>
      <c r="CC158" s="136"/>
      <c r="CD158" s="136"/>
      <c r="CE158" s="136"/>
      <c r="CF158" s="147"/>
      <c r="CG158" s="136"/>
      <c r="CH158" s="147"/>
      <c r="CI158" s="147"/>
      <c r="CJ158" s="136"/>
      <c r="CK158" s="136"/>
      <c r="CL158" s="136"/>
      <c r="CM158" s="136"/>
      <c r="CN158" s="136"/>
      <c r="CO158" s="136"/>
      <c r="CP158" s="136"/>
      <c r="CQ158" s="1"/>
      <c r="CR158" s="1"/>
      <c r="CS158" s="225"/>
      <c r="CT158" s="1"/>
      <c r="CU158" s="136"/>
      <c r="CV158" s="136"/>
      <c r="CW158" s="136"/>
      <c r="CX158" s="136"/>
      <c r="CY158" s="136"/>
      <c r="CZ158" s="136"/>
      <c r="DA158" s="136"/>
      <c r="DB158" s="136"/>
      <c r="DC158" s="136"/>
      <c r="DD158" s="136"/>
      <c r="DE158" s="210"/>
      <c r="DF158" s="210"/>
      <c r="DG158" s="255"/>
      <c r="DH158" s="136"/>
      <c r="DI158" s="1"/>
      <c r="DJ158" s="1"/>
      <c r="DK158" s="102"/>
      <c r="DL158" s="102"/>
      <c r="DM158" s="102"/>
      <c r="DN158" s="102"/>
      <c r="DO158" s="102"/>
      <c r="DP158" s="143"/>
      <c r="DQ158" s="143"/>
      <c r="DR158" s="143"/>
      <c r="DS158" s="102"/>
      <c r="DT158" s="1"/>
      <c r="DU158" s="1"/>
      <c r="DV158" s="1"/>
      <c r="DW158" s="99"/>
      <c r="DX158" s="1"/>
      <c r="EE158" s="1"/>
      <c r="EK158" s="98"/>
      <c r="EL158" s="98"/>
      <c r="EM158" s="98"/>
      <c r="EN158" s="98"/>
      <c r="EO158" s="98"/>
      <c r="EP158" s="98"/>
      <c r="EQ158" s="98"/>
      <c r="ER158" s="241"/>
    </row>
    <row r="159" spans="1:148" s="93" customFormat="1">
      <c r="A159" s="95"/>
      <c r="B159" s="95"/>
      <c r="D159" s="97"/>
      <c r="E159" s="97"/>
      <c r="F159" s="97"/>
      <c r="G159" s="219"/>
      <c r="H159" s="98"/>
      <c r="I159" s="96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92"/>
      <c r="AP159" s="92"/>
      <c r="AQ159" s="92"/>
      <c r="AR159" s="1"/>
      <c r="AS159" s="228"/>
      <c r="AT159" s="1"/>
      <c r="AU159" s="1"/>
      <c r="AV159" s="1"/>
      <c r="AW159" s="1"/>
      <c r="AX159" s="1"/>
      <c r="AY159" s="1"/>
      <c r="AZ159" s="1"/>
      <c r="BA159" s="1"/>
      <c r="BB159" s="1"/>
      <c r="BC159" s="102"/>
      <c r="BD159" s="1"/>
      <c r="BE159" s="1"/>
      <c r="BF159" s="1"/>
      <c r="BG159" s="1"/>
      <c r="BH159" s="1"/>
      <c r="BI159" s="1"/>
      <c r="BJ159" s="1"/>
      <c r="BK159" s="1"/>
      <c r="BL159" s="1"/>
      <c r="BM159" s="1"/>
      <c r="BN159" s="1"/>
      <c r="BO159" s="1"/>
      <c r="BP159" s="1"/>
      <c r="BQ159" s="1"/>
      <c r="BR159" s="1"/>
      <c r="BS159" s="1"/>
      <c r="BT159" s="1"/>
      <c r="BU159" s="1"/>
      <c r="BV159" s="1"/>
      <c r="BW159" s="1"/>
      <c r="BX159" s="1"/>
      <c r="BY159" s="136"/>
      <c r="BZ159" s="136"/>
      <c r="CA159" s="136"/>
      <c r="CB159" s="136"/>
      <c r="CC159" s="136"/>
      <c r="CD159" s="136"/>
      <c r="CE159" s="136"/>
      <c r="CF159" s="147"/>
      <c r="CG159" s="136"/>
      <c r="CH159" s="147"/>
      <c r="CI159" s="147"/>
      <c r="CJ159" s="136"/>
      <c r="CK159" s="136"/>
      <c r="CL159" s="136"/>
      <c r="CM159" s="136"/>
      <c r="CN159" s="136"/>
      <c r="CO159" s="136"/>
      <c r="CP159" s="136"/>
      <c r="CQ159" s="1"/>
      <c r="CR159" s="1"/>
      <c r="CS159" s="225"/>
      <c r="CT159" s="1"/>
      <c r="CU159" s="136"/>
      <c r="CV159" s="136"/>
      <c r="CW159" s="136"/>
      <c r="CX159" s="136"/>
      <c r="CY159" s="136"/>
      <c r="CZ159" s="136"/>
      <c r="DA159" s="136"/>
      <c r="DB159" s="136"/>
      <c r="DC159" s="136"/>
      <c r="DD159" s="136"/>
      <c r="DE159" s="210"/>
      <c r="DF159" s="210"/>
      <c r="DG159" s="255"/>
      <c r="DH159" s="136"/>
      <c r="DI159" s="1"/>
      <c r="DJ159" s="1"/>
      <c r="DK159" s="102"/>
      <c r="DL159" s="102"/>
      <c r="DM159" s="102"/>
      <c r="DN159" s="102"/>
      <c r="DO159" s="102"/>
      <c r="DP159" s="143"/>
      <c r="DQ159" s="143"/>
      <c r="DR159" s="143"/>
      <c r="DS159" s="102"/>
      <c r="DT159" s="1"/>
      <c r="DU159" s="1"/>
      <c r="DV159" s="1"/>
      <c r="DW159" s="99"/>
      <c r="DX159" s="1"/>
      <c r="EE159" s="1"/>
      <c r="EK159" s="98"/>
      <c r="EL159" s="98"/>
      <c r="EM159" s="98"/>
      <c r="EN159" s="98"/>
      <c r="EO159" s="98"/>
      <c r="EP159" s="98"/>
      <c r="EQ159" s="98"/>
      <c r="ER159" s="241"/>
    </row>
    <row r="160" spans="1:148" s="93" customFormat="1">
      <c r="A160" s="95"/>
      <c r="B160" s="95"/>
      <c r="D160" s="97"/>
      <c r="E160" s="97"/>
      <c r="F160" s="97"/>
      <c r="G160" s="219"/>
      <c r="H160" s="98"/>
      <c r="I160" s="96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92"/>
      <c r="AP160" s="92"/>
      <c r="AQ160" s="92"/>
      <c r="AR160" s="1"/>
      <c r="AS160" s="228"/>
      <c r="AT160" s="1"/>
      <c r="AU160" s="1"/>
      <c r="AV160" s="1"/>
      <c r="AW160" s="1"/>
      <c r="AX160" s="1"/>
      <c r="AY160" s="1"/>
      <c r="AZ160" s="1"/>
      <c r="BA160" s="1"/>
      <c r="BB160" s="1"/>
      <c r="BC160" s="102"/>
      <c r="BD160" s="1"/>
      <c r="BE160" s="1"/>
      <c r="BF160" s="1"/>
      <c r="BG160" s="1"/>
      <c r="BH160" s="1"/>
      <c r="BI160" s="1"/>
      <c r="BJ160" s="1"/>
      <c r="BK160" s="1"/>
      <c r="BL160" s="1"/>
      <c r="BM160" s="1"/>
      <c r="BN160" s="1"/>
      <c r="BO160" s="1"/>
      <c r="BP160" s="1"/>
      <c r="BQ160" s="1"/>
      <c r="BR160" s="1"/>
      <c r="BS160" s="1"/>
      <c r="BT160" s="1"/>
      <c r="BU160" s="1"/>
      <c r="BV160" s="1"/>
      <c r="BW160" s="1"/>
      <c r="BX160" s="1"/>
      <c r="BY160" s="136"/>
      <c r="BZ160" s="136"/>
      <c r="CA160" s="136"/>
      <c r="CB160" s="136"/>
      <c r="CC160" s="136"/>
      <c r="CD160" s="136"/>
      <c r="CE160" s="136"/>
      <c r="CF160" s="147"/>
      <c r="CG160" s="136"/>
      <c r="CH160" s="147"/>
      <c r="CI160" s="147"/>
      <c r="CJ160" s="136"/>
      <c r="CK160" s="136"/>
      <c r="CL160" s="136"/>
      <c r="CM160" s="136"/>
      <c r="CN160" s="136"/>
      <c r="CO160" s="136"/>
      <c r="CP160" s="136"/>
      <c r="CQ160" s="1"/>
      <c r="CR160" s="1"/>
      <c r="CS160" s="225"/>
      <c r="CT160" s="1"/>
      <c r="CU160" s="136"/>
      <c r="CV160" s="136"/>
      <c r="CW160" s="136"/>
      <c r="CX160" s="136"/>
      <c r="CY160" s="136"/>
      <c r="CZ160" s="136"/>
      <c r="DA160" s="136"/>
      <c r="DB160" s="136"/>
      <c r="DC160" s="136"/>
      <c r="DD160" s="136"/>
      <c r="DE160" s="210"/>
      <c r="DF160" s="210"/>
      <c r="DG160" s="255"/>
      <c r="DH160" s="136"/>
      <c r="DI160" s="1"/>
      <c r="DJ160" s="1"/>
      <c r="DK160" s="102"/>
      <c r="DL160" s="102"/>
      <c r="DM160" s="102"/>
      <c r="DN160" s="102"/>
      <c r="DO160" s="102"/>
      <c r="DP160" s="143"/>
      <c r="DQ160" s="143"/>
      <c r="DR160" s="143"/>
      <c r="DS160" s="102"/>
      <c r="DT160" s="1"/>
      <c r="DU160" s="1"/>
      <c r="DV160" s="1"/>
      <c r="DW160" s="99"/>
      <c r="DX160" s="1"/>
      <c r="EE160" s="1"/>
      <c r="EK160" s="98"/>
      <c r="EL160" s="98"/>
      <c r="EM160" s="98"/>
      <c r="EN160" s="98"/>
      <c r="EO160" s="98"/>
      <c r="EP160" s="98"/>
      <c r="EQ160" s="98"/>
      <c r="ER160" s="241"/>
    </row>
    <row r="161" spans="1:148" s="93" customFormat="1">
      <c r="A161" s="95"/>
      <c r="B161" s="95"/>
      <c r="D161" s="97"/>
      <c r="E161" s="97"/>
      <c r="F161" s="97"/>
      <c r="G161" s="219"/>
      <c r="H161" s="98"/>
      <c r="I161" s="96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92"/>
      <c r="AP161" s="92"/>
      <c r="AQ161" s="92"/>
      <c r="AR161" s="1"/>
      <c r="AS161" s="228"/>
      <c r="AT161" s="1"/>
      <c r="AU161" s="1"/>
      <c r="AV161" s="1"/>
      <c r="AW161" s="1"/>
      <c r="AX161" s="1"/>
      <c r="AY161" s="1"/>
      <c r="AZ161" s="1"/>
      <c r="BA161" s="1"/>
      <c r="BB161" s="1"/>
      <c r="BC161" s="102"/>
      <c r="BD161" s="1"/>
      <c r="BE161" s="1"/>
      <c r="BF161" s="1"/>
      <c r="BG161" s="1"/>
      <c r="BH161" s="1"/>
      <c r="BI161" s="1"/>
      <c r="BJ161" s="1"/>
      <c r="BK161" s="1"/>
      <c r="BL161" s="1"/>
      <c r="BM161" s="1"/>
      <c r="BN161" s="1"/>
      <c r="BO161" s="1"/>
      <c r="BP161" s="1"/>
      <c r="BQ161" s="1"/>
      <c r="BR161" s="1"/>
      <c r="BS161" s="1"/>
      <c r="BT161" s="1"/>
      <c r="BU161" s="1"/>
      <c r="BV161" s="1"/>
      <c r="BW161" s="1"/>
      <c r="BX161" s="1"/>
      <c r="BY161" s="136"/>
      <c r="BZ161" s="136"/>
      <c r="CA161" s="136"/>
      <c r="CB161" s="136"/>
      <c r="CC161" s="136"/>
      <c r="CD161" s="136"/>
      <c r="CE161" s="136"/>
      <c r="CF161" s="147"/>
      <c r="CG161" s="136"/>
      <c r="CH161" s="147"/>
      <c r="CI161" s="147"/>
      <c r="CJ161" s="136"/>
      <c r="CK161" s="136"/>
      <c r="CL161" s="136"/>
      <c r="CM161" s="136"/>
      <c r="CN161" s="136"/>
      <c r="CO161" s="136"/>
      <c r="CP161" s="136"/>
      <c r="CQ161" s="1"/>
      <c r="CR161" s="1"/>
      <c r="CS161" s="225"/>
      <c r="CT161" s="1"/>
      <c r="CU161" s="136"/>
      <c r="CV161" s="136"/>
      <c r="CW161" s="136"/>
      <c r="CX161" s="136"/>
      <c r="CY161" s="136"/>
      <c r="CZ161" s="136"/>
      <c r="DA161" s="136"/>
      <c r="DB161" s="136"/>
      <c r="DC161" s="136"/>
      <c r="DD161" s="136"/>
      <c r="DE161" s="210"/>
      <c r="DF161" s="210"/>
      <c r="DG161" s="255"/>
      <c r="DH161" s="136"/>
      <c r="DI161" s="1"/>
      <c r="DJ161" s="1"/>
      <c r="DK161" s="102"/>
      <c r="DL161" s="102"/>
      <c r="DM161" s="102"/>
      <c r="DN161" s="102"/>
      <c r="DO161" s="102"/>
      <c r="DP161" s="143"/>
      <c r="DQ161" s="143"/>
      <c r="DR161" s="143"/>
      <c r="DS161" s="102"/>
      <c r="DT161" s="1"/>
      <c r="DU161" s="1"/>
      <c r="DV161" s="1"/>
      <c r="DW161" s="99"/>
      <c r="DX161" s="1"/>
      <c r="EE161" s="1"/>
      <c r="EK161" s="98"/>
      <c r="EL161" s="98"/>
      <c r="EM161" s="98"/>
      <c r="EN161" s="98"/>
      <c r="EO161" s="98"/>
      <c r="EP161" s="98"/>
      <c r="EQ161" s="98"/>
      <c r="ER161" s="241"/>
    </row>
    <row r="162" spans="1:148" s="93" customFormat="1">
      <c r="A162" s="95"/>
      <c r="B162" s="95"/>
      <c r="D162" s="97"/>
      <c r="E162" s="97"/>
      <c r="F162" s="97"/>
      <c r="G162" s="219"/>
      <c r="H162" s="98"/>
      <c r="I162" s="96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92"/>
      <c r="AP162" s="92"/>
      <c r="AQ162" s="92"/>
      <c r="AR162" s="1"/>
      <c r="AS162" s="228"/>
      <c r="AT162" s="1"/>
      <c r="AU162" s="1"/>
      <c r="AV162" s="1"/>
      <c r="AW162" s="1"/>
      <c r="AX162" s="1"/>
      <c r="AY162" s="1"/>
      <c r="AZ162" s="1"/>
      <c r="BA162" s="1"/>
      <c r="BB162" s="1"/>
      <c r="BC162" s="102"/>
      <c r="BD162" s="1"/>
      <c r="BE162" s="1"/>
      <c r="BF162" s="1"/>
      <c r="BG162" s="1"/>
      <c r="BH162" s="1"/>
      <c r="BI162" s="1"/>
      <c r="BJ162" s="1"/>
      <c r="BK162" s="1"/>
      <c r="BL162" s="1"/>
      <c r="BM162" s="1"/>
      <c r="BN162" s="1"/>
      <c r="BO162" s="1"/>
      <c r="BP162" s="1"/>
      <c r="BQ162" s="1"/>
      <c r="BR162" s="1"/>
      <c r="BS162" s="1"/>
      <c r="BT162" s="1"/>
      <c r="BU162" s="1"/>
      <c r="BV162" s="1"/>
      <c r="BW162" s="1"/>
      <c r="BX162" s="1"/>
      <c r="BY162" s="136"/>
      <c r="BZ162" s="136"/>
      <c r="CA162" s="136"/>
      <c r="CB162" s="136"/>
      <c r="CC162" s="136"/>
      <c r="CD162" s="136"/>
      <c r="CE162" s="136"/>
      <c r="CF162" s="147"/>
      <c r="CG162" s="136"/>
      <c r="CH162" s="147"/>
      <c r="CI162" s="147"/>
      <c r="CJ162" s="136"/>
      <c r="CK162" s="136"/>
      <c r="CL162" s="136"/>
      <c r="CM162" s="136"/>
      <c r="CN162" s="136"/>
      <c r="CO162" s="136"/>
      <c r="CP162" s="136"/>
      <c r="CQ162" s="1"/>
      <c r="CR162" s="1"/>
      <c r="CS162" s="225"/>
      <c r="CT162" s="1"/>
      <c r="CU162" s="136"/>
      <c r="CV162" s="136"/>
      <c r="CW162" s="136"/>
      <c r="CX162" s="136"/>
      <c r="CY162" s="136"/>
      <c r="CZ162" s="136"/>
      <c r="DA162" s="136"/>
      <c r="DB162" s="136"/>
      <c r="DC162" s="136"/>
      <c r="DD162" s="136"/>
      <c r="DE162" s="210"/>
      <c r="DF162" s="210"/>
      <c r="DG162" s="255"/>
      <c r="DH162" s="136"/>
      <c r="DI162" s="1"/>
      <c r="DJ162" s="1"/>
      <c r="DK162" s="102"/>
      <c r="DL162" s="102"/>
      <c r="DM162" s="102"/>
      <c r="DN162" s="102"/>
      <c r="DO162" s="102"/>
      <c r="DP162" s="143"/>
      <c r="DQ162" s="143"/>
      <c r="DR162" s="143"/>
      <c r="DS162" s="102"/>
      <c r="DT162" s="1"/>
      <c r="DU162" s="1"/>
      <c r="DV162" s="1"/>
      <c r="DW162" s="99"/>
      <c r="DX162" s="1"/>
      <c r="EE162" s="1"/>
      <c r="EK162" s="98"/>
      <c r="EL162" s="98"/>
      <c r="EM162" s="98"/>
      <c r="EN162" s="98"/>
      <c r="EO162" s="98"/>
      <c r="EP162" s="98"/>
      <c r="EQ162" s="98"/>
      <c r="ER162" s="241"/>
    </row>
    <row r="163" spans="1:148" s="93" customFormat="1">
      <c r="A163" s="95"/>
      <c r="B163" s="95"/>
      <c r="D163" s="97"/>
      <c r="E163" s="97"/>
      <c r="F163" s="97"/>
      <c r="G163" s="219"/>
      <c r="H163" s="98"/>
      <c r="I163" s="96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92"/>
      <c r="AP163" s="92"/>
      <c r="AQ163" s="92"/>
      <c r="AR163" s="1"/>
      <c r="AS163" s="228"/>
      <c r="AT163" s="1"/>
      <c r="AU163" s="1"/>
      <c r="AV163" s="1"/>
      <c r="AW163" s="1"/>
      <c r="AX163" s="1"/>
      <c r="AY163" s="1"/>
      <c r="AZ163" s="1"/>
      <c r="BA163" s="1"/>
      <c r="BB163" s="1"/>
      <c r="BC163" s="102"/>
      <c r="BD163" s="1"/>
      <c r="BE163" s="1"/>
      <c r="BF163" s="1"/>
      <c r="BG163" s="1"/>
      <c r="BH163" s="1"/>
      <c r="BI163" s="1"/>
      <c r="BJ163" s="1"/>
      <c r="BK163" s="1"/>
      <c r="BL163" s="1"/>
      <c r="BM163" s="1"/>
      <c r="BN163" s="1"/>
      <c r="BO163" s="1"/>
      <c r="BP163" s="1"/>
      <c r="BQ163" s="1"/>
      <c r="BR163" s="1"/>
      <c r="BS163" s="1"/>
      <c r="BT163" s="1"/>
      <c r="BU163" s="1"/>
      <c r="BV163" s="1"/>
      <c r="BW163" s="1"/>
      <c r="BX163" s="1"/>
      <c r="BY163" s="136"/>
      <c r="BZ163" s="136"/>
      <c r="CA163" s="136"/>
      <c r="CB163" s="136"/>
      <c r="CC163" s="136"/>
      <c r="CD163" s="136"/>
      <c r="CE163" s="136"/>
      <c r="CF163" s="147"/>
      <c r="CG163" s="136"/>
      <c r="CH163" s="147"/>
      <c r="CI163" s="147"/>
      <c r="CJ163" s="136"/>
      <c r="CK163" s="136"/>
      <c r="CL163" s="136"/>
      <c r="CM163" s="136"/>
      <c r="CN163" s="136"/>
      <c r="CO163" s="136"/>
      <c r="CP163" s="136"/>
      <c r="CQ163" s="1"/>
      <c r="CR163" s="1"/>
      <c r="CS163" s="225"/>
      <c r="CT163" s="1"/>
      <c r="CU163" s="136"/>
      <c r="CV163" s="136"/>
      <c r="CW163" s="136"/>
      <c r="CX163" s="136"/>
      <c r="CY163" s="136"/>
      <c r="CZ163" s="136"/>
      <c r="DA163" s="136"/>
      <c r="DB163" s="136"/>
      <c r="DC163" s="136"/>
      <c r="DD163" s="136"/>
      <c r="DE163" s="210"/>
      <c r="DF163" s="210"/>
      <c r="DG163" s="255"/>
      <c r="DH163" s="136"/>
      <c r="DI163" s="1"/>
      <c r="DJ163" s="1"/>
      <c r="DK163" s="102"/>
      <c r="DL163" s="102"/>
      <c r="DM163" s="102"/>
      <c r="DN163" s="102"/>
      <c r="DO163" s="102"/>
      <c r="DP163" s="143"/>
      <c r="DQ163" s="143"/>
      <c r="DR163" s="143"/>
      <c r="DS163" s="102"/>
      <c r="DT163" s="1"/>
      <c r="DU163" s="1"/>
      <c r="DV163" s="1"/>
      <c r="DW163" s="99"/>
      <c r="DX163" s="1"/>
      <c r="EE163" s="1"/>
      <c r="EK163" s="98"/>
      <c r="EL163" s="98"/>
      <c r="EM163" s="98"/>
      <c r="EN163" s="98"/>
      <c r="EO163" s="98"/>
      <c r="EP163" s="98"/>
      <c r="EQ163" s="98"/>
      <c r="ER163" s="241"/>
    </row>
    <row r="164" spans="1:148" s="93" customFormat="1">
      <c r="A164" s="95"/>
      <c r="B164" s="95"/>
      <c r="D164" s="97"/>
      <c r="E164" s="97"/>
      <c r="F164" s="97"/>
      <c r="G164" s="219"/>
      <c r="H164" s="98"/>
      <c r="I164" s="96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92"/>
      <c r="AP164" s="92"/>
      <c r="AQ164" s="92"/>
      <c r="AR164" s="1"/>
      <c r="AS164" s="228"/>
      <c r="AT164" s="1"/>
      <c r="AU164" s="1"/>
      <c r="AV164" s="1"/>
      <c r="AW164" s="1"/>
      <c r="AX164" s="1"/>
      <c r="AY164" s="1"/>
      <c r="AZ164" s="1"/>
      <c r="BA164" s="1"/>
      <c r="BB164" s="1"/>
      <c r="BC164" s="102"/>
      <c r="BD164" s="1"/>
      <c r="BE164" s="1"/>
      <c r="BF164" s="1"/>
      <c r="BG164" s="1"/>
      <c r="BH164" s="1"/>
      <c r="BI164" s="1"/>
      <c r="BJ164" s="1"/>
      <c r="BK164" s="1"/>
      <c r="BL164" s="1"/>
      <c r="BM164" s="1"/>
      <c r="BN164" s="1"/>
      <c r="BO164" s="1"/>
      <c r="BP164" s="1"/>
      <c r="BQ164" s="1"/>
      <c r="BR164" s="1"/>
      <c r="BS164" s="1"/>
      <c r="BT164" s="1"/>
      <c r="BU164" s="1"/>
      <c r="BV164" s="1"/>
      <c r="BW164" s="1"/>
      <c r="BX164" s="1"/>
      <c r="BY164" s="136"/>
      <c r="BZ164" s="136"/>
      <c r="CA164" s="136"/>
      <c r="CB164" s="136"/>
      <c r="CC164" s="136"/>
      <c r="CD164" s="136"/>
      <c r="CE164" s="136"/>
      <c r="CF164" s="147"/>
      <c r="CG164" s="136"/>
      <c r="CH164" s="147"/>
      <c r="CI164" s="147"/>
      <c r="CJ164" s="136"/>
      <c r="CK164" s="136"/>
      <c r="CL164" s="136"/>
      <c r="CM164" s="136"/>
      <c r="CN164" s="136"/>
      <c r="CO164" s="136"/>
      <c r="CP164" s="136"/>
      <c r="CQ164" s="1"/>
      <c r="CR164" s="1"/>
      <c r="CS164" s="225"/>
      <c r="CT164" s="1"/>
      <c r="CU164" s="136"/>
      <c r="CV164" s="136"/>
      <c r="CW164" s="136"/>
      <c r="CX164" s="136"/>
      <c r="CY164" s="136"/>
      <c r="CZ164" s="136"/>
      <c r="DA164" s="136"/>
      <c r="DB164" s="136"/>
      <c r="DC164" s="136"/>
      <c r="DD164" s="136"/>
      <c r="DE164" s="210"/>
      <c r="DF164" s="210"/>
      <c r="DG164" s="255"/>
      <c r="DH164" s="136"/>
      <c r="DI164" s="1"/>
      <c r="DJ164" s="1"/>
      <c r="DK164" s="102"/>
      <c r="DL164" s="102"/>
      <c r="DM164" s="102"/>
      <c r="DN164" s="102"/>
      <c r="DO164" s="102"/>
      <c r="DP164" s="143"/>
      <c r="DQ164" s="143"/>
      <c r="DR164" s="143"/>
      <c r="DS164" s="102"/>
      <c r="DT164" s="1"/>
      <c r="DU164" s="1"/>
      <c r="DV164" s="1"/>
      <c r="DW164" s="99"/>
      <c r="DX164" s="1"/>
      <c r="EE164" s="1"/>
      <c r="EK164" s="98"/>
      <c r="EL164" s="98"/>
      <c r="EM164" s="98"/>
      <c r="EN164" s="98"/>
      <c r="EO164" s="98"/>
      <c r="EP164" s="98"/>
      <c r="EQ164" s="98"/>
      <c r="ER164" s="241"/>
    </row>
    <row r="165" spans="1:148" s="93" customFormat="1">
      <c r="A165" s="95"/>
      <c r="B165" s="95"/>
      <c r="C165" s="94"/>
      <c r="D165" s="100"/>
      <c r="E165" s="100"/>
      <c r="F165" s="100"/>
      <c r="G165" s="220"/>
      <c r="H165" s="95"/>
      <c r="I165" s="10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92"/>
      <c r="AP165" s="92"/>
      <c r="AQ165" s="92"/>
      <c r="AR165" s="1"/>
      <c r="AS165" s="228"/>
      <c r="AT165" s="1"/>
      <c r="AU165" s="1"/>
      <c r="AV165" s="1"/>
      <c r="AW165" s="1"/>
      <c r="AX165" s="1"/>
      <c r="AY165" s="1"/>
      <c r="AZ165" s="1"/>
      <c r="BA165" s="1"/>
      <c r="BB165" s="1"/>
      <c r="BC165" s="102"/>
      <c r="BD165" s="1"/>
      <c r="BE165" s="1"/>
      <c r="BF165" s="1"/>
      <c r="BG165" s="1"/>
      <c r="BH165" s="1"/>
      <c r="BI165" s="1"/>
      <c r="BJ165" s="1"/>
      <c r="BK165" s="1"/>
      <c r="BL165" s="1"/>
      <c r="BM165" s="1"/>
      <c r="BN165" s="1"/>
      <c r="BO165" s="1"/>
      <c r="BP165" s="1"/>
      <c r="BQ165" s="1"/>
      <c r="BR165" s="1"/>
      <c r="BS165" s="1"/>
      <c r="BT165" s="1"/>
      <c r="BU165" s="1"/>
      <c r="BV165" s="1"/>
      <c r="BW165" s="1"/>
      <c r="BX165" s="1"/>
      <c r="BY165" s="136"/>
      <c r="BZ165" s="136"/>
      <c r="CA165" s="136"/>
      <c r="CB165" s="136"/>
      <c r="CC165" s="136"/>
      <c r="CD165" s="136"/>
      <c r="CE165" s="136"/>
      <c r="CF165" s="147"/>
      <c r="CG165" s="136"/>
      <c r="CH165" s="147"/>
      <c r="CI165" s="147"/>
      <c r="CJ165" s="136"/>
      <c r="CK165" s="136"/>
      <c r="CL165" s="136"/>
      <c r="CM165" s="136"/>
      <c r="CN165" s="136"/>
      <c r="CO165" s="136"/>
      <c r="CP165" s="136"/>
      <c r="CQ165" s="1"/>
      <c r="CR165" s="1"/>
      <c r="CS165" s="225"/>
      <c r="CT165" s="1"/>
      <c r="CU165" s="136"/>
      <c r="CV165" s="136"/>
      <c r="CW165" s="136"/>
      <c r="CX165" s="136"/>
      <c r="CY165" s="136"/>
      <c r="CZ165" s="136"/>
      <c r="DA165" s="136"/>
      <c r="DB165" s="136"/>
      <c r="DC165" s="136"/>
      <c r="DD165" s="136"/>
      <c r="DE165" s="210"/>
      <c r="DF165" s="210"/>
      <c r="DG165" s="255"/>
      <c r="DH165" s="136"/>
      <c r="DI165" s="1"/>
      <c r="DJ165" s="1"/>
      <c r="DK165" s="102"/>
      <c r="DL165" s="102"/>
      <c r="DM165" s="102"/>
      <c r="DN165" s="102"/>
      <c r="DO165" s="102"/>
      <c r="DP165" s="143"/>
      <c r="DQ165" s="143"/>
      <c r="DR165" s="143"/>
      <c r="DS165" s="102"/>
      <c r="DT165" s="1"/>
      <c r="DU165" s="1"/>
      <c r="DV165" s="1"/>
      <c r="DW165" s="99"/>
      <c r="DX165" s="1"/>
      <c r="EE165" s="1"/>
      <c r="EK165" s="98"/>
      <c r="EL165" s="98"/>
      <c r="EM165" s="98"/>
      <c r="EN165" s="98"/>
      <c r="EO165" s="98"/>
      <c r="EP165" s="98"/>
      <c r="EQ165" s="98"/>
      <c r="ER165" s="241"/>
    </row>
  </sheetData>
  <autoFilter ref="A6:ER8" xr:uid="{00000000-0001-0000-0900-000000000000}"/>
  <mergeCells count="65">
    <mergeCell ref="ES5:ES6"/>
    <mergeCell ref="EN5:EN6"/>
    <mergeCell ref="EI5:EI6"/>
    <mergeCell ref="EJ5:EJ6"/>
    <mergeCell ref="EK5:EK6"/>
    <mergeCell ref="EL5:EL6"/>
    <mergeCell ref="EH5:EH6"/>
    <mergeCell ref="DV5:DX5"/>
    <mergeCell ref="CQ5:CS5"/>
    <mergeCell ref="DG5:DG6"/>
    <mergeCell ref="DI5:DJ5"/>
    <mergeCell ref="CT5:CT6"/>
    <mergeCell ref="DH5:DH6"/>
    <mergeCell ref="DK5:DK6"/>
    <mergeCell ref="DM5:DR5"/>
    <mergeCell ref="DS5:DS6"/>
    <mergeCell ref="DU5:DU6"/>
    <mergeCell ref="ER5:ER6"/>
    <mergeCell ref="A7:EL7"/>
    <mergeCell ref="EM5:EM6"/>
    <mergeCell ref="EO5:EO6"/>
    <mergeCell ref="EP5:EP6"/>
    <mergeCell ref="DY5:EB5"/>
    <mergeCell ref="EC5:EC6"/>
    <mergeCell ref="ED5:ED6"/>
    <mergeCell ref="EE5:EF5"/>
    <mergeCell ref="DT5:DT6"/>
    <mergeCell ref="F5:F6"/>
    <mergeCell ref="CF5:CP5"/>
    <mergeCell ref="CE5:CE6"/>
    <mergeCell ref="DL5:DL6"/>
    <mergeCell ref="EG5:EG6"/>
    <mergeCell ref="EQ5:EQ6"/>
    <mergeCell ref="BJ4:BK4"/>
    <mergeCell ref="BL4:BN4"/>
    <mergeCell ref="BQ4:BS4"/>
    <mergeCell ref="BC4:BE4"/>
    <mergeCell ref="CD5:CD6"/>
    <mergeCell ref="BY5:BY6"/>
    <mergeCell ref="BZ5:BZ6"/>
    <mergeCell ref="CA5:CA6"/>
    <mergeCell ref="CB5:CB6"/>
    <mergeCell ref="CC5:CC6"/>
    <mergeCell ref="G5:G6"/>
    <mergeCell ref="H5:H6"/>
    <mergeCell ref="I5:I6"/>
    <mergeCell ref="BG4:BI4"/>
    <mergeCell ref="AT4:AU4"/>
    <mergeCell ref="AO5:AO6"/>
    <mergeCell ref="AP5:AP6"/>
    <mergeCell ref="AQ5:AQ6"/>
    <mergeCell ref="AR5:AR6"/>
    <mergeCell ref="AS5:AS6"/>
    <mergeCell ref="A5:A6"/>
    <mergeCell ref="B5:B6"/>
    <mergeCell ref="C5:C6"/>
    <mergeCell ref="D5:D6"/>
    <mergeCell ref="E5:E6"/>
    <mergeCell ref="AO1:AS1"/>
    <mergeCell ref="J4:K4"/>
    <mergeCell ref="S4:U4"/>
    <mergeCell ref="W4:Y4"/>
    <mergeCell ref="Z4:AA4"/>
    <mergeCell ref="AB4:AD4"/>
    <mergeCell ref="AG4:AI4"/>
  </mergeCells>
  <conditionalFormatting sqref="A5 A8:B8">
    <cfRule type="duplicateValues" dxfId="20" priority="20879"/>
  </conditionalFormatting>
  <conditionalFormatting sqref="B1:B1048576">
    <cfRule type="duplicateValues" dxfId="19" priority="20860"/>
  </conditionalFormatting>
  <conditionalFormatting sqref="C5:C6 C8">
    <cfRule type="duplicateValues" dxfId="18" priority="20884"/>
  </conditionalFormatting>
  <conditionalFormatting sqref="C8">
    <cfRule type="duplicateValues" dxfId="17" priority="20886"/>
    <cfRule type="duplicateValues" dxfId="16" priority="20887" stopIfTrue="1"/>
  </conditionalFormatting>
  <conditionalFormatting sqref="C9:C65316">
    <cfRule type="duplicateValues" dxfId="15" priority="20873" stopIfTrue="1"/>
  </conditionalFormatting>
  <conditionalFormatting sqref="E8">
    <cfRule type="duplicateValues" dxfId="14" priority="20888"/>
  </conditionalFormatting>
  <conditionalFormatting sqref="F5">
    <cfRule type="duplicateValues" dxfId="13" priority="20857"/>
  </conditionalFormatting>
  <conditionalFormatting sqref="G5 C5">
    <cfRule type="duplicateValues" dxfId="12" priority="28"/>
  </conditionalFormatting>
  <conditionalFormatting sqref="H5">
    <cfRule type="duplicateValues" dxfId="11" priority="26"/>
  </conditionalFormatting>
  <conditionalFormatting sqref="J5:AN6">
    <cfRule type="expression" dxfId="10" priority="19">
      <formula>J5="cn"</formula>
    </cfRule>
  </conditionalFormatting>
  <conditionalFormatting sqref="J8:AN8">
    <cfRule type="expression" dxfId="9" priority="20">
      <formula>J8="CÔ"</formula>
    </cfRule>
    <cfRule type="expression" dxfId="8" priority="21">
      <formula>J8="Ô"</formula>
    </cfRule>
    <cfRule type="expression" dxfId="7" priority="22">
      <formula>J8="KP"</formula>
    </cfRule>
    <cfRule type="expression" dxfId="6" priority="23">
      <formula>J8="CP"</formula>
    </cfRule>
  </conditionalFormatting>
  <conditionalFormatting sqref="AT5:BX6">
    <cfRule type="expression" dxfId="5" priority="18">
      <formula>AT5="CN"</formula>
    </cfRule>
  </conditionalFormatting>
  <conditionalFormatting sqref="DS1:DS1048576">
    <cfRule type="expression" dxfId="4" priority="20874">
      <formula>NOT(_xludf.ISFORMULA($DS$8:$DS$8))</formula>
    </cfRule>
  </conditionalFormatting>
  <conditionalFormatting sqref="EP8 ER8">
    <cfRule type="duplicateValues" dxfId="3" priority="20889"/>
  </conditionalFormatting>
  <pageMargins left="0.24" right="0.16" top="0.25" bottom="0.2" header="0.2" footer="0.2"/>
  <pageSetup paperSize="9" scale="75" orientation="landscape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>
    <tabColor rgb="FFFF00FF"/>
  </sheetPr>
  <dimension ref="A1:AC1000"/>
  <sheetViews>
    <sheetView showGridLines="0" topLeftCell="A7" workbookViewId="0">
      <selection activeCell="H29" sqref="H29"/>
    </sheetView>
  </sheetViews>
  <sheetFormatPr baseColWidth="10" defaultColWidth="12.796875" defaultRowHeight="15" customHeight="1"/>
  <cols>
    <col min="1" max="1" width="4.796875" style="9" customWidth="1"/>
    <col min="2" max="2" width="3.796875" style="9" customWidth="1"/>
    <col min="3" max="10" width="6.3984375" style="9" customWidth="1"/>
    <col min="11" max="11" width="3.796875" style="9" customWidth="1"/>
    <col min="12" max="17" width="6.3984375" style="9" customWidth="1"/>
    <col min="18" max="18" width="4.19921875" style="9" customWidth="1"/>
    <col min="19" max="19" width="6.3984375" style="9" customWidth="1"/>
    <col min="20" max="20" width="3.796875" style="9" customWidth="1"/>
    <col min="21" max="27" width="6.3984375" style="9" customWidth="1"/>
    <col min="28" max="28" width="4.796875" style="9" customWidth="1"/>
    <col min="29" max="29" width="10.19921875" style="9" customWidth="1"/>
    <col min="30" max="16384" width="12.796875" style="9"/>
  </cols>
  <sheetData>
    <row r="1" spans="1:29" ht="12.75" hidden="1" customHeight="1">
      <c r="A1" s="2"/>
      <c r="B1" s="3"/>
      <c r="C1" s="4" t="s">
        <v>20</v>
      </c>
      <c r="D1" s="4" t="s">
        <v>21</v>
      </c>
      <c r="E1" s="4" t="s">
        <v>22</v>
      </c>
      <c r="F1" s="4" t="s">
        <v>23</v>
      </c>
      <c r="G1" s="5"/>
      <c r="H1" s="5"/>
      <c r="I1" s="6"/>
      <c r="J1" s="5"/>
      <c r="K1" s="5"/>
      <c r="L1" s="5"/>
      <c r="M1" s="4" t="s">
        <v>24</v>
      </c>
      <c r="N1" s="4" t="s">
        <v>25</v>
      </c>
      <c r="O1" s="4" t="s">
        <v>26</v>
      </c>
      <c r="P1" s="4" t="s">
        <v>27</v>
      </c>
      <c r="Q1" s="5"/>
      <c r="R1" s="6"/>
      <c r="S1" s="5"/>
      <c r="T1" s="5"/>
      <c r="U1" s="4" t="s">
        <v>28</v>
      </c>
      <c r="V1" s="4" t="s">
        <v>29</v>
      </c>
      <c r="W1" s="4" t="s">
        <v>30</v>
      </c>
      <c r="X1" s="4" t="s">
        <v>31</v>
      </c>
      <c r="Y1" s="5"/>
      <c r="Z1" s="5"/>
      <c r="AA1" s="5"/>
      <c r="AB1" s="7"/>
      <c r="AC1" s="8"/>
    </row>
    <row r="2" spans="1:29" ht="12.75" hidden="1" customHeight="1">
      <c r="A2" s="10"/>
      <c r="B2" s="11"/>
      <c r="C2" s="12" t="str">
        <f>"1/1/"&amp;I8</f>
        <v>1/1/2026</v>
      </c>
      <c r="D2" s="11">
        <f>U2+31</f>
        <v>46113</v>
      </c>
      <c r="E2" s="11">
        <f>V2+30</f>
        <v>46204</v>
      </c>
      <c r="F2" s="11">
        <f>W2+30</f>
        <v>46296</v>
      </c>
      <c r="G2" s="11"/>
      <c r="H2" s="11"/>
      <c r="I2" s="13"/>
      <c r="J2" s="11"/>
      <c r="K2" s="11"/>
      <c r="L2" s="11">
        <f>IF(OR((AND(MOD(YEAR(C2),4)=0,MOD(YEAR(C2),100)&lt;&gt;0)),(MOD(YEAR(C2),400)=0)),29,28)</f>
        <v>28</v>
      </c>
      <c r="M2" s="11">
        <f>C2+31</f>
        <v>46054</v>
      </c>
      <c r="N2" s="11">
        <f>D2+30</f>
        <v>46143</v>
      </c>
      <c r="O2" s="11">
        <f>E2+31</f>
        <v>46235</v>
      </c>
      <c r="P2" s="11">
        <f>F2+31</f>
        <v>46327</v>
      </c>
      <c r="Q2" s="11"/>
      <c r="R2" s="13"/>
      <c r="S2" s="11"/>
      <c r="T2" s="11"/>
      <c r="U2" s="11">
        <f>M2+L2</f>
        <v>46082</v>
      </c>
      <c r="V2" s="11">
        <f>N2+31</f>
        <v>46174</v>
      </c>
      <c r="W2" s="11">
        <f>O2+31</f>
        <v>46266</v>
      </c>
      <c r="X2" s="11">
        <f>P2+30</f>
        <v>46357</v>
      </c>
      <c r="Y2" s="11"/>
      <c r="Z2" s="11"/>
      <c r="AA2" s="11"/>
      <c r="AB2" s="8"/>
      <c r="AC2" s="8"/>
    </row>
    <row r="3" spans="1:29" ht="12.75" hidden="1" customHeight="1">
      <c r="A3" s="14" t="s">
        <v>20</v>
      </c>
      <c r="B3" s="15"/>
      <c r="C3" s="11">
        <f>IF(WEEKDAY($C$2)=1,1,0)</f>
        <v>0</v>
      </c>
      <c r="D3" s="11">
        <f>IF(WEEKDAY($C$2)=2,1,0)</f>
        <v>0</v>
      </c>
      <c r="E3" s="11">
        <f>IF(WEEKDAY($C$2)=3,1,0)</f>
        <v>0</v>
      </c>
      <c r="F3" s="11">
        <f>IF(WEEKDAY($C$2)=4,1,0)</f>
        <v>0</v>
      </c>
      <c r="G3" s="11">
        <f>IF(WEEKDAY($C$2)=5,1,0)</f>
        <v>1</v>
      </c>
      <c r="H3" s="11">
        <f>IF(WEEKDAY($C$2)=6,1,0)</f>
        <v>0</v>
      </c>
      <c r="I3" s="13">
        <f>IF(WEEKDAY($C$2)=7,1,0)</f>
        <v>0</v>
      </c>
      <c r="J3" s="15" t="s">
        <v>24</v>
      </c>
      <c r="K3" s="15"/>
      <c r="L3" s="11">
        <f>IF(WEEKDAY($M$2)=1,1,0)</f>
        <v>1</v>
      </c>
      <c r="M3" s="11">
        <f>IF(WEEKDAY($M$2)=2,1,0)</f>
        <v>0</v>
      </c>
      <c r="N3" s="11">
        <f>IF(WEEKDAY($M$2)=3,1,0)</f>
        <v>0</v>
      </c>
      <c r="O3" s="11">
        <f>IF(WEEKDAY($M$2)=4,1,0)</f>
        <v>0</v>
      </c>
      <c r="P3" s="11">
        <f>IF(WEEKDAY($M$2)=5,1,0)</f>
        <v>0</v>
      </c>
      <c r="Q3" s="11">
        <f>IF(WEEKDAY($M$2)=6,1,0)</f>
        <v>0</v>
      </c>
      <c r="R3" s="13">
        <f>IF(WEEKDAY($M$2)=7,1,0)</f>
        <v>0</v>
      </c>
      <c r="S3" s="15" t="s">
        <v>28</v>
      </c>
      <c r="T3" s="15"/>
      <c r="U3" s="11">
        <f>IF(WEEKDAY($U$2)=1,1,0)</f>
        <v>1</v>
      </c>
      <c r="V3" s="11">
        <f>IF(WEEKDAY($U$2)=2,1,0)</f>
        <v>0</v>
      </c>
      <c r="W3" s="11">
        <f>IF(WEEKDAY($U$2)=3,1,0)</f>
        <v>0</v>
      </c>
      <c r="X3" s="11">
        <f>IF(WEEKDAY($U$2)=4,1,0)</f>
        <v>0</v>
      </c>
      <c r="Y3" s="11">
        <f>IF(WEEKDAY($U$2)=5,1,0)</f>
        <v>0</v>
      </c>
      <c r="Z3" s="11">
        <f>IF(WEEKDAY($U$2)=6,1,0)</f>
        <v>0</v>
      </c>
      <c r="AA3" s="11">
        <f>IF(WEEKDAY($U$2)=7,1,0)</f>
        <v>0</v>
      </c>
      <c r="AB3" s="8"/>
      <c r="AC3" s="8"/>
    </row>
    <row r="4" spans="1:29" ht="12.75" hidden="1" customHeight="1">
      <c r="A4" s="14" t="s">
        <v>21</v>
      </c>
      <c r="B4" s="15"/>
      <c r="C4" s="11">
        <f>IF(WEEKDAY($D$2)=1,1,0)</f>
        <v>0</v>
      </c>
      <c r="D4" s="11">
        <f>IF(WEEKDAY($D$2)=2,1,0)</f>
        <v>0</v>
      </c>
      <c r="E4" s="11">
        <f>IF(WEEKDAY($D$2)=3,1,0)</f>
        <v>0</v>
      </c>
      <c r="F4" s="11">
        <f>IF(WEEKDAY($D$2)=4,1,0)</f>
        <v>1</v>
      </c>
      <c r="G4" s="11">
        <f>IF(WEEKDAY($D$2)=5,1,0)</f>
        <v>0</v>
      </c>
      <c r="H4" s="11">
        <f>IF(WEEKDAY($D$2)=6,1,0)</f>
        <v>0</v>
      </c>
      <c r="I4" s="13">
        <f>IF(WEEKDAY($D$2)=7,1,0)</f>
        <v>0</v>
      </c>
      <c r="J4" s="15" t="s">
        <v>25</v>
      </c>
      <c r="K4" s="15"/>
      <c r="L4" s="11">
        <f>IF(WEEKDAY($N$2)=1,1,0)</f>
        <v>0</v>
      </c>
      <c r="M4" s="11">
        <f>IF(WEEKDAY($N$2)=2,1,0)</f>
        <v>0</v>
      </c>
      <c r="N4" s="11">
        <f>IF(WEEKDAY($N$2)=3,1,0)</f>
        <v>0</v>
      </c>
      <c r="O4" s="11">
        <f>IF(WEEKDAY($N$2)=4,1,0)</f>
        <v>0</v>
      </c>
      <c r="P4" s="11">
        <f>IF(WEEKDAY($N$2)=5,1,0)</f>
        <v>0</v>
      </c>
      <c r="Q4" s="11">
        <f>IF(WEEKDAY($N$2)=6,1,0)</f>
        <v>1</v>
      </c>
      <c r="R4" s="13">
        <f>IF(WEEKDAY($N$2)=7,1,0)</f>
        <v>0</v>
      </c>
      <c r="S4" s="15" t="s">
        <v>29</v>
      </c>
      <c r="T4" s="15"/>
      <c r="U4" s="11">
        <f>IF(WEEKDAY($V$2)=1,1,0)</f>
        <v>0</v>
      </c>
      <c r="V4" s="11">
        <f>IF(WEEKDAY($V$2)=2,1,0)</f>
        <v>1</v>
      </c>
      <c r="W4" s="11">
        <f>IF(WEEKDAY($V$2)=3,1,0)</f>
        <v>0</v>
      </c>
      <c r="X4" s="11">
        <f>IF(WEEKDAY($V$2)=4,1,0)</f>
        <v>0</v>
      </c>
      <c r="Y4" s="11">
        <f>IF(WEEKDAY($V$2)=5,1,0)</f>
        <v>0</v>
      </c>
      <c r="Z4" s="11">
        <f>IF(WEEKDAY($V$2)=6,1,0)</f>
        <v>0</v>
      </c>
      <c r="AA4" s="11">
        <f>IF(WEEKDAY($V$2)=7,1,0)</f>
        <v>0</v>
      </c>
      <c r="AB4" s="8"/>
      <c r="AC4" s="8"/>
    </row>
    <row r="5" spans="1:29" ht="12.75" hidden="1" customHeight="1">
      <c r="A5" s="14" t="s">
        <v>22</v>
      </c>
      <c r="B5" s="15"/>
      <c r="C5" s="11">
        <f>IF(WEEKDAY($E$2)=1,1,0)</f>
        <v>0</v>
      </c>
      <c r="D5" s="11">
        <f>IF(WEEKDAY($E$2)=2,1,0)</f>
        <v>0</v>
      </c>
      <c r="E5" s="11">
        <f>IF(WEEKDAY($E$2)=3,1,0)</f>
        <v>0</v>
      </c>
      <c r="F5" s="11">
        <f>IF(WEEKDAY($E$2)=4,1,0)</f>
        <v>1</v>
      </c>
      <c r="G5" s="11">
        <f>IF(WEEKDAY($E$2)=5,1,0)</f>
        <v>0</v>
      </c>
      <c r="H5" s="11">
        <f>IF(WEEKDAY($E$2)=6,1,0)</f>
        <v>0</v>
      </c>
      <c r="I5" s="13">
        <f>IF(WEEKDAY($E$2)=7,1,0)</f>
        <v>0</v>
      </c>
      <c r="J5" s="15" t="s">
        <v>26</v>
      </c>
      <c r="K5" s="15"/>
      <c r="L5" s="11">
        <f>IF(WEEKDAY($O$2)=1,1,0)</f>
        <v>0</v>
      </c>
      <c r="M5" s="11">
        <f>IF(WEEKDAY($O$2)=2,1,0)</f>
        <v>0</v>
      </c>
      <c r="N5" s="11">
        <f>IF(WEEKDAY($O$2)=3,1,0)</f>
        <v>0</v>
      </c>
      <c r="O5" s="11">
        <f>IF(WEEKDAY($O$2)=4,1,0)</f>
        <v>0</v>
      </c>
      <c r="P5" s="11">
        <f>IF(WEEKDAY($O$2)=5,1,0)</f>
        <v>0</v>
      </c>
      <c r="Q5" s="11">
        <f>IF(WEEKDAY($O$2)=6,1,0)</f>
        <v>0</v>
      </c>
      <c r="R5" s="13">
        <f>IF(WEEKDAY($O$2)=7,1,0)</f>
        <v>1</v>
      </c>
      <c r="S5" s="15" t="s">
        <v>30</v>
      </c>
      <c r="T5" s="15"/>
      <c r="U5" s="11">
        <f>IF(WEEKDAY($W$2)=1,1,0)</f>
        <v>0</v>
      </c>
      <c r="V5" s="11">
        <f>IF(WEEKDAY($W$2)=2,1,0)</f>
        <v>0</v>
      </c>
      <c r="W5" s="11">
        <f>IF(WEEKDAY($W$2)=3,1,0)</f>
        <v>1</v>
      </c>
      <c r="X5" s="11">
        <f>IF(WEEKDAY($W$2)=4,1,0)</f>
        <v>0</v>
      </c>
      <c r="Y5" s="11">
        <f>IF(WEEKDAY($W$2)=5,1,0)</f>
        <v>0</v>
      </c>
      <c r="Z5" s="11">
        <f>IF(WEEKDAY($W$2)=6,1,0)</f>
        <v>0</v>
      </c>
      <c r="AA5" s="11">
        <f>IF(WEEKDAY($W$2)=7,1,0)</f>
        <v>0</v>
      </c>
      <c r="AB5" s="8"/>
      <c r="AC5" s="8"/>
    </row>
    <row r="6" spans="1:29" ht="12.75" hidden="1" customHeight="1">
      <c r="A6" s="14" t="s">
        <v>23</v>
      </c>
      <c r="B6" s="15"/>
      <c r="C6" s="11">
        <f>IF(WEEKDAY($F$2)=1,1,0)</f>
        <v>0</v>
      </c>
      <c r="D6" s="11">
        <f>IF(WEEKDAY($F$2)=2,1,0)</f>
        <v>0</v>
      </c>
      <c r="E6" s="11">
        <f>IF(WEEKDAY($F$2)=3,1,0)</f>
        <v>0</v>
      </c>
      <c r="F6" s="11">
        <f>IF(WEEKDAY($F$2)=4,1,0)</f>
        <v>0</v>
      </c>
      <c r="G6" s="11">
        <f>IF(WEEKDAY($F$2)=5,1,0)</f>
        <v>1</v>
      </c>
      <c r="H6" s="11">
        <f>IF(WEEKDAY($F$2)=6,1,0)</f>
        <v>0</v>
      </c>
      <c r="I6" s="13">
        <f>IF(WEEKDAY($F$2)=7,1,0)</f>
        <v>0</v>
      </c>
      <c r="J6" s="15" t="s">
        <v>27</v>
      </c>
      <c r="K6" s="15"/>
      <c r="L6" s="11">
        <f>IF(WEEKDAY($P$2)=1,1,0)</f>
        <v>1</v>
      </c>
      <c r="M6" s="11">
        <f>IF(WEEKDAY($P$2)=2,1,0)</f>
        <v>0</v>
      </c>
      <c r="N6" s="11">
        <f>IF(WEEKDAY($P$2)=3,1,0)</f>
        <v>0</v>
      </c>
      <c r="O6" s="11">
        <f>IF(WEEKDAY($P$2)=4,1,0)</f>
        <v>0</v>
      </c>
      <c r="P6" s="11">
        <f>IF(WEEKDAY($P$2)=5,1,0)</f>
        <v>0</v>
      </c>
      <c r="Q6" s="11">
        <f>IF(WEEKDAY($P$2)=6,1,0)</f>
        <v>0</v>
      </c>
      <c r="R6" s="13">
        <f>IF(WEEKDAY($P$2)=7,1,0)</f>
        <v>0</v>
      </c>
      <c r="S6" s="15" t="s">
        <v>31</v>
      </c>
      <c r="T6" s="15"/>
      <c r="U6" s="11">
        <f>IF(WEEKDAY($X$2)=1,1,0)</f>
        <v>0</v>
      </c>
      <c r="V6" s="11">
        <f>IF(WEEKDAY($X$2)=2,1,0)</f>
        <v>0</v>
      </c>
      <c r="W6" s="11">
        <f>IF(WEEKDAY($X$2)=3,1,0)</f>
        <v>1</v>
      </c>
      <c r="X6" s="11">
        <f>IF(WEEKDAY($X$2)=4,1,0)</f>
        <v>0</v>
      </c>
      <c r="Y6" s="11">
        <f>IF(WEEKDAY($X$2)=5,1,0)</f>
        <v>0</v>
      </c>
      <c r="Z6" s="11">
        <f>IF(WEEKDAY($X$2)=6,1,0)</f>
        <v>0</v>
      </c>
      <c r="AA6" s="11">
        <f>IF(WEEKDAY($X$2)=7,1,0)</f>
        <v>0</v>
      </c>
      <c r="AB6" s="8"/>
      <c r="AC6" s="8"/>
    </row>
    <row r="7" spans="1:29" ht="12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</row>
    <row r="8" spans="1:29" ht="24.75" customHeight="1">
      <c r="A8" s="16"/>
      <c r="B8" s="17"/>
      <c r="C8" s="18" t="s">
        <v>32</v>
      </c>
      <c r="D8" s="19"/>
      <c r="E8" s="19"/>
      <c r="F8" s="19"/>
      <c r="G8" s="19"/>
      <c r="H8" s="20"/>
      <c r="I8" s="309">
        <v>2026</v>
      </c>
      <c r="J8" s="310"/>
      <c r="K8" s="310"/>
      <c r="L8" s="8"/>
      <c r="M8" s="8"/>
      <c r="N8" s="21" t="s">
        <v>33</v>
      </c>
      <c r="O8" s="22"/>
      <c r="P8" s="22"/>
      <c r="Q8" s="22"/>
      <c r="R8" s="22"/>
      <c r="S8" s="22"/>
      <c r="T8" s="8"/>
      <c r="U8" s="8"/>
      <c r="V8" s="8"/>
      <c r="W8" s="8"/>
      <c r="X8" s="8"/>
      <c r="Y8" s="8"/>
      <c r="Z8" s="8"/>
      <c r="AA8" s="8"/>
      <c r="AB8" s="8"/>
      <c r="AC8" s="8"/>
    </row>
    <row r="9" spans="1:29" ht="15.75" customHeight="1" thickBot="1">
      <c r="A9" s="23"/>
      <c r="B9" s="23"/>
      <c r="C9" s="311" t="s">
        <v>34</v>
      </c>
      <c r="D9" s="312"/>
      <c r="E9" s="312"/>
      <c r="F9" s="312"/>
      <c r="G9" s="312"/>
      <c r="H9" s="20"/>
      <c r="I9" s="24"/>
      <c r="J9" s="24"/>
      <c r="K9" s="24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  <c r="AA9" s="8"/>
      <c r="AB9" s="8"/>
      <c r="AC9" s="8"/>
    </row>
    <row r="10" spans="1:29" ht="7.5" customHeight="1">
      <c r="A10" s="25"/>
      <c r="B10" s="26"/>
      <c r="C10" s="27"/>
      <c r="D10" s="27"/>
      <c r="E10" s="27"/>
      <c r="F10" s="27"/>
      <c r="G10" s="27"/>
      <c r="H10" s="27"/>
      <c r="I10" s="27"/>
      <c r="J10" s="27"/>
      <c r="K10" s="27"/>
      <c r="L10" s="27"/>
      <c r="M10" s="27"/>
      <c r="N10" s="27"/>
      <c r="O10" s="27"/>
      <c r="P10" s="27"/>
      <c r="Q10" s="27"/>
      <c r="R10" s="27"/>
      <c r="S10" s="27"/>
      <c r="T10" s="27"/>
      <c r="U10" s="27"/>
      <c r="V10" s="27"/>
      <c r="W10" s="27"/>
      <c r="X10" s="27"/>
      <c r="Y10" s="27"/>
      <c r="Z10" s="27"/>
      <c r="AA10" s="27"/>
      <c r="AB10" s="28"/>
      <c r="AC10" s="8"/>
    </row>
    <row r="11" spans="1:29" ht="7.5" customHeight="1">
      <c r="A11" s="29"/>
      <c r="B11" s="30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  <c r="AB11" s="31"/>
      <c r="AC11" s="8"/>
    </row>
    <row r="12" spans="1:29" ht="24.75" customHeight="1">
      <c r="A12" s="32"/>
      <c r="B12" s="23"/>
      <c r="C12" s="20"/>
      <c r="D12" s="20"/>
      <c r="E12" s="20"/>
      <c r="F12" s="20"/>
      <c r="G12" s="20"/>
      <c r="H12" s="20"/>
      <c r="I12" s="20"/>
      <c r="J12" s="313" t="s">
        <v>35</v>
      </c>
      <c r="K12" s="312"/>
      <c r="L12" s="312"/>
      <c r="M12" s="312"/>
      <c r="N12" s="312"/>
      <c r="O12" s="312"/>
      <c r="P12" s="314">
        <f>I8</f>
        <v>2026</v>
      </c>
      <c r="Q12" s="312"/>
      <c r="R12" s="33"/>
      <c r="S12" s="34"/>
      <c r="T12" s="34"/>
      <c r="U12" s="20"/>
      <c r="V12" s="20"/>
      <c r="W12" s="20"/>
      <c r="X12" s="20"/>
      <c r="Y12" s="20"/>
      <c r="Z12" s="20"/>
      <c r="AA12" s="20"/>
      <c r="AB12" s="35"/>
      <c r="AC12" s="8"/>
    </row>
    <row r="13" spans="1:29" ht="20.25" customHeight="1">
      <c r="A13" s="32"/>
      <c r="B13" s="23"/>
      <c r="C13" s="20"/>
      <c r="D13" s="20"/>
      <c r="E13" s="20"/>
      <c r="F13" s="20"/>
      <c r="G13" s="20"/>
      <c r="H13" s="20"/>
      <c r="I13" s="20"/>
      <c r="J13" s="36"/>
      <c r="K13" s="36"/>
      <c r="L13" s="36"/>
      <c r="M13" s="36"/>
      <c r="N13" s="36"/>
      <c r="O13" s="36"/>
      <c r="P13" s="37"/>
      <c r="Q13" s="37"/>
      <c r="R13" s="20"/>
      <c r="S13" s="20"/>
      <c r="T13" s="20"/>
      <c r="U13" s="20"/>
      <c r="V13" s="20"/>
      <c r="W13" s="20"/>
      <c r="X13" s="20"/>
      <c r="Y13" s="20"/>
      <c r="Z13" s="20"/>
      <c r="AA13" s="20"/>
      <c r="AB13" s="35"/>
      <c r="AC13" s="8"/>
    </row>
    <row r="14" spans="1:29" ht="12.75" customHeight="1">
      <c r="A14" s="29"/>
      <c r="B14" s="30"/>
      <c r="C14" s="8"/>
      <c r="D14" s="8"/>
      <c r="E14" s="3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31"/>
      <c r="AC14" s="8"/>
    </row>
    <row r="15" spans="1:29" ht="12.75" customHeight="1">
      <c r="A15" s="29"/>
      <c r="B15" s="30"/>
      <c r="C15" s="8"/>
      <c r="D15" s="8"/>
      <c r="E15" s="3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  <c r="AB15" s="31"/>
      <c r="AC15" s="8"/>
    </row>
    <row r="16" spans="1:29" ht="12.75" customHeight="1">
      <c r="A16" s="29"/>
      <c r="B16" s="30"/>
      <c r="C16" s="8"/>
      <c r="D16" s="8"/>
      <c r="E16" s="3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  <c r="AB16" s="31"/>
      <c r="AC16" s="8"/>
    </row>
    <row r="17" spans="1:29" ht="12.75" customHeight="1">
      <c r="A17" s="29"/>
      <c r="B17" s="30"/>
      <c r="C17" s="8"/>
      <c r="D17" s="8"/>
      <c r="E17" s="38"/>
      <c r="F17" s="8"/>
      <c r="G17" s="8"/>
      <c r="H17" s="8"/>
      <c r="I17" s="8"/>
      <c r="J17" s="8"/>
      <c r="K17" s="8"/>
      <c r="L17" s="8"/>
      <c r="M17" s="8"/>
      <c r="N17" s="38"/>
      <c r="O17" s="8"/>
      <c r="P17" s="8"/>
      <c r="Q17" s="8"/>
      <c r="R17" s="8"/>
      <c r="S17" s="8"/>
      <c r="T17" s="8"/>
      <c r="U17" s="8"/>
      <c r="V17" s="8"/>
      <c r="W17" s="8"/>
      <c r="X17" s="38"/>
      <c r="Y17" s="8"/>
      <c r="Z17" s="8"/>
      <c r="AA17" s="8"/>
      <c r="AB17" s="31"/>
      <c r="AC17" s="8"/>
    </row>
    <row r="18" spans="1:29" ht="12.75" customHeight="1">
      <c r="A18" s="29"/>
      <c r="B18" s="30"/>
      <c r="C18" s="8"/>
      <c r="D18" s="8"/>
      <c r="E18" s="3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  <c r="AB18" s="31"/>
      <c r="AC18" s="8"/>
    </row>
    <row r="19" spans="1:29" ht="12.75" customHeight="1">
      <c r="A19" s="29"/>
      <c r="B19" s="30"/>
      <c r="C19" s="8"/>
      <c r="D19" s="8"/>
      <c r="E19" s="3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  <c r="AB19" s="31"/>
      <c r="AC19" s="8"/>
    </row>
    <row r="20" spans="1:29" ht="12.75" customHeight="1">
      <c r="A20" s="29"/>
      <c r="B20" s="30"/>
      <c r="C20" s="8"/>
      <c r="D20" s="8"/>
      <c r="E20" s="3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  <c r="AB20" s="31"/>
      <c r="AC20" s="8"/>
    </row>
    <row r="21" spans="1:29" ht="18" customHeight="1" thickBot="1">
      <c r="A21" s="39"/>
      <c r="B21" s="308" t="s">
        <v>36</v>
      </c>
      <c r="C21" s="304"/>
      <c r="D21" s="304"/>
      <c r="E21" s="304"/>
      <c r="F21" s="304"/>
      <c r="G21" s="304"/>
      <c r="H21" s="304"/>
      <c r="I21" s="304"/>
      <c r="J21" s="40"/>
      <c r="K21" s="305" t="s">
        <v>37</v>
      </c>
      <c r="L21" s="304"/>
      <c r="M21" s="304"/>
      <c r="N21" s="304"/>
      <c r="O21" s="304"/>
      <c r="P21" s="304"/>
      <c r="Q21" s="304"/>
      <c r="R21" s="304"/>
      <c r="S21" s="40"/>
      <c r="T21" s="303" t="s">
        <v>38</v>
      </c>
      <c r="U21" s="304"/>
      <c r="V21" s="304"/>
      <c r="W21" s="304"/>
      <c r="X21" s="304"/>
      <c r="Y21" s="304"/>
      <c r="Z21" s="304"/>
      <c r="AA21" s="304"/>
      <c r="AB21" s="41"/>
      <c r="AC21" s="42"/>
    </row>
    <row r="22" spans="1:29" ht="18" customHeight="1">
      <c r="A22" s="43"/>
      <c r="B22" s="44" t="s">
        <v>39</v>
      </c>
      <c r="C22" s="45" t="s">
        <v>40</v>
      </c>
      <c r="D22" s="46" t="s">
        <v>41</v>
      </c>
      <c r="E22" s="46" t="s">
        <v>42</v>
      </c>
      <c r="F22" s="46" t="s">
        <v>43</v>
      </c>
      <c r="G22" s="46" t="s">
        <v>44</v>
      </c>
      <c r="H22" s="46" t="s">
        <v>45</v>
      </c>
      <c r="I22" s="47" t="s">
        <v>46</v>
      </c>
      <c r="J22" s="48"/>
      <c r="K22" s="44" t="s">
        <v>39</v>
      </c>
      <c r="L22" s="45" t="s">
        <v>40</v>
      </c>
      <c r="M22" s="46" t="s">
        <v>41</v>
      </c>
      <c r="N22" s="46" t="s">
        <v>42</v>
      </c>
      <c r="O22" s="46" t="s">
        <v>43</v>
      </c>
      <c r="P22" s="46" t="s">
        <v>44</v>
      </c>
      <c r="Q22" s="46" t="s">
        <v>45</v>
      </c>
      <c r="R22" s="47" t="s">
        <v>46</v>
      </c>
      <c r="S22" s="48"/>
      <c r="T22" s="44" t="s">
        <v>39</v>
      </c>
      <c r="U22" s="45" t="s">
        <v>40</v>
      </c>
      <c r="V22" s="46" t="s">
        <v>41</v>
      </c>
      <c r="W22" s="46" t="s">
        <v>42</v>
      </c>
      <c r="X22" s="46" t="s">
        <v>43</v>
      </c>
      <c r="Y22" s="46" t="s">
        <v>44</v>
      </c>
      <c r="Z22" s="46" t="s">
        <v>45</v>
      </c>
      <c r="AA22" s="47" t="s">
        <v>46</v>
      </c>
      <c r="AB22" s="31"/>
      <c r="AC22" s="8"/>
    </row>
    <row r="23" spans="1:29" ht="18" customHeight="1">
      <c r="A23" s="49"/>
      <c r="B23" s="50">
        <v>1</v>
      </c>
      <c r="C23" s="51">
        <f>IF($C$3=1,1,0)</f>
        <v>0</v>
      </c>
      <c r="D23" s="52">
        <f>IF($D$3=1,1,IF(C23&gt;0,C23+1,0))</f>
        <v>0</v>
      </c>
      <c r="E23" s="52">
        <f>IF($E$3=1,1,IF(D23&gt;0,D23+1,0))</f>
        <v>0</v>
      </c>
      <c r="F23" s="52">
        <f>IF($F$3=1,1,IF(E23&gt;0,E23+1,0))</f>
        <v>0</v>
      </c>
      <c r="G23" s="52">
        <f>IF($G$3=1,1,IF(F23&gt;0,F23+1,0))</f>
        <v>1</v>
      </c>
      <c r="H23" s="52">
        <f>IF($H$3=1,1,IF(G23&gt;0,G23+1,0))</f>
        <v>2</v>
      </c>
      <c r="I23" s="53">
        <f>IF($I$3=1,1,IF(H23&gt;0,H23+1,0))</f>
        <v>3</v>
      </c>
      <c r="J23" s="24"/>
      <c r="K23" s="54">
        <f>IF(B28&gt;0,B27+1,B27)</f>
        <v>5</v>
      </c>
      <c r="L23" s="51">
        <f>IF($L$3=1,1,0)</f>
        <v>1</v>
      </c>
      <c r="M23" s="52">
        <f>IF($M$3=1,1,IF(L23&gt;0,L23+1,0))</f>
        <v>2</v>
      </c>
      <c r="N23" s="52">
        <f>IF($N$3=1,1,IF(M23&gt;0,M23+1,0))</f>
        <v>3</v>
      </c>
      <c r="O23" s="52">
        <f>IF($O$3=1,1,IF(N23&gt;0,N23+1,0))</f>
        <v>4</v>
      </c>
      <c r="P23" s="52">
        <f>IF($P$3=1,1,IF(O23&gt;0,O23+1,0))</f>
        <v>5</v>
      </c>
      <c r="Q23" s="52">
        <f>IF($Q$3=1,1,IF(P23&gt;0,P23+1,0))</f>
        <v>6</v>
      </c>
      <c r="R23" s="53">
        <f>IF($R$3=1,1,IF(Q23&gt;0,Q23+1,0))</f>
        <v>7</v>
      </c>
      <c r="S23" s="24"/>
      <c r="T23" s="54">
        <f>IF(K28&gt;0,K27+1,K27)</f>
        <v>9</v>
      </c>
      <c r="U23" s="51">
        <f>IF($U$3=1,1,0)</f>
        <v>1</v>
      </c>
      <c r="V23" s="52">
        <f>IF($V$3=1,1,IF(U23&gt;0,U23+1,0))</f>
        <v>2</v>
      </c>
      <c r="W23" s="52">
        <f>IF($W$3=1,1,IF(V23&gt;0,V23+1,0))</f>
        <v>3</v>
      </c>
      <c r="X23" s="52">
        <f>IF($X$3=1,1,IF(W23&gt;0,W23+1,0))</f>
        <v>4</v>
      </c>
      <c r="Y23" s="52">
        <f>IF($Y$3=1,1,IF(X23&gt;0,X23+1,0))</f>
        <v>5</v>
      </c>
      <c r="Z23" s="52">
        <f>IF($Z$3=1,1,IF(Y23&gt;0,Y23+1,0))</f>
        <v>6</v>
      </c>
      <c r="AA23" s="53">
        <f>IF($AA$3=1,1,IF(Z23&gt;0,Z23+1,0))</f>
        <v>7</v>
      </c>
      <c r="AB23" s="31"/>
      <c r="AC23" s="8"/>
    </row>
    <row r="24" spans="1:29" ht="18" customHeight="1">
      <c r="A24" s="49"/>
      <c r="B24" s="55">
        <f>B23+1</f>
        <v>2</v>
      </c>
      <c r="C24" s="56">
        <f>IF(AND(I23&gt;0,I23&lt;31),I23+1,0)</f>
        <v>4</v>
      </c>
      <c r="D24" s="57">
        <f t="shared" ref="D24:I28" si="0">IF(AND(C24&gt;0,C24&lt;31),C24+1,0)</f>
        <v>5</v>
      </c>
      <c r="E24" s="57">
        <f t="shared" si="0"/>
        <v>6</v>
      </c>
      <c r="F24" s="57">
        <f t="shared" si="0"/>
        <v>7</v>
      </c>
      <c r="G24" s="57">
        <f t="shared" si="0"/>
        <v>8</v>
      </c>
      <c r="H24" s="57">
        <f t="shared" si="0"/>
        <v>9</v>
      </c>
      <c r="I24" s="58">
        <f t="shared" si="0"/>
        <v>10</v>
      </c>
      <c r="J24" s="24"/>
      <c r="K24" s="54">
        <f>K23+1</f>
        <v>6</v>
      </c>
      <c r="L24" s="56">
        <f>IF(AND(R23&gt;0,R23&lt;$L$2),R23+1,0)</f>
        <v>8</v>
      </c>
      <c r="M24" s="57">
        <f t="shared" ref="M24:R29" si="1">IF(AND(L24&gt;0,L24&lt;$L$2),L24+1,0)</f>
        <v>9</v>
      </c>
      <c r="N24" s="57">
        <f t="shared" si="1"/>
        <v>10</v>
      </c>
      <c r="O24" s="57">
        <f t="shared" si="1"/>
        <v>11</v>
      </c>
      <c r="P24" s="57">
        <f t="shared" si="1"/>
        <v>12</v>
      </c>
      <c r="Q24" s="57">
        <f t="shared" si="1"/>
        <v>13</v>
      </c>
      <c r="R24" s="58">
        <f t="shared" si="1"/>
        <v>14</v>
      </c>
      <c r="S24" s="24"/>
      <c r="T24" s="54">
        <f>T23+1</f>
        <v>10</v>
      </c>
      <c r="U24" s="56">
        <f>IF(AND(AA23&gt;0,AA23&lt;31),AA23+1,0)</f>
        <v>8</v>
      </c>
      <c r="V24" s="57">
        <f t="shared" ref="V24:AA28" si="2">IF(AND(U24&gt;0,U24&lt;31),U24+1,0)</f>
        <v>9</v>
      </c>
      <c r="W24" s="57">
        <f t="shared" si="2"/>
        <v>10</v>
      </c>
      <c r="X24" s="57">
        <f t="shared" si="2"/>
        <v>11</v>
      </c>
      <c r="Y24" s="57">
        <f t="shared" si="2"/>
        <v>12</v>
      </c>
      <c r="Z24" s="57">
        <f t="shared" si="2"/>
        <v>13</v>
      </c>
      <c r="AA24" s="58">
        <f t="shared" si="2"/>
        <v>14</v>
      </c>
      <c r="AB24" s="31"/>
      <c r="AC24" s="8"/>
    </row>
    <row r="25" spans="1:29" ht="18" customHeight="1">
      <c r="A25" s="49"/>
      <c r="B25" s="55">
        <f>B24+1</f>
        <v>3</v>
      </c>
      <c r="C25" s="56">
        <f>IF(AND(I24&gt;0,I24&lt;31),I24+1,0)</f>
        <v>11</v>
      </c>
      <c r="D25" s="57">
        <f t="shared" si="0"/>
        <v>12</v>
      </c>
      <c r="E25" s="57">
        <f t="shared" si="0"/>
        <v>13</v>
      </c>
      <c r="F25" s="57">
        <f t="shared" si="0"/>
        <v>14</v>
      </c>
      <c r="G25" s="57">
        <f t="shared" si="0"/>
        <v>15</v>
      </c>
      <c r="H25" s="57">
        <f t="shared" si="0"/>
        <v>16</v>
      </c>
      <c r="I25" s="58">
        <f t="shared" si="0"/>
        <v>17</v>
      </c>
      <c r="J25" s="24"/>
      <c r="K25" s="54">
        <f>K24+1</f>
        <v>7</v>
      </c>
      <c r="L25" s="56">
        <f>IF(AND(R24&gt;0,R24&lt;$L$2),R24+1,0)</f>
        <v>15</v>
      </c>
      <c r="M25" s="57">
        <f t="shared" si="1"/>
        <v>16</v>
      </c>
      <c r="N25" s="57">
        <f t="shared" si="1"/>
        <v>17</v>
      </c>
      <c r="O25" s="57">
        <f>IF(AND(N25&gt;0,N25&lt;$L$2),N25+1,0)</f>
        <v>18</v>
      </c>
      <c r="P25" s="57">
        <f t="shared" si="1"/>
        <v>19</v>
      </c>
      <c r="Q25" s="57">
        <f t="shared" si="1"/>
        <v>20</v>
      </c>
      <c r="R25" s="58">
        <f t="shared" si="1"/>
        <v>21</v>
      </c>
      <c r="S25" s="24"/>
      <c r="T25" s="54">
        <f>T24+1</f>
        <v>11</v>
      </c>
      <c r="U25" s="56">
        <f>IF(AND(AA24&gt;0,AA24&lt;31),AA24+1,0)</f>
        <v>15</v>
      </c>
      <c r="V25" s="57">
        <f t="shared" si="2"/>
        <v>16</v>
      </c>
      <c r="W25" s="57">
        <f t="shared" si="2"/>
        <v>17</v>
      </c>
      <c r="X25" s="57">
        <f t="shared" si="2"/>
        <v>18</v>
      </c>
      <c r="Y25" s="57">
        <f t="shared" si="2"/>
        <v>19</v>
      </c>
      <c r="Z25" s="57">
        <f t="shared" si="2"/>
        <v>20</v>
      </c>
      <c r="AA25" s="58">
        <f t="shared" si="2"/>
        <v>21</v>
      </c>
      <c r="AB25" s="31"/>
      <c r="AC25" s="8"/>
    </row>
    <row r="26" spans="1:29" ht="18" customHeight="1">
      <c r="A26" s="49"/>
      <c r="B26" s="55">
        <f>B25+1</f>
        <v>4</v>
      </c>
      <c r="C26" s="56">
        <f>IF(AND(I25&gt;0,I25&lt;31),I25+1,0)</f>
        <v>18</v>
      </c>
      <c r="D26" s="57">
        <f t="shared" si="0"/>
        <v>19</v>
      </c>
      <c r="E26" s="57">
        <f t="shared" si="0"/>
        <v>20</v>
      </c>
      <c r="F26" s="57">
        <f t="shared" si="0"/>
        <v>21</v>
      </c>
      <c r="G26" s="57">
        <f t="shared" si="0"/>
        <v>22</v>
      </c>
      <c r="H26" s="57">
        <f t="shared" si="0"/>
        <v>23</v>
      </c>
      <c r="I26" s="58">
        <f t="shared" si="0"/>
        <v>24</v>
      </c>
      <c r="J26" s="24"/>
      <c r="K26" s="54">
        <f>K25+1</f>
        <v>8</v>
      </c>
      <c r="L26" s="56">
        <f>IF(AND(R25&gt;0,R25&lt;$L$2),R25+1,0)</f>
        <v>22</v>
      </c>
      <c r="M26" s="57">
        <f t="shared" si="1"/>
        <v>23</v>
      </c>
      <c r="N26" s="57">
        <f t="shared" si="1"/>
        <v>24</v>
      </c>
      <c r="O26" s="57">
        <f t="shared" si="1"/>
        <v>25</v>
      </c>
      <c r="P26" s="57">
        <f t="shared" si="1"/>
        <v>26</v>
      </c>
      <c r="Q26" s="57">
        <f t="shared" si="1"/>
        <v>27</v>
      </c>
      <c r="R26" s="58">
        <f t="shared" si="1"/>
        <v>28</v>
      </c>
      <c r="S26" s="24"/>
      <c r="T26" s="54">
        <f>T25+1</f>
        <v>12</v>
      </c>
      <c r="U26" s="56">
        <f>IF(AND(AA25&gt;0,AA25&lt;31),AA25+1,0)</f>
        <v>22</v>
      </c>
      <c r="V26" s="57">
        <f t="shared" si="2"/>
        <v>23</v>
      </c>
      <c r="W26" s="57">
        <f t="shared" si="2"/>
        <v>24</v>
      </c>
      <c r="X26" s="57">
        <f t="shared" si="2"/>
        <v>25</v>
      </c>
      <c r="Y26" s="57">
        <f t="shared" si="2"/>
        <v>26</v>
      </c>
      <c r="Z26" s="57">
        <f t="shared" si="2"/>
        <v>27</v>
      </c>
      <c r="AA26" s="58">
        <f t="shared" si="2"/>
        <v>28</v>
      </c>
      <c r="AB26" s="31"/>
      <c r="AC26" s="8"/>
    </row>
    <row r="27" spans="1:29" ht="18" customHeight="1">
      <c r="A27" s="49"/>
      <c r="B27" s="55">
        <f>B26+1</f>
        <v>5</v>
      </c>
      <c r="C27" s="56">
        <f>IF(AND(I26&gt;0,I26&lt;31),I26+1,0)</f>
        <v>25</v>
      </c>
      <c r="D27" s="57">
        <f t="shared" si="0"/>
        <v>26</v>
      </c>
      <c r="E27" s="57">
        <f t="shared" si="0"/>
        <v>27</v>
      </c>
      <c r="F27" s="57">
        <f t="shared" si="0"/>
        <v>28</v>
      </c>
      <c r="G27" s="57">
        <f t="shared" si="0"/>
        <v>29</v>
      </c>
      <c r="H27" s="57">
        <f t="shared" si="0"/>
        <v>30</v>
      </c>
      <c r="I27" s="58">
        <f t="shared" si="0"/>
        <v>31</v>
      </c>
      <c r="J27" s="24"/>
      <c r="K27" s="54">
        <f>K26+1</f>
        <v>9</v>
      </c>
      <c r="L27" s="56">
        <f>IF(AND(R26&gt;0,R26&lt;$L$2),R26+1,0)</f>
        <v>0</v>
      </c>
      <c r="M27" s="57">
        <f t="shared" si="1"/>
        <v>0</v>
      </c>
      <c r="N27" s="57">
        <f t="shared" si="1"/>
        <v>0</v>
      </c>
      <c r="O27" s="57">
        <f t="shared" si="1"/>
        <v>0</v>
      </c>
      <c r="P27" s="57">
        <f t="shared" si="1"/>
        <v>0</v>
      </c>
      <c r="Q27" s="57">
        <f t="shared" si="1"/>
        <v>0</v>
      </c>
      <c r="R27" s="58">
        <f t="shared" si="1"/>
        <v>0</v>
      </c>
      <c r="S27" s="24"/>
      <c r="T27" s="54">
        <f>T26+1</f>
        <v>13</v>
      </c>
      <c r="U27" s="56">
        <f>IF(AND(AA26&gt;0,AA26&lt;31),AA26+1,0)</f>
        <v>29</v>
      </c>
      <c r="V27" s="57">
        <f t="shared" si="2"/>
        <v>30</v>
      </c>
      <c r="W27" s="57">
        <f t="shared" si="2"/>
        <v>31</v>
      </c>
      <c r="X27" s="57">
        <f t="shared" si="2"/>
        <v>0</v>
      </c>
      <c r="Y27" s="57">
        <f t="shared" si="2"/>
        <v>0</v>
      </c>
      <c r="Z27" s="59">
        <f t="shared" si="2"/>
        <v>0</v>
      </c>
      <c r="AA27" s="58">
        <f t="shared" si="2"/>
        <v>0</v>
      </c>
      <c r="AB27" s="31"/>
      <c r="AC27" s="8"/>
    </row>
    <row r="28" spans="1:29" ht="11.25" customHeight="1" thickBot="1">
      <c r="A28" s="49"/>
      <c r="B28" s="60">
        <f>IF(C28=0,0,B27+1)</f>
        <v>0</v>
      </c>
      <c r="C28" s="61">
        <f>IF(AND(I27&gt;0,I27&lt;31),I27+1,0)</f>
        <v>0</v>
      </c>
      <c r="D28" s="62">
        <f t="shared" si="0"/>
        <v>0</v>
      </c>
      <c r="E28" s="62">
        <f t="shared" si="0"/>
        <v>0</v>
      </c>
      <c r="F28" s="62">
        <f t="shared" si="0"/>
        <v>0</v>
      </c>
      <c r="G28" s="62">
        <f t="shared" si="0"/>
        <v>0</v>
      </c>
      <c r="H28" s="62">
        <f t="shared" si="0"/>
        <v>0</v>
      </c>
      <c r="I28" s="63">
        <f t="shared" si="0"/>
        <v>0</v>
      </c>
      <c r="J28" s="24"/>
      <c r="K28" s="64">
        <f>IF(L28=0,0,K27+1)</f>
        <v>0</v>
      </c>
      <c r="L28" s="65">
        <f>IF(AND(R27&gt;0,R27&lt;$L$2),R27+1,0)</f>
        <v>0</v>
      </c>
      <c r="M28" s="62">
        <f t="shared" si="1"/>
        <v>0</v>
      </c>
      <c r="N28" s="62">
        <f t="shared" si="1"/>
        <v>0</v>
      </c>
      <c r="O28" s="62">
        <f t="shared" si="1"/>
        <v>0</v>
      </c>
      <c r="P28" s="62">
        <f t="shared" si="1"/>
        <v>0</v>
      </c>
      <c r="Q28" s="62">
        <f t="shared" si="1"/>
        <v>0</v>
      </c>
      <c r="R28" s="63">
        <f t="shared" si="1"/>
        <v>0</v>
      </c>
      <c r="S28" s="24"/>
      <c r="T28" s="64">
        <f>IF(U28=0,0,T27+1)</f>
        <v>0</v>
      </c>
      <c r="U28" s="65">
        <f>IF(AND(AA27&gt;0,AA27&lt;31),AA27+1,0)</f>
        <v>0</v>
      </c>
      <c r="V28" s="62">
        <f t="shared" si="2"/>
        <v>0</v>
      </c>
      <c r="W28" s="62">
        <f t="shared" si="2"/>
        <v>0</v>
      </c>
      <c r="X28" s="62">
        <f t="shared" si="2"/>
        <v>0</v>
      </c>
      <c r="Y28" s="62">
        <f t="shared" si="2"/>
        <v>0</v>
      </c>
      <c r="Z28" s="62">
        <f t="shared" si="2"/>
        <v>0</v>
      </c>
      <c r="AA28" s="63">
        <f t="shared" si="2"/>
        <v>0</v>
      </c>
      <c r="AB28" s="31"/>
      <c r="AC28" s="8"/>
    </row>
    <row r="29" spans="1:29" ht="18" customHeight="1">
      <c r="A29" s="49"/>
      <c r="B29" s="66"/>
      <c r="C29" s="67"/>
      <c r="D29" s="8"/>
      <c r="E29" s="8"/>
      <c r="F29" s="8"/>
      <c r="G29" s="8"/>
      <c r="H29" s="8"/>
      <c r="I29" s="68"/>
      <c r="J29" s="24"/>
      <c r="K29" s="66"/>
      <c r="L29" s="68"/>
      <c r="M29" s="8"/>
      <c r="N29" s="8"/>
      <c r="O29" s="8" t="str">
        <f ca="1">IF(TODAY()=DATE(I8,2,14),"Sinh Nhat Tam","")</f>
        <v/>
      </c>
      <c r="P29" s="8">
        <f t="shared" ca="1" si="1"/>
        <v>0</v>
      </c>
      <c r="Q29" s="8">
        <f t="shared" ca="1" si="1"/>
        <v>0</v>
      </c>
      <c r="R29" s="68">
        <f t="shared" ca="1" si="1"/>
        <v>0</v>
      </c>
      <c r="S29" s="24"/>
      <c r="T29" s="66"/>
      <c r="U29" s="68"/>
      <c r="V29" s="8"/>
      <c r="W29" s="8"/>
      <c r="X29" s="8"/>
      <c r="Y29" s="8"/>
      <c r="Z29" s="8"/>
      <c r="AA29" s="68"/>
      <c r="AB29" s="31"/>
      <c r="AC29" s="8"/>
    </row>
    <row r="30" spans="1:29" ht="18" customHeight="1">
      <c r="A30" s="49"/>
      <c r="B30" s="66"/>
      <c r="C30" s="67"/>
      <c r="D30" s="8"/>
      <c r="E30" s="8"/>
      <c r="F30" s="8"/>
      <c r="G30" s="8"/>
      <c r="H30" s="8"/>
      <c r="I30" s="68"/>
      <c r="J30" s="24"/>
      <c r="K30" s="66"/>
      <c r="L30" s="68"/>
      <c r="M30" s="8"/>
      <c r="N30" s="8"/>
      <c r="O30" s="8"/>
      <c r="P30" s="8"/>
      <c r="Q30" s="8"/>
      <c r="R30" s="68"/>
      <c r="S30" s="24"/>
      <c r="T30" s="66"/>
      <c r="U30" s="68"/>
      <c r="V30" s="8"/>
      <c r="W30" s="8"/>
      <c r="X30" s="8"/>
      <c r="Y30" s="8"/>
      <c r="Z30" s="8"/>
      <c r="AA30" s="68"/>
      <c r="AB30" s="31"/>
      <c r="AC30" s="8"/>
    </row>
    <row r="31" spans="1:29" ht="18" customHeight="1">
      <c r="A31" s="49"/>
      <c r="B31" s="66"/>
      <c r="C31" s="67"/>
      <c r="D31" s="8"/>
      <c r="E31" s="8"/>
      <c r="F31" s="8"/>
      <c r="G31" s="38"/>
      <c r="H31" s="8"/>
      <c r="I31" s="68"/>
      <c r="J31" s="24"/>
      <c r="K31" s="38"/>
      <c r="L31" s="68"/>
      <c r="M31" s="8"/>
      <c r="N31" s="38"/>
      <c r="O31" s="8"/>
      <c r="P31" s="8"/>
      <c r="Q31" s="8"/>
      <c r="R31" s="68"/>
      <c r="S31" s="24"/>
      <c r="T31" s="66"/>
      <c r="U31" s="68"/>
      <c r="V31" s="8"/>
      <c r="W31" s="8"/>
      <c r="X31" s="8"/>
      <c r="Y31" s="8"/>
      <c r="Z31" s="8"/>
      <c r="AA31" s="68"/>
      <c r="AB31" s="31"/>
      <c r="AC31" s="8"/>
    </row>
    <row r="32" spans="1:29" ht="18" customHeight="1">
      <c r="A32" s="49"/>
      <c r="B32" s="66"/>
      <c r="C32" s="67"/>
      <c r="D32" s="8"/>
      <c r="E32" s="8"/>
      <c r="F32" s="8"/>
      <c r="G32" s="8"/>
      <c r="H32" s="8"/>
      <c r="I32" s="68"/>
      <c r="J32" s="24"/>
      <c r="K32" s="66"/>
      <c r="L32" s="68"/>
      <c r="M32" s="8"/>
      <c r="N32" s="8"/>
      <c r="O32" s="8"/>
      <c r="P32" s="8"/>
      <c r="Q32" s="8"/>
      <c r="R32" s="68"/>
      <c r="S32" s="24"/>
      <c r="T32" s="66"/>
      <c r="U32" s="68"/>
      <c r="V32" s="8"/>
      <c r="W32" s="8"/>
      <c r="X32" s="8"/>
      <c r="Y32" s="8"/>
      <c r="Z32" s="8"/>
      <c r="AA32" s="68"/>
      <c r="AB32" s="31"/>
      <c r="AC32" s="8"/>
    </row>
    <row r="33" spans="1:29" ht="18" customHeight="1">
      <c r="A33" s="49"/>
      <c r="B33" s="66"/>
      <c r="C33" s="67"/>
      <c r="D33" s="8"/>
      <c r="E33" s="8"/>
      <c r="F33" s="8"/>
      <c r="G33" s="8"/>
      <c r="H33" s="8"/>
      <c r="I33" s="68"/>
      <c r="J33" s="24"/>
      <c r="K33" s="66"/>
      <c r="L33" s="68"/>
      <c r="M33" s="8"/>
      <c r="N33" s="8"/>
      <c r="O33" s="8"/>
      <c r="P33" s="8"/>
      <c r="Q33" s="8"/>
      <c r="R33" s="68"/>
      <c r="S33" s="24"/>
      <c r="T33" s="66"/>
      <c r="U33" s="68"/>
      <c r="V33" s="8"/>
      <c r="W33" s="8"/>
      <c r="X33" s="8"/>
      <c r="Y33" s="8"/>
      <c r="Z33" s="8"/>
      <c r="AA33" s="68"/>
      <c r="AB33" s="31"/>
      <c r="AC33" s="8"/>
    </row>
    <row r="34" spans="1:29" ht="18" customHeight="1">
      <c r="A34" s="49"/>
      <c r="B34" s="24"/>
      <c r="C34" s="8"/>
      <c r="D34" s="8"/>
      <c r="E34" s="8"/>
      <c r="F34" s="8"/>
      <c r="G34" s="8"/>
      <c r="H34" s="8"/>
      <c r="I34" s="8"/>
      <c r="J34" s="24"/>
      <c r="K34" s="24"/>
      <c r="L34" s="8"/>
      <c r="M34" s="8"/>
      <c r="N34" s="8"/>
      <c r="O34" s="8"/>
      <c r="P34" s="8"/>
      <c r="Q34" s="8"/>
      <c r="R34" s="8"/>
      <c r="S34" s="24"/>
      <c r="T34" s="24"/>
      <c r="U34" s="8"/>
      <c r="V34" s="8"/>
      <c r="W34" s="8"/>
      <c r="X34" s="8"/>
      <c r="Y34" s="8"/>
      <c r="Z34" s="8"/>
      <c r="AA34" s="8"/>
      <c r="AB34" s="31"/>
      <c r="AC34" s="8"/>
    </row>
    <row r="35" spans="1:29" ht="18" customHeight="1" thickBot="1">
      <c r="A35" s="69"/>
      <c r="B35" s="306" t="s">
        <v>47</v>
      </c>
      <c r="C35" s="304"/>
      <c r="D35" s="304"/>
      <c r="E35" s="304"/>
      <c r="F35" s="304"/>
      <c r="G35" s="304"/>
      <c r="H35" s="304"/>
      <c r="I35" s="304"/>
      <c r="J35" s="40"/>
      <c r="K35" s="307" t="s">
        <v>48</v>
      </c>
      <c r="L35" s="304"/>
      <c r="M35" s="304"/>
      <c r="N35" s="304"/>
      <c r="O35" s="304"/>
      <c r="P35" s="304"/>
      <c r="Q35" s="304"/>
      <c r="R35" s="304"/>
      <c r="S35" s="40"/>
      <c r="T35" s="305" t="s">
        <v>49</v>
      </c>
      <c r="U35" s="304"/>
      <c r="V35" s="304"/>
      <c r="W35" s="304"/>
      <c r="X35" s="304"/>
      <c r="Y35" s="304"/>
      <c r="Z35" s="304"/>
      <c r="AA35" s="304"/>
      <c r="AB35" s="70"/>
      <c r="AC35" s="40"/>
    </row>
    <row r="36" spans="1:29" ht="18" customHeight="1">
      <c r="A36" s="49"/>
      <c r="B36" s="44" t="s">
        <v>39</v>
      </c>
      <c r="C36" s="45" t="s">
        <v>40</v>
      </c>
      <c r="D36" s="46" t="s">
        <v>41</v>
      </c>
      <c r="E36" s="46" t="s">
        <v>42</v>
      </c>
      <c r="F36" s="46" t="s">
        <v>43</v>
      </c>
      <c r="G36" s="46" t="s">
        <v>44</v>
      </c>
      <c r="H36" s="46" t="s">
        <v>45</v>
      </c>
      <c r="I36" s="47" t="s">
        <v>46</v>
      </c>
      <c r="J36" s="48"/>
      <c r="K36" s="44" t="s">
        <v>39</v>
      </c>
      <c r="L36" s="45" t="s">
        <v>40</v>
      </c>
      <c r="M36" s="46" t="s">
        <v>41</v>
      </c>
      <c r="N36" s="46" t="s">
        <v>42</v>
      </c>
      <c r="O36" s="46" t="s">
        <v>43</v>
      </c>
      <c r="P36" s="46" t="s">
        <v>44</v>
      </c>
      <c r="Q36" s="46" t="s">
        <v>45</v>
      </c>
      <c r="R36" s="47" t="s">
        <v>46</v>
      </c>
      <c r="S36" s="48"/>
      <c r="T36" s="44" t="s">
        <v>39</v>
      </c>
      <c r="U36" s="45" t="s">
        <v>40</v>
      </c>
      <c r="V36" s="46" t="s">
        <v>41</v>
      </c>
      <c r="W36" s="46" t="s">
        <v>42</v>
      </c>
      <c r="X36" s="46" t="s">
        <v>43</v>
      </c>
      <c r="Y36" s="46" t="s">
        <v>44</v>
      </c>
      <c r="Z36" s="46" t="s">
        <v>45</v>
      </c>
      <c r="AA36" s="47" t="s">
        <v>46</v>
      </c>
      <c r="AB36" s="31"/>
      <c r="AC36" s="8"/>
    </row>
    <row r="37" spans="1:29" ht="18" customHeight="1">
      <c r="A37" s="49"/>
      <c r="B37" s="71">
        <f>IF(T28&gt;0,T28,T27+1)</f>
        <v>14</v>
      </c>
      <c r="C37" s="51">
        <f>IF($C$4=1,1,0)</f>
        <v>0</v>
      </c>
      <c r="D37" s="52">
        <f>IF($D$4=1,1,IF(C37&gt;0,C37+1,0))</f>
        <v>0</v>
      </c>
      <c r="E37" s="52">
        <f>IF($E$4=1,1,IF(D37&gt;0,D37+1,0))</f>
        <v>0</v>
      </c>
      <c r="F37" s="52">
        <f>IF($F$4=1,1,IF(E37&gt;0,E37+1,0))</f>
        <v>1</v>
      </c>
      <c r="G37" s="52">
        <f>IF($G$4=1,1,IF(F37&gt;0,F37+1,0))</f>
        <v>2</v>
      </c>
      <c r="H37" s="52">
        <f>IF($H$4=1,1,IF(G37&gt;0,G37+1,0))</f>
        <v>3</v>
      </c>
      <c r="I37" s="53">
        <f>IF($I$4=1,1,IF(H37&gt;0,H37+1,0))</f>
        <v>4</v>
      </c>
      <c r="J37" s="24"/>
      <c r="K37" s="54">
        <f>IF(B42&gt;0,B41+1,B41)</f>
        <v>18</v>
      </c>
      <c r="L37" s="51">
        <f>IF($L$4=1,1,0)</f>
        <v>0</v>
      </c>
      <c r="M37" s="52">
        <f>IF($M$4=1,1,IF(L37&gt;0,L37+1,0))</f>
        <v>0</v>
      </c>
      <c r="N37" s="52">
        <f>IF($N$4=1,1,IF(M37&gt;0,M37+1,0))</f>
        <v>0</v>
      </c>
      <c r="O37" s="52">
        <f>IF($O$4=1,1,IF(N37&gt;0,N37+1,0))</f>
        <v>0</v>
      </c>
      <c r="P37" s="52">
        <f>IF($P$4=1,1,IF(O37&gt;0,O37+1,0))</f>
        <v>0</v>
      </c>
      <c r="Q37" s="52">
        <f>IF($Q$4=1,1,IF(P37&gt;0,P37+1,0))</f>
        <v>1</v>
      </c>
      <c r="R37" s="53">
        <f>IF($R$4=1,1,IF(Q37&gt;0,Q37+1,0))</f>
        <v>2</v>
      </c>
      <c r="S37" s="24"/>
      <c r="T37" s="54">
        <f>IF(K42&gt;0,K41+1,K41)</f>
        <v>23</v>
      </c>
      <c r="U37" s="51">
        <f>IF($U$4=1,1,0)</f>
        <v>0</v>
      </c>
      <c r="V37" s="52">
        <f>IF($V$4=1,1,IF(U37&gt;0,U37+1,0))</f>
        <v>1</v>
      </c>
      <c r="W37" s="52">
        <f>IF($W$4=1,1,IF(V37&gt;0,V37+1,0))</f>
        <v>2</v>
      </c>
      <c r="X37" s="52">
        <f>IF($X$4=1,1,IF(W37&gt;0,W37+1,0))</f>
        <v>3</v>
      </c>
      <c r="Y37" s="52">
        <f>IF($Y$4=1,1,IF(X37&gt;0,X37+1,0))</f>
        <v>4</v>
      </c>
      <c r="Z37" s="52">
        <f>IF($Z$4=1,1,IF(Y37&gt;0,Y37+1,0))</f>
        <v>5</v>
      </c>
      <c r="AA37" s="53">
        <f>IF($AA$4=1,1,IF(Z37&gt;0,Z37+1,0))</f>
        <v>6</v>
      </c>
      <c r="AB37" s="31"/>
      <c r="AC37" s="8"/>
    </row>
    <row r="38" spans="1:29" ht="18" customHeight="1">
      <c r="A38" s="49"/>
      <c r="B38" s="54">
        <f>B37+1</f>
        <v>15</v>
      </c>
      <c r="C38" s="56">
        <f>IF(AND(I37&gt;0,I37&lt;30),I37+1,0)</f>
        <v>5</v>
      </c>
      <c r="D38" s="57">
        <f t="shared" ref="D38:I42" si="3">IF(AND(C38&gt;0,C38&lt;30),C38+1,0)</f>
        <v>6</v>
      </c>
      <c r="E38" s="57">
        <f t="shared" si="3"/>
        <v>7</v>
      </c>
      <c r="F38" s="57">
        <f t="shared" si="3"/>
        <v>8</v>
      </c>
      <c r="G38" s="57">
        <f t="shared" si="3"/>
        <v>9</v>
      </c>
      <c r="H38" s="57">
        <f t="shared" si="3"/>
        <v>10</v>
      </c>
      <c r="I38" s="58">
        <f t="shared" si="3"/>
        <v>11</v>
      </c>
      <c r="J38" s="24"/>
      <c r="K38" s="54">
        <f>K37+1</f>
        <v>19</v>
      </c>
      <c r="L38" s="56">
        <f>IF(AND(R37&gt;0,R37&lt;31),R37+1,0)</f>
        <v>3</v>
      </c>
      <c r="M38" s="57">
        <f t="shared" ref="M38:R42" si="4">IF(AND(L38&gt;0,L38&lt;31),L38+1,0)</f>
        <v>4</v>
      </c>
      <c r="N38" s="57">
        <f t="shared" si="4"/>
        <v>5</v>
      </c>
      <c r="O38" s="57">
        <f t="shared" si="4"/>
        <v>6</v>
      </c>
      <c r="P38" s="57">
        <f t="shared" si="4"/>
        <v>7</v>
      </c>
      <c r="Q38" s="57">
        <f t="shared" si="4"/>
        <v>8</v>
      </c>
      <c r="R38" s="58">
        <f t="shared" si="4"/>
        <v>9</v>
      </c>
      <c r="S38" s="24"/>
      <c r="T38" s="54">
        <f>T37+1</f>
        <v>24</v>
      </c>
      <c r="U38" s="56">
        <f>IF(AND(AA37&gt;0,AA37&lt;30),AA37+1,0)</f>
        <v>7</v>
      </c>
      <c r="V38" s="57">
        <f t="shared" ref="V38:AA42" si="5">IF(AND(U38&gt;0,U38&lt;30),U38+1,0)</f>
        <v>8</v>
      </c>
      <c r="W38" s="57">
        <f t="shared" si="5"/>
        <v>9</v>
      </c>
      <c r="X38" s="57">
        <f t="shared" si="5"/>
        <v>10</v>
      </c>
      <c r="Y38" s="57">
        <f t="shared" si="5"/>
        <v>11</v>
      </c>
      <c r="Z38" s="57">
        <f t="shared" si="5"/>
        <v>12</v>
      </c>
      <c r="AA38" s="58">
        <f t="shared" si="5"/>
        <v>13</v>
      </c>
      <c r="AB38" s="31"/>
      <c r="AC38" s="8"/>
    </row>
    <row r="39" spans="1:29" ht="18" customHeight="1">
      <c r="A39" s="49"/>
      <c r="B39" s="54">
        <f>B38+1</f>
        <v>16</v>
      </c>
      <c r="C39" s="56">
        <f>IF(AND(I38&gt;0,I38&lt;30),I38+1,0)</f>
        <v>12</v>
      </c>
      <c r="D39" s="57">
        <f t="shared" si="3"/>
        <v>13</v>
      </c>
      <c r="E39" s="57">
        <f t="shared" si="3"/>
        <v>14</v>
      </c>
      <c r="F39" s="57">
        <f t="shared" si="3"/>
        <v>15</v>
      </c>
      <c r="G39" s="57">
        <f t="shared" si="3"/>
        <v>16</v>
      </c>
      <c r="H39" s="57">
        <f t="shared" si="3"/>
        <v>17</v>
      </c>
      <c r="I39" s="58">
        <f t="shared" si="3"/>
        <v>18</v>
      </c>
      <c r="J39" s="24"/>
      <c r="K39" s="54">
        <f>K38+1</f>
        <v>20</v>
      </c>
      <c r="L39" s="56">
        <f>IF(AND(R38&gt;0,R38&lt;31),R38+1,0)</f>
        <v>10</v>
      </c>
      <c r="M39" s="57">
        <f t="shared" si="4"/>
        <v>11</v>
      </c>
      <c r="N39" s="57">
        <f t="shared" si="4"/>
        <v>12</v>
      </c>
      <c r="O39" s="57">
        <f t="shared" si="4"/>
        <v>13</v>
      </c>
      <c r="P39" s="57">
        <f t="shared" si="4"/>
        <v>14</v>
      </c>
      <c r="Q39" s="57">
        <f t="shared" si="4"/>
        <v>15</v>
      </c>
      <c r="R39" s="58">
        <f t="shared" si="4"/>
        <v>16</v>
      </c>
      <c r="S39" s="24"/>
      <c r="T39" s="54">
        <f>T38+1</f>
        <v>25</v>
      </c>
      <c r="U39" s="56">
        <f>IF(AND(AA38&gt;0,AA38&lt;30),AA38+1,0)</f>
        <v>14</v>
      </c>
      <c r="V39" s="57">
        <f t="shared" si="5"/>
        <v>15</v>
      </c>
      <c r="W39" s="57">
        <f t="shared" si="5"/>
        <v>16</v>
      </c>
      <c r="X39" s="57">
        <f t="shared" si="5"/>
        <v>17</v>
      </c>
      <c r="Y39" s="57">
        <f t="shared" si="5"/>
        <v>18</v>
      </c>
      <c r="Z39" s="57">
        <f t="shared" si="5"/>
        <v>19</v>
      </c>
      <c r="AA39" s="58">
        <f t="shared" si="5"/>
        <v>20</v>
      </c>
      <c r="AB39" s="31"/>
      <c r="AC39" s="8"/>
    </row>
    <row r="40" spans="1:29" ht="18" customHeight="1">
      <c r="A40" s="49"/>
      <c r="B40" s="54">
        <f>B39+1</f>
        <v>17</v>
      </c>
      <c r="C40" s="56">
        <f>IF(AND(I39&gt;0,I39&lt;30),I39+1,0)</f>
        <v>19</v>
      </c>
      <c r="D40" s="57">
        <f t="shared" si="3"/>
        <v>20</v>
      </c>
      <c r="E40" s="57">
        <f t="shared" si="3"/>
        <v>21</v>
      </c>
      <c r="F40" s="57">
        <f t="shared" si="3"/>
        <v>22</v>
      </c>
      <c r="G40" s="57">
        <f t="shared" si="3"/>
        <v>23</v>
      </c>
      <c r="H40" s="57">
        <f t="shared" si="3"/>
        <v>24</v>
      </c>
      <c r="I40" s="58">
        <f t="shared" si="3"/>
        <v>25</v>
      </c>
      <c r="J40" s="24"/>
      <c r="K40" s="54">
        <f>K39+1</f>
        <v>21</v>
      </c>
      <c r="L40" s="56">
        <f>IF(AND(R39&gt;0,R39&lt;31),R39+1,0)</f>
        <v>17</v>
      </c>
      <c r="M40" s="57">
        <f t="shared" si="4"/>
        <v>18</v>
      </c>
      <c r="N40" s="57">
        <f t="shared" si="4"/>
        <v>19</v>
      </c>
      <c r="O40" s="57">
        <f t="shared" si="4"/>
        <v>20</v>
      </c>
      <c r="P40" s="57">
        <f t="shared" si="4"/>
        <v>21</v>
      </c>
      <c r="Q40" s="57">
        <f t="shared" si="4"/>
        <v>22</v>
      </c>
      <c r="R40" s="58">
        <f t="shared" si="4"/>
        <v>23</v>
      </c>
      <c r="S40" s="24"/>
      <c r="T40" s="54">
        <f>T39+1</f>
        <v>26</v>
      </c>
      <c r="U40" s="56">
        <f>IF(AND(AA39&gt;0,AA39&lt;30),AA39+1,0)</f>
        <v>21</v>
      </c>
      <c r="V40" s="57">
        <f t="shared" si="5"/>
        <v>22</v>
      </c>
      <c r="W40" s="57">
        <f t="shared" si="5"/>
        <v>23</v>
      </c>
      <c r="X40" s="57">
        <f t="shared" si="5"/>
        <v>24</v>
      </c>
      <c r="Y40" s="57">
        <f t="shared" si="5"/>
        <v>25</v>
      </c>
      <c r="Z40" s="57">
        <f t="shared" si="5"/>
        <v>26</v>
      </c>
      <c r="AA40" s="58">
        <f t="shared" si="5"/>
        <v>27</v>
      </c>
      <c r="AB40" s="31"/>
      <c r="AC40" s="8"/>
    </row>
    <row r="41" spans="1:29" ht="18" customHeight="1">
      <c r="A41" s="49"/>
      <c r="B41" s="54">
        <f>B40+1</f>
        <v>18</v>
      </c>
      <c r="C41" s="56">
        <f>IF(AND(I40&gt;0,I40&lt;30),I40+1,0)</f>
        <v>26</v>
      </c>
      <c r="D41" s="57">
        <f t="shared" si="3"/>
        <v>27</v>
      </c>
      <c r="E41" s="57">
        <f t="shared" si="3"/>
        <v>28</v>
      </c>
      <c r="F41" s="57">
        <f t="shared" si="3"/>
        <v>29</v>
      </c>
      <c r="G41" s="57">
        <f t="shared" si="3"/>
        <v>30</v>
      </c>
      <c r="H41" s="57">
        <f t="shared" si="3"/>
        <v>0</v>
      </c>
      <c r="I41" s="58">
        <f t="shared" si="3"/>
        <v>0</v>
      </c>
      <c r="J41" s="24"/>
      <c r="K41" s="54">
        <f>K40+1</f>
        <v>22</v>
      </c>
      <c r="L41" s="56">
        <f>IF(AND(R40&gt;0,R40&lt;31),R40+1,0)</f>
        <v>24</v>
      </c>
      <c r="M41" s="57">
        <f t="shared" si="4"/>
        <v>25</v>
      </c>
      <c r="N41" s="57">
        <f t="shared" si="4"/>
        <v>26</v>
      </c>
      <c r="O41" s="57">
        <f t="shared" si="4"/>
        <v>27</v>
      </c>
      <c r="P41" s="57">
        <f t="shared" si="4"/>
        <v>28</v>
      </c>
      <c r="Q41" s="57">
        <f t="shared" si="4"/>
        <v>29</v>
      </c>
      <c r="R41" s="58">
        <f t="shared" si="4"/>
        <v>30</v>
      </c>
      <c r="S41" s="24"/>
      <c r="T41" s="54">
        <f>T40+1</f>
        <v>27</v>
      </c>
      <c r="U41" s="56">
        <f>IF(AND(AA40&gt;0,AA40&lt;30),AA40+1,0)</f>
        <v>28</v>
      </c>
      <c r="V41" s="57">
        <f t="shared" si="5"/>
        <v>29</v>
      </c>
      <c r="W41" s="57">
        <f t="shared" si="5"/>
        <v>30</v>
      </c>
      <c r="X41" s="57">
        <f t="shared" si="5"/>
        <v>0</v>
      </c>
      <c r="Y41" s="57">
        <f t="shared" si="5"/>
        <v>0</v>
      </c>
      <c r="Z41" s="57">
        <f t="shared" si="5"/>
        <v>0</v>
      </c>
      <c r="AA41" s="58">
        <f t="shared" si="5"/>
        <v>0</v>
      </c>
      <c r="AB41" s="31"/>
      <c r="AC41" s="8"/>
    </row>
    <row r="42" spans="1:29" ht="18" customHeight="1" thickBot="1">
      <c r="A42" s="49"/>
      <c r="B42" s="64">
        <f>IF(C42=0,0,B41+1)</f>
        <v>0</v>
      </c>
      <c r="C42" s="61">
        <f>IF(AND(I41&gt;0,I41&lt;30),I41+1,0)</f>
        <v>0</v>
      </c>
      <c r="D42" s="62">
        <f t="shared" si="3"/>
        <v>0</v>
      </c>
      <c r="E42" s="62">
        <f t="shared" si="3"/>
        <v>0</v>
      </c>
      <c r="F42" s="62">
        <f t="shared" si="3"/>
        <v>0</v>
      </c>
      <c r="G42" s="62">
        <f t="shared" si="3"/>
        <v>0</v>
      </c>
      <c r="H42" s="62">
        <f t="shared" si="3"/>
        <v>0</v>
      </c>
      <c r="I42" s="63">
        <f t="shared" si="3"/>
        <v>0</v>
      </c>
      <c r="J42" s="24"/>
      <c r="K42" s="64">
        <f>IF(L42=0,0,K41+1)</f>
        <v>23</v>
      </c>
      <c r="L42" s="65">
        <f>IF(AND(R41&gt;0,R41&lt;31),R41+1,0)</f>
        <v>31</v>
      </c>
      <c r="M42" s="62">
        <f t="shared" si="4"/>
        <v>0</v>
      </c>
      <c r="N42" s="62">
        <f t="shared" si="4"/>
        <v>0</v>
      </c>
      <c r="O42" s="62">
        <f t="shared" si="4"/>
        <v>0</v>
      </c>
      <c r="P42" s="62">
        <f t="shared" si="4"/>
        <v>0</v>
      </c>
      <c r="Q42" s="62">
        <f t="shared" si="4"/>
        <v>0</v>
      </c>
      <c r="R42" s="63">
        <f t="shared" si="4"/>
        <v>0</v>
      </c>
      <c r="S42" s="24"/>
      <c r="T42" s="64">
        <f>IF(U42=0,0,T41+1)</f>
        <v>0</v>
      </c>
      <c r="U42" s="65">
        <f>IF(AND(AA41&gt;0,AA41&lt;30),AA41+1,0)</f>
        <v>0</v>
      </c>
      <c r="V42" s="62">
        <f t="shared" si="5"/>
        <v>0</v>
      </c>
      <c r="W42" s="62">
        <f t="shared" si="5"/>
        <v>0</v>
      </c>
      <c r="X42" s="62">
        <f t="shared" si="5"/>
        <v>0</v>
      </c>
      <c r="Y42" s="62">
        <f t="shared" si="5"/>
        <v>0</v>
      </c>
      <c r="Z42" s="62">
        <f t="shared" si="5"/>
        <v>0</v>
      </c>
      <c r="AA42" s="63">
        <f t="shared" si="5"/>
        <v>0</v>
      </c>
      <c r="AB42" s="31"/>
      <c r="AC42" s="8"/>
    </row>
    <row r="43" spans="1:29" ht="18" customHeight="1">
      <c r="A43" s="49"/>
      <c r="B43" s="72"/>
      <c r="C43" s="73"/>
      <c r="D43" s="22"/>
      <c r="E43" s="22"/>
      <c r="F43" s="22"/>
      <c r="G43" s="22"/>
      <c r="H43" s="22"/>
      <c r="I43" s="74"/>
      <c r="J43" s="24"/>
      <c r="K43" s="72"/>
      <c r="L43" s="74"/>
      <c r="M43" s="22"/>
      <c r="N43" s="22"/>
      <c r="O43" s="22"/>
      <c r="P43" s="22"/>
      <c r="Q43" s="22"/>
      <c r="R43" s="74"/>
      <c r="S43" s="24"/>
      <c r="T43" s="72"/>
      <c r="U43" s="74"/>
      <c r="V43" s="22"/>
      <c r="W43" s="22"/>
      <c r="X43" s="22"/>
      <c r="Y43" s="22"/>
      <c r="Z43" s="22"/>
      <c r="AA43" s="74"/>
      <c r="AB43" s="31"/>
      <c r="AC43" s="8"/>
    </row>
    <row r="44" spans="1:29" ht="18" customHeight="1">
      <c r="A44" s="49"/>
      <c r="B44" s="24"/>
      <c r="C44" s="8"/>
      <c r="D44" s="8"/>
      <c r="E44" s="8"/>
      <c r="F44" s="8"/>
      <c r="G44" s="8"/>
      <c r="H44" s="8"/>
      <c r="I44" s="8"/>
      <c r="J44" s="24"/>
      <c r="K44" s="24"/>
      <c r="L44" s="8"/>
      <c r="M44" s="8"/>
      <c r="N44" s="8"/>
      <c r="O44" s="8"/>
      <c r="P44" s="8"/>
      <c r="Q44" s="8"/>
      <c r="R44" s="8"/>
      <c r="S44" s="24"/>
      <c r="T44" s="24"/>
      <c r="U44" s="8"/>
      <c r="V44" s="8"/>
      <c r="W44" s="8"/>
      <c r="X44" s="8"/>
      <c r="Y44" s="8"/>
      <c r="Z44" s="8"/>
      <c r="AA44" s="8"/>
      <c r="AB44" s="31"/>
      <c r="AC44" s="8"/>
    </row>
    <row r="45" spans="1:29" ht="18" customHeight="1">
      <c r="A45" s="49"/>
      <c r="B45" s="24"/>
      <c r="C45" s="8"/>
      <c r="D45" s="8"/>
      <c r="E45" s="8"/>
      <c r="F45" s="8"/>
      <c r="G45" s="8"/>
      <c r="H45" s="8"/>
      <c r="I45" s="8"/>
      <c r="J45" s="24"/>
      <c r="K45" s="24"/>
      <c r="L45" s="8"/>
      <c r="M45" s="8"/>
      <c r="N45" s="38"/>
      <c r="O45" s="8"/>
      <c r="P45" s="8"/>
      <c r="Q45" s="8"/>
      <c r="R45" s="8"/>
      <c r="S45" s="24"/>
      <c r="T45" s="24"/>
      <c r="U45" s="8"/>
      <c r="V45" s="38"/>
      <c r="W45" s="8"/>
      <c r="X45" s="8"/>
      <c r="Y45" s="8"/>
      <c r="Z45" s="8"/>
      <c r="AA45" s="8"/>
      <c r="AB45" s="31"/>
      <c r="AC45" s="8"/>
    </row>
    <row r="46" spans="1:29" ht="18" customHeight="1">
      <c r="A46" s="49"/>
      <c r="B46" s="24"/>
      <c r="C46" s="8"/>
      <c r="D46" s="8"/>
      <c r="E46" s="38"/>
      <c r="F46" s="8"/>
      <c r="G46" s="8"/>
      <c r="H46" s="8"/>
      <c r="I46" s="8"/>
      <c r="J46" s="24"/>
      <c r="K46" s="24"/>
      <c r="L46" s="8"/>
      <c r="M46" s="8"/>
      <c r="N46" s="8"/>
      <c r="O46" s="8"/>
      <c r="P46" s="8"/>
      <c r="Q46" s="8"/>
      <c r="R46" s="8"/>
      <c r="S46" s="24"/>
      <c r="T46" s="24"/>
      <c r="U46" s="8"/>
      <c r="V46" s="8"/>
      <c r="W46" s="8"/>
      <c r="X46" s="8"/>
      <c r="Y46" s="8"/>
      <c r="Z46" s="8"/>
      <c r="AA46" s="8"/>
      <c r="AB46" s="31"/>
      <c r="AC46" s="8"/>
    </row>
    <row r="47" spans="1:29" ht="18" customHeight="1">
      <c r="A47" s="49"/>
      <c r="B47" s="24"/>
      <c r="C47" s="8"/>
      <c r="D47" s="8"/>
      <c r="E47" s="8"/>
      <c r="F47" s="8"/>
      <c r="G47" s="8"/>
      <c r="H47" s="8"/>
      <c r="I47" s="8"/>
      <c r="J47" s="24"/>
      <c r="K47" s="24"/>
      <c r="L47" s="8"/>
      <c r="M47" s="8"/>
      <c r="N47" s="8"/>
      <c r="O47" s="8"/>
      <c r="P47" s="8"/>
      <c r="Q47" s="8"/>
      <c r="R47" s="8"/>
      <c r="S47" s="24"/>
      <c r="T47" s="24"/>
      <c r="U47" s="8"/>
      <c r="V47" s="8"/>
      <c r="W47" s="8"/>
      <c r="X47" s="8"/>
      <c r="Y47" s="8"/>
      <c r="Z47" s="8"/>
      <c r="AA47" s="8"/>
      <c r="AB47" s="31"/>
      <c r="AC47" s="8"/>
    </row>
    <row r="48" spans="1:29" ht="18" customHeight="1">
      <c r="A48" s="49"/>
      <c r="B48" s="24"/>
      <c r="C48" s="8"/>
      <c r="D48" s="8"/>
      <c r="E48" s="8"/>
      <c r="F48" s="8"/>
      <c r="G48" s="8"/>
      <c r="H48" s="8"/>
      <c r="I48" s="8"/>
      <c r="J48" s="24"/>
      <c r="K48" s="24"/>
      <c r="L48" s="8"/>
      <c r="M48" s="8"/>
      <c r="N48" s="8"/>
      <c r="O48" s="8"/>
      <c r="P48" s="8"/>
      <c r="Q48" s="8"/>
      <c r="R48" s="8"/>
      <c r="S48" s="24"/>
      <c r="T48" s="24"/>
      <c r="U48" s="8"/>
      <c r="V48" s="8"/>
      <c r="W48" s="8"/>
      <c r="X48" s="8"/>
      <c r="Y48" s="8"/>
      <c r="Z48" s="8"/>
      <c r="AA48" s="8"/>
      <c r="AB48" s="31"/>
      <c r="AC48" s="8"/>
    </row>
    <row r="49" spans="1:29" ht="18" customHeight="1" thickBot="1">
      <c r="A49" s="69"/>
      <c r="B49" s="305" t="s">
        <v>50</v>
      </c>
      <c r="C49" s="304"/>
      <c r="D49" s="304"/>
      <c r="E49" s="304"/>
      <c r="F49" s="304"/>
      <c r="G49" s="304"/>
      <c r="H49" s="304"/>
      <c r="I49" s="304"/>
      <c r="J49" s="40"/>
      <c r="K49" s="306" t="s">
        <v>51</v>
      </c>
      <c r="L49" s="304"/>
      <c r="M49" s="304"/>
      <c r="N49" s="304"/>
      <c r="O49" s="304"/>
      <c r="P49" s="304"/>
      <c r="Q49" s="304"/>
      <c r="R49" s="304"/>
      <c r="S49" s="40"/>
      <c r="T49" s="308" t="s">
        <v>52</v>
      </c>
      <c r="U49" s="304"/>
      <c r="V49" s="304"/>
      <c r="W49" s="304"/>
      <c r="X49" s="304"/>
      <c r="Y49" s="304"/>
      <c r="Z49" s="304"/>
      <c r="AA49" s="304"/>
      <c r="AB49" s="70"/>
      <c r="AC49" s="40"/>
    </row>
    <row r="50" spans="1:29" ht="18" customHeight="1">
      <c r="A50" s="49"/>
      <c r="B50" s="44" t="s">
        <v>39</v>
      </c>
      <c r="C50" s="45" t="s">
        <v>40</v>
      </c>
      <c r="D50" s="46" t="s">
        <v>41</v>
      </c>
      <c r="E50" s="46" t="s">
        <v>42</v>
      </c>
      <c r="F50" s="46" t="s">
        <v>43</v>
      </c>
      <c r="G50" s="46" t="s">
        <v>44</v>
      </c>
      <c r="H50" s="46" t="s">
        <v>45</v>
      </c>
      <c r="I50" s="47" t="s">
        <v>46</v>
      </c>
      <c r="J50" s="48"/>
      <c r="K50" s="44" t="s">
        <v>39</v>
      </c>
      <c r="L50" s="45" t="s">
        <v>40</v>
      </c>
      <c r="M50" s="46" t="s">
        <v>41</v>
      </c>
      <c r="N50" s="46" t="s">
        <v>42</v>
      </c>
      <c r="O50" s="46" t="s">
        <v>43</v>
      </c>
      <c r="P50" s="46" t="s">
        <v>44</v>
      </c>
      <c r="Q50" s="46" t="s">
        <v>45</v>
      </c>
      <c r="R50" s="47" t="s">
        <v>46</v>
      </c>
      <c r="S50" s="48"/>
      <c r="T50" s="44" t="s">
        <v>39</v>
      </c>
      <c r="U50" s="45" t="s">
        <v>40</v>
      </c>
      <c r="V50" s="46" t="s">
        <v>41</v>
      </c>
      <c r="W50" s="46" t="s">
        <v>42</v>
      </c>
      <c r="X50" s="46" t="s">
        <v>43</v>
      </c>
      <c r="Y50" s="46" t="s">
        <v>44</v>
      </c>
      <c r="Z50" s="46" t="s">
        <v>45</v>
      </c>
      <c r="AA50" s="47" t="s">
        <v>46</v>
      </c>
      <c r="AB50" s="31"/>
      <c r="AC50" s="8"/>
    </row>
    <row r="51" spans="1:29" ht="18" customHeight="1">
      <c r="A51" s="49"/>
      <c r="B51" s="71">
        <f>IF(T42&gt;0,T42,T41+1)</f>
        <v>28</v>
      </c>
      <c r="C51" s="51">
        <f>IF($C$5=1,1,0)</f>
        <v>0</v>
      </c>
      <c r="D51" s="52">
        <f>IF($D$5=1,1,IF(C51&gt;0,C51+1,0))</f>
        <v>0</v>
      </c>
      <c r="E51" s="52">
        <f>IF($E$5=1,1,IF(D51&gt;0,D51+1,0))</f>
        <v>0</v>
      </c>
      <c r="F51" s="52">
        <f>IF($F$5=1,1,IF(E51&gt;0,E51+1,0))</f>
        <v>1</v>
      </c>
      <c r="G51" s="52">
        <f>IF($G$5=1,1,IF(F51&gt;0,F51+1,0))</f>
        <v>2</v>
      </c>
      <c r="H51" s="52">
        <f>IF($H$5=1,1,IF(G51&gt;0,G51+1,0))</f>
        <v>3</v>
      </c>
      <c r="I51" s="53">
        <f>IF($I$5=1,1,IF(H51&gt;0,H51+1,0))</f>
        <v>4</v>
      </c>
      <c r="J51" s="24"/>
      <c r="K51" s="54">
        <f>IF(B56&gt;0,B55+1,B55)</f>
        <v>32</v>
      </c>
      <c r="L51" s="51">
        <f>IF($L$5=1,1,0)</f>
        <v>0</v>
      </c>
      <c r="M51" s="52">
        <f>IF($M$5=1,1,IF(L51&gt;0,L51+1,0))</f>
        <v>0</v>
      </c>
      <c r="N51" s="52">
        <f>IF($N$5=1,1,IF(M51&gt;0,M51+1,0))</f>
        <v>0</v>
      </c>
      <c r="O51" s="52">
        <f>IF($O$5=1,1,IF(N51&gt;0,N51+1,0))</f>
        <v>0</v>
      </c>
      <c r="P51" s="52">
        <f>IF($P$5=1,1,IF(O51&gt;0,O51+1,0))</f>
        <v>0</v>
      </c>
      <c r="Q51" s="52">
        <f>IF($Q$5=1,1,IF(P51&gt;0,P51+1,0))</f>
        <v>0</v>
      </c>
      <c r="R51" s="53">
        <f>IF($R$5=1,1,IF(Q51&gt;0,Q51+1,0))</f>
        <v>1</v>
      </c>
      <c r="S51" s="24"/>
      <c r="T51" s="54">
        <f>IF(K56&gt;0,K55+1,K55)</f>
        <v>37</v>
      </c>
      <c r="U51" s="51">
        <f>IF($U$5=1,1,0)</f>
        <v>0</v>
      </c>
      <c r="V51" s="52">
        <f>IF($V$5=1,1,IF(U51&gt;0,U51+1,0))</f>
        <v>0</v>
      </c>
      <c r="W51" s="52">
        <f>IF($W$5=1,1,IF(V51&gt;0,V51+1,0))</f>
        <v>1</v>
      </c>
      <c r="X51" s="52">
        <f>IF($X$5=1,1,IF(W51&gt;0,W51+1,0))</f>
        <v>2</v>
      </c>
      <c r="Y51" s="52">
        <f>IF($Y$5=1,1,IF(X51&gt;0,X51+1,0))</f>
        <v>3</v>
      </c>
      <c r="Z51" s="75">
        <f>IF($Z$5=1,1,IF(Y51&gt;0,Y51+1,0))</f>
        <v>4</v>
      </c>
      <c r="AA51" s="53">
        <f>IF($AA$5=1,1,IF(Z51&gt;0,Z51+1,0))</f>
        <v>5</v>
      </c>
      <c r="AB51" s="31"/>
      <c r="AC51" s="8"/>
    </row>
    <row r="52" spans="1:29" ht="18" customHeight="1">
      <c r="A52" s="49"/>
      <c r="B52" s="54">
        <f>B51+1</f>
        <v>29</v>
      </c>
      <c r="C52" s="56">
        <f>IF(AND(I51&gt;0,I51&lt;31),I51+1,0)</f>
        <v>5</v>
      </c>
      <c r="D52" s="57">
        <f t="shared" ref="D52:I56" si="6">IF(AND(C52&gt;0,C52&lt;31),C52+1,0)</f>
        <v>6</v>
      </c>
      <c r="E52" s="57">
        <f t="shared" si="6"/>
        <v>7</v>
      </c>
      <c r="F52" s="57">
        <f t="shared" si="6"/>
        <v>8</v>
      </c>
      <c r="G52" s="57">
        <f t="shared" si="6"/>
        <v>9</v>
      </c>
      <c r="H52" s="57">
        <f t="shared" si="6"/>
        <v>10</v>
      </c>
      <c r="I52" s="58">
        <f t="shared" si="6"/>
        <v>11</v>
      </c>
      <c r="J52" s="24"/>
      <c r="K52" s="54">
        <f>K51+1</f>
        <v>33</v>
      </c>
      <c r="L52" s="56">
        <f>IF(AND(R51&gt;0,R51&lt;31),R51+1,0)</f>
        <v>2</v>
      </c>
      <c r="M52" s="57">
        <f t="shared" ref="M52:R56" si="7">IF(AND(L52&gt;0,L52&lt;31),L52+1,0)</f>
        <v>3</v>
      </c>
      <c r="N52" s="57">
        <f t="shared" si="7"/>
        <v>4</v>
      </c>
      <c r="O52" s="57">
        <f t="shared" si="7"/>
        <v>5</v>
      </c>
      <c r="P52" s="57">
        <f t="shared" si="7"/>
        <v>6</v>
      </c>
      <c r="Q52" s="57">
        <f t="shared" si="7"/>
        <v>7</v>
      </c>
      <c r="R52" s="58">
        <f t="shared" si="7"/>
        <v>8</v>
      </c>
      <c r="S52" s="24"/>
      <c r="T52" s="54">
        <f>T51+1</f>
        <v>38</v>
      </c>
      <c r="U52" s="56">
        <f>IF(AND(AA51&gt;0,AA51&lt;30),AA51+1,0)</f>
        <v>6</v>
      </c>
      <c r="V52" s="57">
        <f t="shared" ref="V52:AA56" si="8">IF(AND(U52&gt;0,U52&lt;30),U52+1,0)</f>
        <v>7</v>
      </c>
      <c r="W52" s="57">
        <f t="shared" si="8"/>
        <v>8</v>
      </c>
      <c r="X52" s="57">
        <f t="shared" si="8"/>
        <v>9</v>
      </c>
      <c r="Y52" s="57">
        <f t="shared" si="8"/>
        <v>10</v>
      </c>
      <c r="Z52" s="76">
        <f t="shared" si="8"/>
        <v>11</v>
      </c>
      <c r="AA52" s="58">
        <f t="shared" si="8"/>
        <v>12</v>
      </c>
      <c r="AB52" s="31"/>
      <c r="AC52" s="8"/>
    </row>
    <row r="53" spans="1:29" ht="18" customHeight="1">
      <c r="A53" s="49"/>
      <c r="B53" s="54">
        <f>B52+1</f>
        <v>30</v>
      </c>
      <c r="C53" s="56">
        <f>IF(AND(I52&gt;0,I52&lt;31),I52+1,0)</f>
        <v>12</v>
      </c>
      <c r="D53" s="57">
        <f t="shared" si="6"/>
        <v>13</v>
      </c>
      <c r="E53" s="57">
        <f t="shared" si="6"/>
        <v>14</v>
      </c>
      <c r="F53" s="57">
        <f t="shared" si="6"/>
        <v>15</v>
      </c>
      <c r="G53" s="57">
        <f t="shared" si="6"/>
        <v>16</v>
      </c>
      <c r="H53" s="57">
        <f t="shared" si="6"/>
        <v>17</v>
      </c>
      <c r="I53" s="58">
        <f t="shared" si="6"/>
        <v>18</v>
      </c>
      <c r="J53" s="24"/>
      <c r="K53" s="54">
        <f>K52+1</f>
        <v>34</v>
      </c>
      <c r="L53" s="56">
        <f>IF(AND(R52&gt;0,R52&lt;31),R52+1,0)</f>
        <v>9</v>
      </c>
      <c r="M53" s="57">
        <f t="shared" si="7"/>
        <v>10</v>
      </c>
      <c r="N53" s="57">
        <f t="shared" si="7"/>
        <v>11</v>
      </c>
      <c r="O53" s="57">
        <f t="shared" si="7"/>
        <v>12</v>
      </c>
      <c r="P53" s="57">
        <f t="shared" si="7"/>
        <v>13</v>
      </c>
      <c r="Q53" s="57">
        <f t="shared" si="7"/>
        <v>14</v>
      </c>
      <c r="R53" s="58">
        <f t="shared" si="7"/>
        <v>15</v>
      </c>
      <c r="S53" s="24"/>
      <c r="T53" s="54">
        <f>T52+1</f>
        <v>39</v>
      </c>
      <c r="U53" s="56">
        <f>IF(AND(AA52&gt;0,AA52&lt;30),AA52+1,0)</f>
        <v>13</v>
      </c>
      <c r="V53" s="57">
        <f t="shared" si="8"/>
        <v>14</v>
      </c>
      <c r="W53" s="57">
        <f t="shared" si="8"/>
        <v>15</v>
      </c>
      <c r="X53" s="57">
        <f t="shared" si="8"/>
        <v>16</v>
      </c>
      <c r="Y53" s="57">
        <f t="shared" si="8"/>
        <v>17</v>
      </c>
      <c r="Z53" s="76">
        <f t="shared" si="8"/>
        <v>18</v>
      </c>
      <c r="AA53" s="58">
        <f t="shared" si="8"/>
        <v>19</v>
      </c>
      <c r="AB53" s="31"/>
      <c r="AC53" s="8"/>
    </row>
    <row r="54" spans="1:29" ht="18" customHeight="1">
      <c r="A54" s="49"/>
      <c r="B54" s="54">
        <f>B53+1</f>
        <v>31</v>
      </c>
      <c r="C54" s="56">
        <f>IF(AND(I53&gt;0,I53&lt;31),I53+1,0)</f>
        <v>19</v>
      </c>
      <c r="D54" s="57">
        <f t="shared" si="6"/>
        <v>20</v>
      </c>
      <c r="E54" s="57">
        <f t="shared" si="6"/>
        <v>21</v>
      </c>
      <c r="F54" s="57">
        <f t="shared" si="6"/>
        <v>22</v>
      </c>
      <c r="G54" s="57">
        <f t="shared" si="6"/>
        <v>23</v>
      </c>
      <c r="H54" s="57">
        <f t="shared" si="6"/>
        <v>24</v>
      </c>
      <c r="I54" s="58">
        <f t="shared" si="6"/>
        <v>25</v>
      </c>
      <c r="J54" s="24"/>
      <c r="K54" s="54">
        <f>K53+1</f>
        <v>35</v>
      </c>
      <c r="L54" s="56">
        <f>IF(AND(R53&gt;0,R53&lt;31),R53+1,0)</f>
        <v>16</v>
      </c>
      <c r="M54" s="57">
        <f t="shared" si="7"/>
        <v>17</v>
      </c>
      <c r="N54" s="57">
        <f t="shared" si="7"/>
        <v>18</v>
      </c>
      <c r="O54" s="57">
        <f t="shared" si="7"/>
        <v>19</v>
      </c>
      <c r="P54" s="57">
        <f t="shared" si="7"/>
        <v>20</v>
      </c>
      <c r="Q54" s="57">
        <f t="shared" si="7"/>
        <v>21</v>
      </c>
      <c r="R54" s="58">
        <f t="shared" si="7"/>
        <v>22</v>
      </c>
      <c r="S54" s="24"/>
      <c r="T54" s="54">
        <f>T53+1</f>
        <v>40</v>
      </c>
      <c r="U54" s="56">
        <f>IF(AND(AA53&gt;0,AA53&lt;30),AA53+1,0)</f>
        <v>20</v>
      </c>
      <c r="V54" s="57">
        <f t="shared" si="8"/>
        <v>21</v>
      </c>
      <c r="W54" s="57">
        <f t="shared" si="8"/>
        <v>22</v>
      </c>
      <c r="X54" s="57">
        <f t="shared" si="8"/>
        <v>23</v>
      </c>
      <c r="Y54" s="57">
        <f t="shared" si="8"/>
        <v>24</v>
      </c>
      <c r="Z54" s="76">
        <f t="shared" si="8"/>
        <v>25</v>
      </c>
      <c r="AA54" s="58">
        <f t="shared" si="8"/>
        <v>26</v>
      </c>
      <c r="AB54" s="31"/>
      <c r="AC54" s="8"/>
    </row>
    <row r="55" spans="1:29" ht="18" customHeight="1">
      <c r="A55" s="49"/>
      <c r="B55" s="54">
        <f>B54+1</f>
        <v>32</v>
      </c>
      <c r="C55" s="56">
        <f>IF(AND(I54&gt;0,I54&lt;31),I54+1,0)</f>
        <v>26</v>
      </c>
      <c r="D55" s="57">
        <f t="shared" si="6"/>
        <v>27</v>
      </c>
      <c r="E55" s="57">
        <f t="shared" si="6"/>
        <v>28</v>
      </c>
      <c r="F55" s="57">
        <f t="shared" si="6"/>
        <v>29</v>
      </c>
      <c r="G55" s="57">
        <f t="shared" si="6"/>
        <v>30</v>
      </c>
      <c r="H55" s="57">
        <f t="shared" si="6"/>
        <v>31</v>
      </c>
      <c r="I55" s="58">
        <f t="shared" si="6"/>
        <v>0</v>
      </c>
      <c r="J55" s="24"/>
      <c r="K55" s="54">
        <f>K54+1</f>
        <v>36</v>
      </c>
      <c r="L55" s="56">
        <f>IF(AND(R54&gt;0,R54&lt;31),R54+1,0)</f>
        <v>23</v>
      </c>
      <c r="M55" s="57">
        <f t="shared" si="7"/>
        <v>24</v>
      </c>
      <c r="N55" s="57">
        <f t="shared" si="7"/>
        <v>25</v>
      </c>
      <c r="O55" s="57">
        <f t="shared" si="7"/>
        <v>26</v>
      </c>
      <c r="P55" s="57">
        <f t="shared" si="7"/>
        <v>27</v>
      </c>
      <c r="Q55" s="57">
        <f t="shared" si="7"/>
        <v>28</v>
      </c>
      <c r="R55" s="58">
        <f t="shared" si="7"/>
        <v>29</v>
      </c>
      <c r="S55" s="24"/>
      <c r="T55" s="54">
        <f>T54+1</f>
        <v>41</v>
      </c>
      <c r="U55" s="56">
        <f>IF(AND(AA54&gt;0,AA54&lt;30),AA54+1,0)</f>
        <v>27</v>
      </c>
      <c r="V55" s="57">
        <f t="shared" si="8"/>
        <v>28</v>
      </c>
      <c r="W55" s="57">
        <f t="shared" si="8"/>
        <v>29</v>
      </c>
      <c r="X55" s="57">
        <f t="shared" si="8"/>
        <v>30</v>
      </c>
      <c r="Y55" s="57">
        <f t="shared" si="8"/>
        <v>0</v>
      </c>
      <c r="Z55" s="76">
        <f t="shared" si="8"/>
        <v>0</v>
      </c>
      <c r="AA55" s="58">
        <f t="shared" si="8"/>
        <v>0</v>
      </c>
      <c r="AB55" s="31"/>
      <c r="AC55" s="8"/>
    </row>
    <row r="56" spans="1:29" ht="18" customHeight="1" thickBot="1">
      <c r="A56" s="49"/>
      <c r="B56" s="64">
        <f>IF(C56=0,0,B55+1)</f>
        <v>0</v>
      </c>
      <c r="C56" s="61">
        <f>IF(AND(I55&gt;0,I55&lt;31),I55+1,0)</f>
        <v>0</v>
      </c>
      <c r="D56" s="62">
        <f t="shared" si="6"/>
        <v>0</v>
      </c>
      <c r="E56" s="62">
        <f t="shared" si="6"/>
        <v>0</v>
      </c>
      <c r="F56" s="62">
        <f t="shared" si="6"/>
        <v>0</v>
      </c>
      <c r="G56" s="62">
        <f t="shared" si="6"/>
        <v>0</v>
      </c>
      <c r="H56" s="62">
        <f t="shared" si="6"/>
        <v>0</v>
      </c>
      <c r="I56" s="63">
        <f t="shared" si="6"/>
        <v>0</v>
      </c>
      <c r="J56" s="24"/>
      <c r="K56" s="64">
        <f>IF(L56=0,0,K55+1)</f>
        <v>37</v>
      </c>
      <c r="L56" s="65">
        <f>IF(AND(R55&gt;0,R55&lt;31),R55+1,0)</f>
        <v>30</v>
      </c>
      <c r="M56" s="62">
        <f t="shared" si="7"/>
        <v>31</v>
      </c>
      <c r="N56" s="62">
        <f t="shared" si="7"/>
        <v>0</v>
      </c>
      <c r="O56" s="62">
        <f t="shared" si="7"/>
        <v>0</v>
      </c>
      <c r="P56" s="62">
        <f t="shared" si="7"/>
        <v>0</v>
      </c>
      <c r="Q56" s="62">
        <f t="shared" si="7"/>
        <v>0</v>
      </c>
      <c r="R56" s="63">
        <f t="shared" si="7"/>
        <v>0</v>
      </c>
      <c r="S56" s="24"/>
      <c r="T56" s="64">
        <f>IF(U56=0,0,T55+1)</f>
        <v>0</v>
      </c>
      <c r="U56" s="65">
        <f>IF(AND(AA55&gt;0,AA55&lt;30),AA55+1,0)</f>
        <v>0</v>
      </c>
      <c r="V56" s="62">
        <f t="shared" si="8"/>
        <v>0</v>
      </c>
      <c r="W56" s="62">
        <f t="shared" si="8"/>
        <v>0</v>
      </c>
      <c r="X56" s="62">
        <f t="shared" si="8"/>
        <v>0</v>
      </c>
      <c r="Y56" s="62">
        <f t="shared" si="8"/>
        <v>0</v>
      </c>
      <c r="Z56" s="62">
        <f t="shared" si="8"/>
        <v>0</v>
      </c>
      <c r="AA56" s="63">
        <f t="shared" si="8"/>
        <v>0</v>
      </c>
      <c r="AB56" s="31"/>
      <c r="AC56" s="8"/>
    </row>
    <row r="57" spans="1:29" ht="18" customHeight="1">
      <c r="A57" s="49"/>
      <c r="B57" s="24"/>
      <c r="C57" s="8"/>
      <c r="D57" s="8"/>
      <c r="E57" s="8"/>
      <c r="F57" s="8"/>
      <c r="G57" s="8"/>
      <c r="H57" s="8"/>
      <c r="I57" s="8"/>
      <c r="J57" s="24"/>
      <c r="K57" s="24"/>
      <c r="L57" s="8"/>
      <c r="M57" s="8"/>
      <c r="N57" s="8"/>
      <c r="O57" s="8"/>
      <c r="P57" s="8"/>
      <c r="Q57" s="8"/>
      <c r="R57" s="8"/>
      <c r="S57" s="24"/>
      <c r="T57" s="24"/>
      <c r="U57" s="8"/>
      <c r="V57" s="8"/>
      <c r="W57" s="8"/>
      <c r="X57" s="8"/>
      <c r="Y57" s="8"/>
      <c r="Z57" s="8"/>
      <c r="AA57" s="8"/>
      <c r="AB57" s="31"/>
      <c r="AC57" s="8"/>
    </row>
    <row r="58" spans="1:29" ht="18" customHeight="1">
      <c r="A58" s="49"/>
      <c r="B58" s="24"/>
      <c r="C58" s="8"/>
      <c r="D58" s="8"/>
      <c r="E58" s="8"/>
      <c r="F58" s="8"/>
      <c r="G58" s="8"/>
      <c r="H58" s="8"/>
      <c r="I58" s="8"/>
      <c r="J58" s="24"/>
      <c r="K58" s="24"/>
      <c r="L58" s="8"/>
      <c r="M58" s="8"/>
      <c r="N58" s="8"/>
      <c r="O58" s="8"/>
      <c r="P58" s="8"/>
      <c r="Q58" s="8"/>
      <c r="R58" s="8"/>
      <c r="S58" s="24"/>
      <c r="T58" s="24"/>
      <c r="U58" s="8"/>
      <c r="V58" s="8"/>
      <c r="W58" s="8"/>
      <c r="X58" s="8"/>
      <c r="Y58" s="8"/>
      <c r="Z58" s="8"/>
      <c r="AA58" s="8"/>
      <c r="AB58" s="31"/>
      <c r="AC58" s="8"/>
    </row>
    <row r="59" spans="1:29" ht="18" customHeight="1">
      <c r="A59" s="49"/>
      <c r="B59" s="24"/>
      <c r="C59" s="8"/>
      <c r="D59" s="8"/>
      <c r="E59" s="38"/>
      <c r="F59" s="8"/>
      <c r="G59" s="8"/>
      <c r="H59" s="8"/>
      <c r="I59" s="38"/>
      <c r="J59" s="24"/>
      <c r="K59" s="24"/>
      <c r="L59" s="8"/>
      <c r="M59" s="8"/>
      <c r="N59" s="38"/>
      <c r="O59" s="8"/>
      <c r="P59" s="8"/>
      <c r="Q59" s="8"/>
      <c r="R59" s="8"/>
      <c r="S59" s="24"/>
      <c r="T59" s="24"/>
      <c r="U59" s="8"/>
      <c r="V59" s="38"/>
      <c r="W59" s="8"/>
      <c r="X59" s="8"/>
      <c r="Y59" s="8"/>
      <c r="Z59" s="8"/>
      <c r="AA59" s="8"/>
      <c r="AB59" s="31"/>
      <c r="AC59" s="8"/>
    </row>
    <row r="60" spans="1:29" ht="18" customHeight="1">
      <c r="A60" s="49"/>
      <c r="B60" s="24"/>
      <c r="C60" s="8"/>
      <c r="D60" s="8"/>
      <c r="E60" s="8"/>
      <c r="F60" s="8"/>
      <c r="G60" s="8"/>
      <c r="H60" s="8"/>
      <c r="I60" s="8"/>
      <c r="J60" s="24"/>
      <c r="K60" s="24"/>
      <c r="L60" s="8"/>
      <c r="M60" s="8"/>
      <c r="N60" s="8"/>
      <c r="O60" s="8"/>
      <c r="P60" s="8"/>
      <c r="Q60" s="8"/>
      <c r="R60" s="8"/>
      <c r="S60" s="24"/>
      <c r="T60" s="24"/>
      <c r="U60" s="8"/>
      <c r="V60" s="8"/>
      <c r="W60" s="8"/>
      <c r="X60" s="8"/>
      <c r="Y60" s="8"/>
      <c r="Z60" s="8"/>
      <c r="AA60" s="8"/>
      <c r="AB60" s="31"/>
      <c r="AC60" s="8"/>
    </row>
    <row r="61" spans="1:29" ht="18" customHeight="1">
      <c r="A61" s="49"/>
      <c r="B61" s="24"/>
      <c r="C61" s="8"/>
      <c r="D61" s="8"/>
      <c r="E61" s="8"/>
      <c r="F61" s="8"/>
      <c r="G61" s="8"/>
      <c r="H61" s="8"/>
      <c r="I61" s="8"/>
      <c r="J61" s="24"/>
      <c r="K61" s="24"/>
      <c r="L61" s="8"/>
      <c r="M61" s="8"/>
      <c r="N61" s="8"/>
      <c r="O61" s="8"/>
      <c r="P61" s="8"/>
      <c r="Q61" s="8"/>
      <c r="R61" s="8"/>
      <c r="S61" s="24"/>
      <c r="T61" s="24"/>
      <c r="U61" s="8"/>
      <c r="V61" s="8"/>
      <c r="W61" s="8"/>
      <c r="X61" s="8"/>
      <c r="Y61" s="8"/>
      <c r="Z61" s="8"/>
      <c r="AA61" s="8"/>
      <c r="AB61" s="31"/>
      <c r="AC61" s="8"/>
    </row>
    <row r="62" spans="1:29" ht="18" customHeight="1">
      <c r="A62" s="49"/>
      <c r="B62" s="24"/>
      <c r="C62" s="8"/>
      <c r="D62" s="8"/>
      <c r="E62" s="8"/>
      <c r="F62" s="8"/>
      <c r="G62" s="8"/>
      <c r="H62" s="8"/>
      <c r="I62" s="8"/>
      <c r="J62" s="24"/>
      <c r="K62" s="24"/>
      <c r="L62" s="8"/>
      <c r="M62" s="8"/>
      <c r="N62" s="8"/>
      <c r="O62" s="8"/>
      <c r="P62" s="8"/>
      <c r="Q62" s="8"/>
      <c r="R62" s="8"/>
      <c r="S62" s="24"/>
      <c r="T62" s="24"/>
      <c r="U62" s="8"/>
      <c r="V62" s="8"/>
      <c r="W62" s="8"/>
      <c r="X62" s="8"/>
      <c r="Y62" s="8"/>
      <c r="Z62" s="8"/>
      <c r="AA62" s="8"/>
      <c r="AB62" s="31"/>
      <c r="AC62" s="8"/>
    </row>
    <row r="63" spans="1:29" ht="18" customHeight="1" thickBot="1">
      <c r="A63" s="69"/>
      <c r="B63" s="303" t="s">
        <v>53</v>
      </c>
      <c r="C63" s="304"/>
      <c r="D63" s="304"/>
      <c r="E63" s="304"/>
      <c r="F63" s="304"/>
      <c r="G63" s="304"/>
      <c r="H63" s="304"/>
      <c r="I63" s="304"/>
      <c r="J63" s="40"/>
      <c r="K63" s="305" t="s">
        <v>54</v>
      </c>
      <c r="L63" s="304"/>
      <c r="M63" s="304"/>
      <c r="N63" s="304"/>
      <c r="O63" s="304"/>
      <c r="P63" s="304"/>
      <c r="Q63" s="304"/>
      <c r="R63" s="304"/>
      <c r="S63" s="40"/>
      <c r="T63" s="306" t="s">
        <v>55</v>
      </c>
      <c r="U63" s="304"/>
      <c r="V63" s="304"/>
      <c r="W63" s="304"/>
      <c r="X63" s="304"/>
      <c r="Y63" s="304"/>
      <c r="Z63" s="304"/>
      <c r="AA63" s="304"/>
      <c r="AB63" s="70"/>
      <c r="AC63" s="40"/>
    </row>
    <row r="64" spans="1:29" ht="18" customHeight="1">
      <c r="A64" s="49"/>
      <c r="B64" s="44" t="s">
        <v>39</v>
      </c>
      <c r="C64" s="45" t="s">
        <v>40</v>
      </c>
      <c r="D64" s="46" t="s">
        <v>41</v>
      </c>
      <c r="E64" s="46" t="s">
        <v>42</v>
      </c>
      <c r="F64" s="46" t="s">
        <v>43</v>
      </c>
      <c r="G64" s="46" t="s">
        <v>44</v>
      </c>
      <c r="H64" s="46" t="s">
        <v>45</v>
      </c>
      <c r="I64" s="47" t="s">
        <v>46</v>
      </c>
      <c r="J64" s="48"/>
      <c r="K64" s="44" t="s">
        <v>39</v>
      </c>
      <c r="L64" s="45" t="s">
        <v>40</v>
      </c>
      <c r="M64" s="46" t="s">
        <v>41</v>
      </c>
      <c r="N64" s="46" t="s">
        <v>42</v>
      </c>
      <c r="O64" s="46" t="s">
        <v>43</v>
      </c>
      <c r="P64" s="46" t="s">
        <v>44</v>
      </c>
      <c r="Q64" s="46" t="s">
        <v>45</v>
      </c>
      <c r="R64" s="47" t="s">
        <v>46</v>
      </c>
      <c r="S64" s="48"/>
      <c r="T64" s="44" t="s">
        <v>39</v>
      </c>
      <c r="U64" s="45" t="s">
        <v>40</v>
      </c>
      <c r="V64" s="46" t="s">
        <v>41</v>
      </c>
      <c r="W64" s="46" t="s">
        <v>42</v>
      </c>
      <c r="X64" s="46" t="s">
        <v>43</v>
      </c>
      <c r="Y64" s="46" t="s">
        <v>44</v>
      </c>
      <c r="Z64" s="46" t="s">
        <v>45</v>
      </c>
      <c r="AA64" s="47" t="s">
        <v>46</v>
      </c>
      <c r="AB64" s="31"/>
      <c r="AC64" s="8"/>
    </row>
    <row r="65" spans="1:29" ht="18" customHeight="1">
      <c r="A65" s="49"/>
      <c r="B65" s="71">
        <f>IF(T56&gt;0,T56,T55+1)</f>
        <v>42</v>
      </c>
      <c r="C65" s="77">
        <f>IF($C$6=1,1,0)</f>
        <v>0</v>
      </c>
      <c r="D65" s="52">
        <f>IF($D$6=1,1,IF(C65&gt;0,C65+1,0))</f>
        <v>0</v>
      </c>
      <c r="E65" s="52">
        <f>IF($E$6=1,1,IF(D65&gt;0,D65+1,0))</f>
        <v>0</v>
      </c>
      <c r="F65" s="52">
        <f>IF($F$6=1,1,IF(E65&gt;0,E65+1,0))</f>
        <v>0</v>
      </c>
      <c r="G65" s="52">
        <f>IF($G$6=1,1,IF(F65&gt;0,F65+1,0))</f>
        <v>1</v>
      </c>
      <c r="H65" s="52">
        <f>IF($H$6=1,1,IF(G65&gt;0,G65+1,0))</f>
        <v>2</v>
      </c>
      <c r="I65" s="53">
        <f>IF($I$6=1,1,IF(H65&gt;0,H65+1,0))</f>
        <v>3</v>
      </c>
      <c r="J65" s="24"/>
      <c r="K65" s="54">
        <f>IF(B70&gt;0,B69+1,B69)</f>
        <v>46</v>
      </c>
      <c r="L65" s="51">
        <f>IF($L$6=1,1,0)</f>
        <v>1</v>
      </c>
      <c r="M65" s="52">
        <f>IF($M$6=1,1,IF(L65&gt;0,L65+1,0))</f>
        <v>2</v>
      </c>
      <c r="N65" s="52">
        <f>IF($N$6=1,1,IF(M65&gt;0,M65+1,0))</f>
        <v>3</v>
      </c>
      <c r="O65" s="52">
        <f>IF($O$6=1,1,IF(N65&gt;0,N65+1,0))</f>
        <v>4</v>
      </c>
      <c r="P65" s="52">
        <f>IF($P$6=1,1,IF(O65&gt;0,O65+1,0))</f>
        <v>5</v>
      </c>
      <c r="Q65" s="52">
        <f>IF($Q$6=1,1,IF(P65&gt;0,P65+1,0))</f>
        <v>6</v>
      </c>
      <c r="R65" s="53">
        <f>IF($R$6=1,1,IF(Q65&gt;0,Q65+1,0))</f>
        <v>7</v>
      </c>
      <c r="S65" s="24"/>
      <c r="T65" s="54">
        <f>IF(K70&gt;0,K69+1,K69)</f>
        <v>50</v>
      </c>
      <c r="U65" s="51">
        <f>IF($U$6=1,1,0)</f>
        <v>0</v>
      </c>
      <c r="V65" s="52">
        <f>IF($V$6=1,1,IF(U65&gt;0,U65+1,0))</f>
        <v>0</v>
      </c>
      <c r="W65" s="52">
        <f>IF($W$6=1,1,IF(V65&gt;0,V65+1,0))</f>
        <v>1</v>
      </c>
      <c r="X65" s="52">
        <f>IF($X$6=1,1,IF(W65&gt;0,W65+1,0))</f>
        <v>2</v>
      </c>
      <c r="Y65" s="52">
        <f>IF($Y$6=1,1,IF(X65&gt;0,X65+1,0))</f>
        <v>3</v>
      </c>
      <c r="Z65" s="78">
        <f>IF($Z$6=1,1,IF(Y65&gt;0,Y65+1,0))</f>
        <v>4</v>
      </c>
      <c r="AA65" s="53">
        <f>IF($AA$6=1,1,IF(Z65&gt;0,Z65+1,0))</f>
        <v>5</v>
      </c>
      <c r="AB65" s="31"/>
      <c r="AC65" s="8"/>
    </row>
    <row r="66" spans="1:29" ht="18" customHeight="1">
      <c r="A66" s="49"/>
      <c r="B66" s="54">
        <f>B65+1</f>
        <v>43</v>
      </c>
      <c r="C66" s="56">
        <f>IF(AND(I65&gt;0,I65&lt;31),I65+1,0)</f>
        <v>4</v>
      </c>
      <c r="D66" s="57">
        <f t="shared" ref="D66:I70" si="9">IF(AND(C66&gt;0,C66&lt;31),C66+1,0)</f>
        <v>5</v>
      </c>
      <c r="E66" s="57">
        <f t="shared" si="9"/>
        <v>6</v>
      </c>
      <c r="F66" s="57">
        <f t="shared" si="9"/>
        <v>7</v>
      </c>
      <c r="G66" s="57">
        <f t="shared" si="9"/>
        <v>8</v>
      </c>
      <c r="H66" s="57">
        <f t="shared" si="9"/>
        <v>9</v>
      </c>
      <c r="I66" s="58">
        <f t="shared" si="9"/>
        <v>10</v>
      </c>
      <c r="J66" s="24"/>
      <c r="K66" s="54">
        <f>K65+1</f>
        <v>47</v>
      </c>
      <c r="L66" s="79">
        <f>IF(AND(R65&gt;0,R65&lt;30),R65+1,0)</f>
        <v>8</v>
      </c>
      <c r="M66" s="57">
        <f t="shared" ref="M66:R70" si="10">IF(AND(L66&gt;0,L66&lt;30),L66+1,0)</f>
        <v>9</v>
      </c>
      <c r="N66" s="57">
        <f t="shared" si="10"/>
        <v>10</v>
      </c>
      <c r="O66" s="57">
        <f t="shared" si="10"/>
        <v>11</v>
      </c>
      <c r="P66" s="57">
        <f t="shared" si="10"/>
        <v>12</v>
      </c>
      <c r="Q66" s="57">
        <f t="shared" si="10"/>
        <v>13</v>
      </c>
      <c r="R66" s="58">
        <f t="shared" si="10"/>
        <v>14</v>
      </c>
      <c r="S66" s="24"/>
      <c r="T66" s="54">
        <f>T65+1</f>
        <v>51</v>
      </c>
      <c r="U66" s="56">
        <f>IF(AND(AA65&gt;0,AA65&lt;31),AA65+1,0)</f>
        <v>6</v>
      </c>
      <c r="V66" s="57">
        <f t="shared" ref="V66:AA70" si="11">IF(AND(U66&gt;0,U66&lt;31),U66+1,0)</f>
        <v>7</v>
      </c>
      <c r="W66" s="57">
        <f t="shared" si="11"/>
        <v>8</v>
      </c>
      <c r="X66" s="57">
        <f t="shared" si="11"/>
        <v>9</v>
      </c>
      <c r="Y66" s="57">
        <f t="shared" si="11"/>
        <v>10</v>
      </c>
      <c r="Z66" s="80">
        <f t="shared" si="11"/>
        <v>11</v>
      </c>
      <c r="AA66" s="58">
        <f t="shared" si="11"/>
        <v>12</v>
      </c>
      <c r="AB66" s="31"/>
      <c r="AC66" s="8"/>
    </row>
    <row r="67" spans="1:29" ht="18" customHeight="1">
      <c r="A67" s="49"/>
      <c r="B67" s="54">
        <f>B66+1</f>
        <v>44</v>
      </c>
      <c r="C67" s="56">
        <f>IF(AND(I66&gt;0,I66&lt;31),I66+1,0)</f>
        <v>11</v>
      </c>
      <c r="D67" s="57">
        <f t="shared" si="9"/>
        <v>12</v>
      </c>
      <c r="E67" s="57">
        <f t="shared" si="9"/>
        <v>13</v>
      </c>
      <c r="F67" s="57">
        <f t="shared" si="9"/>
        <v>14</v>
      </c>
      <c r="G67" s="57">
        <f t="shared" si="9"/>
        <v>15</v>
      </c>
      <c r="H67" s="57">
        <f t="shared" si="9"/>
        <v>16</v>
      </c>
      <c r="I67" s="58">
        <f t="shared" si="9"/>
        <v>17</v>
      </c>
      <c r="J67" s="24"/>
      <c r="K67" s="54">
        <f>K66+1</f>
        <v>48</v>
      </c>
      <c r="L67" s="79">
        <f>IF(AND(R66&gt;0,R66&lt;30),R66+1,0)</f>
        <v>15</v>
      </c>
      <c r="M67" s="57">
        <f t="shared" si="10"/>
        <v>16</v>
      </c>
      <c r="N67" s="57">
        <f t="shared" si="10"/>
        <v>17</v>
      </c>
      <c r="O67" s="57">
        <f t="shared" si="10"/>
        <v>18</v>
      </c>
      <c r="P67" s="57">
        <f t="shared" si="10"/>
        <v>19</v>
      </c>
      <c r="Q67" s="57">
        <f t="shared" si="10"/>
        <v>20</v>
      </c>
      <c r="R67" s="58">
        <f t="shared" si="10"/>
        <v>21</v>
      </c>
      <c r="S67" s="24"/>
      <c r="T67" s="54">
        <f>T66+1</f>
        <v>52</v>
      </c>
      <c r="U67" s="56">
        <f>IF(AND(AA66&gt;0,AA66&lt;31),AA66+1,0)</f>
        <v>13</v>
      </c>
      <c r="V67" s="57">
        <f t="shared" si="11"/>
        <v>14</v>
      </c>
      <c r="W67" s="57">
        <f t="shared" si="11"/>
        <v>15</v>
      </c>
      <c r="X67" s="57">
        <f t="shared" si="11"/>
        <v>16</v>
      </c>
      <c r="Y67" s="57">
        <f t="shared" si="11"/>
        <v>17</v>
      </c>
      <c r="Z67" s="80">
        <f t="shared" si="11"/>
        <v>18</v>
      </c>
      <c r="AA67" s="58">
        <f t="shared" si="11"/>
        <v>19</v>
      </c>
      <c r="AB67" s="31"/>
      <c r="AC67" s="8"/>
    </row>
    <row r="68" spans="1:29" ht="18" customHeight="1">
      <c r="A68" s="49"/>
      <c r="B68" s="54">
        <f>B67+1</f>
        <v>45</v>
      </c>
      <c r="C68" s="56">
        <f>IF(AND(I67&gt;0,I67&lt;31),I67+1,0)</f>
        <v>18</v>
      </c>
      <c r="D68" s="57">
        <f t="shared" si="9"/>
        <v>19</v>
      </c>
      <c r="E68" s="57">
        <f t="shared" si="9"/>
        <v>20</v>
      </c>
      <c r="F68" s="57">
        <f t="shared" si="9"/>
        <v>21</v>
      </c>
      <c r="G68" s="57">
        <f t="shared" si="9"/>
        <v>22</v>
      </c>
      <c r="H68" s="57">
        <f t="shared" si="9"/>
        <v>23</v>
      </c>
      <c r="I68" s="58">
        <f t="shared" si="9"/>
        <v>24</v>
      </c>
      <c r="J68" s="24"/>
      <c r="K68" s="54">
        <f>K67+1</f>
        <v>49</v>
      </c>
      <c r="L68" s="79">
        <f>IF(AND(R67&gt;0,R67&lt;30),R67+1,0)</f>
        <v>22</v>
      </c>
      <c r="M68" s="57">
        <f t="shared" si="10"/>
        <v>23</v>
      </c>
      <c r="N68" s="57">
        <f t="shared" si="10"/>
        <v>24</v>
      </c>
      <c r="O68" s="57">
        <f t="shared" si="10"/>
        <v>25</v>
      </c>
      <c r="P68" s="57">
        <f t="shared" si="10"/>
        <v>26</v>
      </c>
      <c r="Q68" s="57">
        <f t="shared" si="10"/>
        <v>27</v>
      </c>
      <c r="R68" s="58">
        <f t="shared" si="10"/>
        <v>28</v>
      </c>
      <c r="S68" s="24"/>
      <c r="T68" s="54">
        <f>T67+1</f>
        <v>53</v>
      </c>
      <c r="U68" s="56">
        <f>IF(AND(AA67&gt;0,AA67&lt;31),AA67+1,0)</f>
        <v>20</v>
      </c>
      <c r="V68" s="57">
        <f t="shared" si="11"/>
        <v>21</v>
      </c>
      <c r="W68" s="57">
        <f t="shared" si="11"/>
        <v>22</v>
      </c>
      <c r="X68" s="57">
        <f t="shared" si="11"/>
        <v>23</v>
      </c>
      <c r="Y68" s="57">
        <f t="shared" si="11"/>
        <v>24</v>
      </c>
      <c r="Z68" s="80">
        <f t="shared" si="11"/>
        <v>25</v>
      </c>
      <c r="AA68" s="58">
        <f t="shared" si="11"/>
        <v>26</v>
      </c>
      <c r="AB68" s="31"/>
      <c r="AC68" s="8"/>
    </row>
    <row r="69" spans="1:29" ht="18" customHeight="1">
      <c r="A69" s="49"/>
      <c r="B69" s="54">
        <f>B68+1</f>
        <v>46</v>
      </c>
      <c r="C69" s="56">
        <f>IF(AND(I68&gt;0,I68&lt;31),I68+1,0)</f>
        <v>25</v>
      </c>
      <c r="D69" s="57">
        <f t="shared" si="9"/>
        <v>26</v>
      </c>
      <c r="E69" s="57">
        <f t="shared" si="9"/>
        <v>27</v>
      </c>
      <c r="F69" s="57">
        <f t="shared" si="9"/>
        <v>28</v>
      </c>
      <c r="G69" s="57">
        <f t="shared" si="9"/>
        <v>29</v>
      </c>
      <c r="H69" s="57">
        <f t="shared" si="9"/>
        <v>30</v>
      </c>
      <c r="I69" s="58">
        <f t="shared" si="9"/>
        <v>31</v>
      </c>
      <c r="J69" s="24"/>
      <c r="K69" s="54">
        <f>K68+1</f>
        <v>50</v>
      </c>
      <c r="L69" s="79">
        <f>IF(AND(R68&gt;0,R68&lt;30),R68+1,0)</f>
        <v>29</v>
      </c>
      <c r="M69" s="57">
        <f t="shared" si="10"/>
        <v>30</v>
      </c>
      <c r="N69" s="57">
        <f t="shared" si="10"/>
        <v>0</v>
      </c>
      <c r="O69" s="57">
        <f t="shared" si="10"/>
        <v>0</v>
      </c>
      <c r="P69" s="57">
        <f t="shared" si="10"/>
        <v>0</v>
      </c>
      <c r="Q69" s="57">
        <f t="shared" si="10"/>
        <v>0</v>
      </c>
      <c r="R69" s="58">
        <f t="shared" si="10"/>
        <v>0</v>
      </c>
      <c r="S69" s="24"/>
      <c r="T69" s="54">
        <f>T68+1</f>
        <v>54</v>
      </c>
      <c r="U69" s="56">
        <f>IF(AND(AA68&gt;0,AA68&lt;31),AA68+1,0)</f>
        <v>27</v>
      </c>
      <c r="V69" s="57">
        <f t="shared" si="11"/>
        <v>28</v>
      </c>
      <c r="W69" s="57">
        <f t="shared" si="11"/>
        <v>29</v>
      </c>
      <c r="X69" s="57">
        <f t="shared" si="11"/>
        <v>30</v>
      </c>
      <c r="Y69" s="57">
        <f t="shared" si="11"/>
        <v>31</v>
      </c>
      <c r="Z69" s="80">
        <f t="shared" si="11"/>
        <v>0</v>
      </c>
      <c r="AA69" s="58">
        <f t="shared" si="11"/>
        <v>0</v>
      </c>
      <c r="AB69" s="31"/>
      <c r="AC69" s="8"/>
    </row>
    <row r="70" spans="1:29" ht="18" customHeight="1" thickBot="1">
      <c r="A70" s="49"/>
      <c r="B70" s="64">
        <f>IF(C70=0,0,B69+1)</f>
        <v>0</v>
      </c>
      <c r="C70" s="65">
        <f>IF(AND(I69&gt;0,I69&lt;31),I69+1,0)</f>
        <v>0</v>
      </c>
      <c r="D70" s="62">
        <f t="shared" si="9"/>
        <v>0</v>
      </c>
      <c r="E70" s="62">
        <f t="shared" si="9"/>
        <v>0</v>
      </c>
      <c r="F70" s="62">
        <f t="shared" si="9"/>
        <v>0</v>
      </c>
      <c r="G70" s="62">
        <f t="shared" si="9"/>
        <v>0</v>
      </c>
      <c r="H70" s="62">
        <f t="shared" si="9"/>
        <v>0</v>
      </c>
      <c r="I70" s="63">
        <f t="shared" si="9"/>
        <v>0</v>
      </c>
      <c r="J70" s="24"/>
      <c r="K70" s="64">
        <f>IF(L70=0,0,K69+1)</f>
        <v>0</v>
      </c>
      <c r="L70" s="65">
        <f>IF(AND(R69&gt;0,R69&lt;30),R69+1,0)</f>
        <v>0</v>
      </c>
      <c r="M70" s="62">
        <f t="shared" si="10"/>
        <v>0</v>
      </c>
      <c r="N70" s="62">
        <f t="shared" si="10"/>
        <v>0</v>
      </c>
      <c r="O70" s="62">
        <f t="shared" si="10"/>
        <v>0</v>
      </c>
      <c r="P70" s="62">
        <f t="shared" si="10"/>
        <v>0</v>
      </c>
      <c r="Q70" s="62">
        <f t="shared" si="10"/>
        <v>0</v>
      </c>
      <c r="R70" s="63">
        <f t="shared" si="10"/>
        <v>0</v>
      </c>
      <c r="S70" s="24"/>
      <c r="T70" s="64">
        <f>IF(U70=0,0,T69+1)</f>
        <v>0</v>
      </c>
      <c r="U70" s="61">
        <f>IF(AND(AA69&gt;0,AA69&lt;31),AA69+1,0)</f>
        <v>0</v>
      </c>
      <c r="V70" s="62">
        <f t="shared" si="11"/>
        <v>0</v>
      </c>
      <c r="W70" s="62">
        <f t="shared" si="11"/>
        <v>0</v>
      </c>
      <c r="X70" s="62">
        <f t="shared" si="11"/>
        <v>0</v>
      </c>
      <c r="Y70" s="62">
        <f t="shared" si="11"/>
        <v>0</v>
      </c>
      <c r="Z70" s="62">
        <f t="shared" si="11"/>
        <v>0</v>
      </c>
      <c r="AA70" s="63">
        <f t="shared" si="11"/>
        <v>0</v>
      </c>
      <c r="AB70" s="31"/>
      <c r="AC70" s="8"/>
    </row>
    <row r="71" spans="1:29" ht="18" customHeight="1">
      <c r="A71" s="43"/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  <c r="AA71" s="8"/>
      <c r="AB71" s="31"/>
      <c r="AC71" s="8"/>
    </row>
    <row r="72" spans="1:29" ht="18" customHeight="1" thickBot="1">
      <c r="A72" s="81"/>
      <c r="B72" s="82"/>
      <c r="C72" s="83"/>
      <c r="D72" s="84"/>
      <c r="E72" s="84"/>
      <c r="F72" s="84"/>
      <c r="G72" s="84"/>
      <c r="H72" s="85" t="s">
        <v>56</v>
      </c>
      <c r="I72" s="84"/>
      <c r="J72" s="84"/>
      <c r="K72" s="84"/>
      <c r="L72" s="84"/>
      <c r="M72" s="86"/>
      <c r="N72" s="87"/>
      <c r="O72" s="88"/>
      <c r="P72" s="89"/>
      <c r="Q72" s="89"/>
      <c r="R72" s="89"/>
      <c r="S72" s="89"/>
      <c r="T72" s="89"/>
      <c r="U72" s="89"/>
      <c r="V72" s="89"/>
      <c r="W72" s="82"/>
      <c r="X72" s="82"/>
      <c r="Y72" s="82"/>
      <c r="Z72" s="82"/>
      <c r="AA72" s="90"/>
      <c r="AB72" s="91"/>
      <c r="AC72" s="8"/>
    </row>
    <row r="73" spans="1:29" ht="12.75" customHeight="1">
      <c r="A73" s="8"/>
      <c r="B73" s="8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  <c r="AA73" s="8"/>
      <c r="AB73" s="8"/>
      <c r="AC73" s="8"/>
    </row>
    <row r="74" spans="1:29" ht="12.75" customHeight="1">
      <c r="A74" s="8"/>
      <c r="B74" s="8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  <c r="AA74" s="8"/>
      <c r="AB74" s="8"/>
      <c r="AC74" s="8"/>
    </row>
    <row r="75" spans="1:29" ht="12.75" customHeight="1">
      <c r="A75" s="8"/>
      <c r="B75" s="8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  <c r="AA75" s="8"/>
      <c r="AB75" s="8"/>
      <c r="AC75" s="8"/>
    </row>
    <row r="76" spans="1:29" ht="12.75" customHeight="1">
      <c r="A76" s="8"/>
      <c r="B76" s="8"/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  <c r="AA76" s="8"/>
      <c r="AB76" s="8"/>
      <c r="AC76" s="8"/>
    </row>
    <row r="77" spans="1:29" ht="12.75" customHeight="1">
      <c r="A77" s="8"/>
      <c r="B77" s="8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  <c r="AA77" s="8"/>
      <c r="AB77" s="8"/>
      <c r="AC77" s="8"/>
    </row>
    <row r="78" spans="1:29" ht="12.75" customHeight="1">
      <c r="A78" s="8"/>
      <c r="B78" s="8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  <c r="AA78" s="8"/>
      <c r="AB78" s="8"/>
      <c r="AC78" s="8"/>
    </row>
    <row r="79" spans="1:29" ht="12.75" customHeight="1">
      <c r="A79" s="8"/>
      <c r="B79" s="8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  <c r="AA79" s="8"/>
      <c r="AB79" s="8"/>
      <c r="AC79" s="8"/>
    </row>
    <row r="80" spans="1:29" ht="12.75" customHeight="1">
      <c r="A80" s="8"/>
      <c r="B80" s="8"/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  <c r="AA80" s="8"/>
      <c r="AB80" s="8"/>
      <c r="AC80" s="8"/>
    </row>
    <row r="81" spans="1:29" ht="12.75" customHeight="1">
      <c r="A81" s="8"/>
      <c r="B81" s="8"/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  <c r="AA81" s="8"/>
      <c r="AB81" s="8"/>
      <c r="AC81" s="8"/>
    </row>
    <row r="82" spans="1:29" ht="12.75" customHeight="1">
      <c r="A82" s="8"/>
      <c r="B82" s="8"/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  <c r="AA82" s="8"/>
      <c r="AB82" s="8"/>
      <c r="AC82" s="8"/>
    </row>
    <row r="83" spans="1:29" ht="12.75" customHeight="1">
      <c r="A83" s="8"/>
      <c r="B83" s="8"/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  <c r="AA83" s="8"/>
      <c r="AB83" s="8"/>
      <c r="AC83" s="8"/>
    </row>
    <row r="84" spans="1:29" ht="12.75" customHeight="1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  <c r="AB84" s="8"/>
      <c r="AC84" s="8"/>
    </row>
    <row r="85" spans="1:29" ht="12.75" customHeight="1">
      <c r="A85" s="8"/>
      <c r="B85" s="8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  <c r="AA85" s="8"/>
      <c r="AB85" s="8"/>
      <c r="AC85" s="8"/>
    </row>
    <row r="86" spans="1:29" ht="12.75" customHeight="1">
      <c r="A86" s="8"/>
      <c r="B86" s="8"/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  <c r="AA86" s="8"/>
      <c r="AB86" s="8"/>
      <c r="AC86" s="8"/>
    </row>
    <row r="87" spans="1:29" ht="12.75" customHeight="1">
      <c r="A87" s="8"/>
      <c r="B87" s="8"/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  <c r="AA87" s="8"/>
      <c r="AB87" s="8"/>
      <c r="AC87" s="8"/>
    </row>
    <row r="88" spans="1:29" ht="12.75" customHeight="1">
      <c r="A88" s="8"/>
      <c r="B88" s="8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  <c r="AA88" s="8"/>
      <c r="AB88" s="8"/>
      <c r="AC88" s="8"/>
    </row>
    <row r="89" spans="1:29" ht="12.75" customHeight="1">
      <c r="A89" s="8"/>
      <c r="B89" s="8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  <c r="AA89" s="8"/>
      <c r="AB89" s="8"/>
      <c r="AC89" s="8"/>
    </row>
    <row r="90" spans="1:29" ht="12.75" customHeight="1">
      <c r="A90" s="8"/>
      <c r="B90" s="8"/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  <c r="AA90" s="8"/>
      <c r="AB90" s="8"/>
      <c r="AC90" s="8"/>
    </row>
    <row r="91" spans="1:29" ht="12.75" customHeight="1">
      <c r="A91" s="8"/>
      <c r="B91" s="8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  <c r="AA91" s="8"/>
      <c r="AB91" s="8"/>
      <c r="AC91" s="8"/>
    </row>
    <row r="92" spans="1:29" ht="12.75" customHeight="1">
      <c r="A92" s="8"/>
      <c r="B92" s="8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  <c r="AA92" s="8"/>
      <c r="AB92" s="8"/>
      <c r="AC92" s="8"/>
    </row>
    <row r="93" spans="1:29" ht="12.75" customHeight="1">
      <c r="A93" s="8"/>
      <c r="B93" s="8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  <c r="AA93" s="8"/>
      <c r="AB93" s="8"/>
      <c r="AC93" s="8"/>
    </row>
    <row r="94" spans="1:29" ht="12.75" customHeight="1">
      <c r="A94" s="8"/>
      <c r="B94" s="8"/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  <c r="AA94" s="8"/>
      <c r="AB94" s="8"/>
      <c r="AC94" s="8"/>
    </row>
    <row r="95" spans="1:29" ht="12.75" customHeight="1">
      <c r="A95" s="8"/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  <c r="AA95" s="8"/>
      <c r="AB95" s="8"/>
      <c r="AC95" s="8"/>
    </row>
    <row r="96" spans="1:29" ht="12.75" customHeight="1">
      <c r="A96" s="8"/>
      <c r="B96" s="8"/>
      <c r="C96" s="8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  <c r="AA96" s="8"/>
      <c r="AB96" s="8"/>
      <c r="AC96" s="8"/>
    </row>
    <row r="97" spans="1:29" ht="12.75" customHeight="1">
      <c r="A97" s="8"/>
      <c r="B97" s="8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  <c r="AA97" s="8"/>
      <c r="AB97" s="8"/>
      <c r="AC97" s="8"/>
    </row>
    <row r="98" spans="1:29" ht="12.75" customHeight="1">
      <c r="A98" s="8"/>
      <c r="B98" s="8"/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  <c r="AA98" s="8"/>
      <c r="AB98" s="8"/>
      <c r="AC98" s="8"/>
    </row>
    <row r="99" spans="1:29" ht="12.75" customHeight="1">
      <c r="A99" s="8"/>
      <c r="B99" s="8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  <c r="AA99" s="8"/>
      <c r="AB99" s="8"/>
      <c r="AC99" s="8"/>
    </row>
    <row r="100" spans="1:29" ht="12.75" customHeight="1">
      <c r="A100" s="8"/>
      <c r="B100" s="8"/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  <c r="AA100" s="8"/>
      <c r="AB100" s="8"/>
      <c r="AC100" s="8"/>
    </row>
    <row r="101" spans="1:29" ht="12.75" customHeight="1">
      <c r="A101" s="8"/>
      <c r="B101" s="8"/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  <c r="AA101" s="8"/>
      <c r="AB101" s="8"/>
      <c r="AC101" s="8"/>
    </row>
    <row r="102" spans="1:29" ht="12.75" customHeight="1">
      <c r="A102" s="8"/>
      <c r="B102" s="8"/>
      <c r="C102" s="8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  <c r="AA102" s="8"/>
      <c r="AB102" s="8"/>
      <c r="AC102" s="8"/>
    </row>
    <row r="103" spans="1:29" ht="12.75" customHeight="1">
      <c r="A103" s="8"/>
      <c r="B103" s="8"/>
      <c r="C103" s="8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  <c r="AA103" s="8"/>
      <c r="AB103" s="8"/>
      <c r="AC103" s="8"/>
    </row>
    <row r="104" spans="1:29" ht="12.75" customHeight="1">
      <c r="A104" s="8"/>
      <c r="B104" s="8"/>
      <c r="C104" s="8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  <c r="AA104" s="8"/>
      <c r="AB104" s="8"/>
      <c r="AC104" s="8"/>
    </row>
    <row r="105" spans="1:29" ht="12.75" customHeight="1">
      <c r="A105" s="8"/>
      <c r="B105" s="8"/>
      <c r="C105" s="8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  <c r="AA105" s="8"/>
      <c r="AB105" s="8"/>
      <c r="AC105" s="8"/>
    </row>
    <row r="106" spans="1:29" ht="12.75" customHeight="1">
      <c r="A106" s="8"/>
      <c r="B106" s="8"/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  <c r="AA106" s="8"/>
      <c r="AB106" s="8"/>
      <c r="AC106" s="8"/>
    </row>
    <row r="107" spans="1:29" ht="12.75" customHeight="1">
      <c r="A107" s="8"/>
      <c r="B107" s="8"/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  <c r="AA107" s="8"/>
      <c r="AB107" s="8"/>
      <c r="AC107" s="8"/>
    </row>
    <row r="108" spans="1:29" ht="12.75" customHeight="1">
      <c r="A108" s="8"/>
      <c r="B108" s="8"/>
      <c r="C108" s="8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  <c r="AA108" s="8"/>
      <c r="AB108" s="8"/>
      <c r="AC108" s="8"/>
    </row>
    <row r="109" spans="1:29" ht="12.75" customHeight="1">
      <c r="A109" s="8"/>
      <c r="B109" s="8"/>
      <c r="C109" s="8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  <c r="AA109" s="8"/>
      <c r="AB109" s="8"/>
      <c r="AC109" s="8"/>
    </row>
    <row r="110" spans="1:29" ht="12.75" customHeight="1">
      <c r="A110" s="8"/>
      <c r="B110" s="8"/>
      <c r="C110" s="8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  <c r="AA110" s="8"/>
      <c r="AB110" s="8"/>
      <c r="AC110" s="8"/>
    </row>
    <row r="111" spans="1:29" ht="12.75" customHeight="1">
      <c r="A111" s="8"/>
      <c r="B111" s="8"/>
      <c r="C111" s="8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  <c r="AA111" s="8"/>
      <c r="AB111" s="8"/>
      <c r="AC111" s="8"/>
    </row>
    <row r="112" spans="1:29" ht="12.75" customHeight="1">
      <c r="A112" s="8"/>
      <c r="B112" s="8"/>
      <c r="C112" s="8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  <c r="AA112" s="8"/>
      <c r="AB112" s="8"/>
      <c r="AC112" s="8"/>
    </row>
    <row r="113" spans="1:29" ht="12.75" customHeight="1">
      <c r="A113" s="8"/>
      <c r="B113" s="8"/>
      <c r="C113" s="8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  <c r="AA113" s="8"/>
      <c r="AB113" s="8"/>
      <c r="AC113" s="8"/>
    </row>
    <row r="114" spans="1:29" ht="12.75" customHeight="1">
      <c r="A114" s="8"/>
      <c r="B114" s="8"/>
      <c r="C114" s="8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  <c r="AA114" s="8"/>
      <c r="AB114" s="8"/>
      <c r="AC114" s="8"/>
    </row>
    <row r="115" spans="1:29" ht="12.75" customHeight="1">
      <c r="A115" s="8"/>
      <c r="B115" s="8"/>
      <c r="C115" s="8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  <c r="AA115" s="8"/>
      <c r="AB115" s="8"/>
      <c r="AC115" s="8"/>
    </row>
    <row r="116" spans="1:29" ht="12.75" customHeight="1">
      <c r="A116" s="8"/>
      <c r="B116" s="8"/>
      <c r="C116" s="8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  <c r="AA116" s="8"/>
      <c r="AB116" s="8"/>
      <c r="AC116" s="8"/>
    </row>
    <row r="117" spans="1:29" ht="12.75" customHeight="1">
      <c r="A117" s="8"/>
      <c r="B117" s="8"/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  <c r="AA117" s="8"/>
      <c r="AB117" s="8"/>
      <c r="AC117" s="8"/>
    </row>
    <row r="118" spans="1:29" ht="12.75" customHeight="1">
      <c r="A118" s="8"/>
      <c r="B118" s="8"/>
      <c r="C118" s="8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  <c r="AA118" s="8"/>
      <c r="AB118" s="8"/>
      <c r="AC118" s="8"/>
    </row>
    <row r="119" spans="1:29" ht="12.75" customHeight="1">
      <c r="A119" s="8"/>
      <c r="B119" s="8"/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  <c r="AA119" s="8"/>
      <c r="AB119" s="8"/>
      <c r="AC119" s="8"/>
    </row>
    <row r="120" spans="1:29" ht="12.75" customHeight="1">
      <c r="A120" s="8"/>
      <c r="B120" s="8"/>
      <c r="C120" s="8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  <c r="AA120" s="8"/>
      <c r="AB120" s="8"/>
      <c r="AC120" s="8"/>
    </row>
    <row r="121" spans="1:29" ht="12.75" customHeight="1">
      <c r="A121" s="8"/>
      <c r="B121" s="8"/>
      <c r="C121" s="8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  <c r="AA121" s="8"/>
      <c r="AB121" s="8"/>
      <c r="AC121" s="8"/>
    </row>
    <row r="122" spans="1:29" ht="12.75" customHeight="1">
      <c r="A122" s="8"/>
      <c r="B122" s="8"/>
      <c r="C122" s="8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  <c r="AA122" s="8"/>
      <c r="AB122" s="8"/>
      <c r="AC122" s="8"/>
    </row>
    <row r="123" spans="1:29" ht="12.75" customHeight="1">
      <c r="A123" s="8"/>
      <c r="B123" s="8"/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  <c r="AA123" s="8"/>
      <c r="AB123" s="8"/>
      <c r="AC123" s="8"/>
    </row>
    <row r="124" spans="1:29" ht="12.75" customHeight="1">
      <c r="A124" s="8"/>
      <c r="B124" s="8"/>
      <c r="C124" s="8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  <c r="AA124" s="8"/>
      <c r="AB124" s="8"/>
      <c r="AC124" s="8"/>
    </row>
    <row r="125" spans="1:29" ht="12.75" customHeight="1">
      <c r="A125" s="8"/>
      <c r="B125" s="8"/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  <c r="AA125" s="8"/>
      <c r="AB125" s="8"/>
      <c r="AC125" s="8"/>
    </row>
    <row r="126" spans="1:29" ht="12.75" customHeight="1">
      <c r="A126" s="8"/>
      <c r="B126" s="8"/>
      <c r="C126" s="8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  <c r="AA126" s="8"/>
      <c r="AB126" s="8"/>
      <c r="AC126" s="8"/>
    </row>
    <row r="127" spans="1:29" ht="12.75" customHeight="1">
      <c r="A127" s="8"/>
      <c r="B127" s="8"/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  <c r="AA127" s="8"/>
      <c r="AB127" s="8"/>
      <c r="AC127" s="8"/>
    </row>
    <row r="128" spans="1:29" ht="12.75" customHeight="1">
      <c r="A128" s="8"/>
      <c r="B128" s="8"/>
      <c r="C128" s="8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  <c r="AA128" s="8"/>
      <c r="AB128" s="8"/>
      <c r="AC128" s="8"/>
    </row>
    <row r="129" spans="1:29" ht="12.75" customHeight="1">
      <c r="A129" s="8"/>
      <c r="B129" s="8"/>
      <c r="C129" s="8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  <c r="AA129" s="8"/>
      <c r="AB129" s="8"/>
      <c r="AC129" s="8"/>
    </row>
    <row r="130" spans="1:29" ht="12.75" customHeight="1">
      <c r="A130" s="8"/>
      <c r="B130" s="8"/>
      <c r="C130" s="8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  <c r="AA130" s="8"/>
      <c r="AB130" s="8"/>
      <c r="AC130" s="8"/>
    </row>
    <row r="131" spans="1:29" ht="12.75" customHeight="1">
      <c r="A131" s="8"/>
      <c r="B131" s="8"/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  <c r="AA131" s="8"/>
      <c r="AB131" s="8"/>
      <c r="AC131" s="8"/>
    </row>
    <row r="132" spans="1:29" ht="12.75" customHeight="1">
      <c r="A132" s="8"/>
      <c r="B132" s="8"/>
      <c r="C132" s="8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  <c r="AA132" s="8"/>
      <c r="AB132" s="8"/>
      <c r="AC132" s="8"/>
    </row>
    <row r="133" spans="1:29" ht="12.75" customHeight="1">
      <c r="A133" s="8"/>
      <c r="B133" s="8"/>
      <c r="C133" s="8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  <c r="AA133" s="8"/>
      <c r="AB133" s="8"/>
      <c r="AC133" s="8"/>
    </row>
    <row r="134" spans="1:29" ht="12.75" customHeight="1">
      <c r="A134" s="8"/>
      <c r="B134" s="8"/>
      <c r="C134" s="8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  <c r="AA134" s="8"/>
      <c r="AB134" s="8"/>
      <c r="AC134" s="8"/>
    </row>
    <row r="135" spans="1:29" ht="12.75" customHeight="1">
      <c r="A135" s="8"/>
      <c r="B135" s="8"/>
      <c r="C135" s="8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  <c r="AA135" s="8"/>
      <c r="AB135" s="8"/>
      <c r="AC135" s="8"/>
    </row>
    <row r="136" spans="1:29" ht="12.75" customHeight="1">
      <c r="A136" s="8"/>
      <c r="B136" s="8"/>
      <c r="C136" s="8"/>
      <c r="D136" s="8"/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  <c r="AA136" s="8"/>
      <c r="AB136" s="8"/>
      <c r="AC136" s="8"/>
    </row>
    <row r="137" spans="1:29" ht="12.75" customHeight="1">
      <c r="A137" s="8"/>
      <c r="B137" s="8"/>
      <c r="C137" s="8"/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  <c r="AA137" s="8"/>
      <c r="AB137" s="8"/>
      <c r="AC137" s="8"/>
    </row>
    <row r="138" spans="1:29" ht="12.75" customHeight="1">
      <c r="A138" s="8"/>
      <c r="B138" s="8"/>
      <c r="C138" s="8"/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  <c r="AA138" s="8"/>
      <c r="AB138" s="8"/>
      <c r="AC138" s="8"/>
    </row>
    <row r="139" spans="1:29" ht="12.75" customHeight="1">
      <c r="A139" s="8"/>
      <c r="B139" s="8"/>
      <c r="C139" s="8"/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  <c r="AA139" s="8"/>
      <c r="AB139" s="8"/>
      <c r="AC139" s="8"/>
    </row>
    <row r="140" spans="1:29" ht="12.75" customHeight="1">
      <c r="A140" s="8"/>
      <c r="B140" s="8"/>
      <c r="C140" s="8"/>
      <c r="D140" s="8"/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  <c r="AA140" s="8"/>
      <c r="AB140" s="8"/>
      <c r="AC140" s="8"/>
    </row>
    <row r="141" spans="1:29" ht="12.75" customHeight="1">
      <c r="A141" s="8"/>
      <c r="B141" s="8"/>
      <c r="C141" s="8"/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  <c r="AA141" s="8"/>
      <c r="AB141" s="8"/>
      <c r="AC141" s="8"/>
    </row>
    <row r="142" spans="1:29" ht="12.75" customHeight="1">
      <c r="A142" s="8"/>
      <c r="B142" s="8"/>
      <c r="C142" s="8"/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  <c r="AA142" s="8"/>
      <c r="AB142" s="8"/>
      <c r="AC142" s="8"/>
    </row>
    <row r="143" spans="1:29" ht="12.75" customHeight="1">
      <c r="A143" s="8"/>
      <c r="B143" s="8"/>
      <c r="C143" s="8"/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  <c r="AA143" s="8"/>
      <c r="AB143" s="8"/>
      <c r="AC143" s="8"/>
    </row>
    <row r="144" spans="1:29" ht="12.75" customHeight="1">
      <c r="A144" s="8"/>
      <c r="B144" s="8"/>
      <c r="C144" s="8"/>
      <c r="D144" s="8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  <c r="AA144" s="8"/>
      <c r="AB144" s="8"/>
      <c r="AC144" s="8"/>
    </row>
    <row r="145" spans="1:29" ht="12.75" customHeight="1">
      <c r="A145" s="8"/>
      <c r="B145" s="8"/>
      <c r="C145" s="8"/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  <c r="AA145" s="8"/>
      <c r="AB145" s="8"/>
      <c r="AC145" s="8"/>
    </row>
    <row r="146" spans="1:29" ht="12.75" customHeight="1">
      <c r="A146" s="8"/>
      <c r="B146" s="8"/>
      <c r="C146" s="8"/>
      <c r="D146" s="8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  <c r="AA146" s="8"/>
      <c r="AB146" s="8"/>
      <c r="AC146" s="8"/>
    </row>
    <row r="147" spans="1:29" ht="12.75" customHeight="1">
      <c r="A147" s="8"/>
      <c r="B147" s="8"/>
      <c r="C147" s="8"/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  <c r="AA147" s="8"/>
      <c r="AB147" s="8"/>
      <c r="AC147" s="8"/>
    </row>
    <row r="148" spans="1:29" ht="12.75" customHeight="1">
      <c r="A148" s="8"/>
      <c r="B148" s="8"/>
      <c r="C148" s="8"/>
      <c r="D148" s="8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  <c r="AA148" s="8"/>
      <c r="AB148" s="8"/>
      <c r="AC148" s="8"/>
    </row>
    <row r="149" spans="1:29" ht="12.75" customHeight="1">
      <c r="A149" s="8"/>
      <c r="B149" s="8"/>
      <c r="C149" s="8"/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  <c r="AA149" s="8"/>
      <c r="AB149" s="8"/>
      <c r="AC149" s="8"/>
    </row>
    <row r="150" spans="1:29" ht="12.75" customHeight="1">
      <c r="A150" s="8"/>
      <c r="B150" s="8"/>
      <c r="C150" s="8"/>
      <c r="D150" s="8"/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  <c r="AA150" s="8"/>
      <c r="AB150" s="8"/>
      <c r="AC150" s="8"/>
    </row>
    <row r="151" spans="1:29" ht="12.75" customHeight="1">
      <c r="A151" s="8"/>
      <c r="B151" s="8"/>
      <c r="C151" s="8"/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  <c r="AA151" s="8"/>
      <c r="AB151" s="8"/>
      <c r="AC151" s="8"/>
    </row>
    <row r="152" spans="1:29" ht="12.75" customHeight="1">
      <c r="A152" s="8"/>
      <c r="B152" s="8"/>
      <c r="C152" s="8"/>
      <c r="D152" s="8"/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  <c r="AA152" s="8"/>
      <c r="AB152" s="8"/>
      <c r="AC152" s="8"/>
    </row>
    <row r="153" spans="1:29" ht="12.75" customHeight="1">
      <c r="A153" s="8"/>
      <c r="B153" s="8"/>
      <c r="C153" s="8"/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  <c r="AA153" s="8"/>
      <c r="AB153" s="8"/>
      <c r="AC153" s="8"/>
    </row>
    <row r="154" spans="1:29" ht="12.75" customHeight="1">
      <c r="A154" s="8"/>
      <c r="B154" s="8"/>
      <c r="C154" s="8"/>
      <c r="D154" s="8"/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  <c r="AA154" s="8"/>
      <c r="AB154" s="8"/>
      <c r="AC154" s="8"/>
    </row>
    <row r="155" spans="1:29" ht="12.75" customHeight="1">
      <c r="A155" s="8"/>
      <c r="B155" s="8"/>
      <c r="C155" s="8"/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  <c r="AA155" s="8"/>
      <c r="AB155" s="8"/>
      <c r="AC155" s="8"/>
    </row>
    <row r="156" spans="1:29" ht="12.75" customHeight="1">
      <c r="A156" s="8"/>
      <c r="B156" s="8"/>
      <c r="C156" s="8"/>
      <c r="D156" s="8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  <c r="AA156" s="8"/>
      <c r="AB156" s="8"/>
      <c r="AC156" s="8"/>
    </row>
    <row r="157" spans="1:29" ht="12.75" customHeight="1">
      <c r="A157" s="8"/>
      <c r="B157" s="8"/>
      <c r="C157" s="8"/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  <c r="AA157" s="8"/>
      <c r="AB157" s="8"/>
      <c r="AC157" s="8"/>
    </row>
    <row r="158" spans="1:29" ht="12.75" customHeight="1">
      <c r="A158" s="8"/>
      <c r="B158" s="8"/>
      <c r="C158" s="8"/>
      <c r="D158" s="8"/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  <c r="AA158" s="8"/>
      <c r="AB158" s="8"/>
      <c r="AC158" s="8"/>
    </row>
    <row r="159" spans="1:29" ht="12.75" customHeight="1">
      <c r="A159" s="8"/>
      <c r="B159" s="8"/>
      <c r="C159" s="8"/>
      <c r="D159" s="8"/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  <c r="AA159" s="8"/>
      <c r="AB159" s="8"/>
      <c r="AC159" s="8"/>
    </row>
    <row r="160" spans="1:29" ht="12.75" customHeight="1">
      <c r="A160" s="8"/>
      <c r="B160" s="8"/>
      <c r="C160" s="8"/>
      <c r="D160" s="8"/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  <c r="AA160" s="8"/>
      <c r="AB160" s="8"/>
      <c r="AC160" s="8"/>
    </row>
    <row r="161" spans="1:29" ht="12.75" customHeight="1">
      <c r="A161" s="8"/>
      <c r="B161" s="8"/>
      <c r="C161" s="8"/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  <c r="AA161" s="8"/>
      <c r="AB161" s="8"/>
      <c r="AC161" s="8"/>
    </row>
    <row r="162" spans="1:29" ht="12.75" customHeight="1">
      <c r="A162" s="8"/>
      <c r="B162" s="8"/>
      <c r="C162" s="8"/>
      <c r="D162" s="8"/>
      <c r="E162" s="8"/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  <c r="AA162" s="8"/>
      <c r="AB162" s="8"/>
      <c r="AC162" s="8"/>
    </row>
    <row r="163" spans="1:29" ht="12.75" customHeight="1">
      <c r="A163" s="8"/>
      <c r="B163" s="8"/>
      <c r="C163" s="8"/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  <c r="AA163" s="8"/>
      <c r="AB163" s="8"/>
      <c r="AC163" s="8"/>
    </row>
    <row r="164" spans="1:29" ht="12.75" customHeight="1">
      <c r="A164" s="8"/>
      <c r="B164" s="8"/>
      <c r="C164" s="8"/>
      <c r="D164" s="8"/>
      <c r="E164" s="8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  <c r="AA164" s="8"/>
      <c r="AB164" s="8"/>
      <c r="AC164" s="8"/>
    </row>
    <row r="165" spans="1:29" ht="12.75" customHeight="1">
      <c r="A165" s="8"/>
      <c r="B165" s="8"/>
      <c r="C165" s="8"/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  <c r="AA165" s="8"/>
      <c r="AB165" s="8"/>
      <c r="AC165" s="8"/>
    </row>
    <row r="166" spans="1:29" ht="12.75" customHeight="1">
      <c r="A166" s="8"/>
      <c r="B166" s="8"/>
      <c r="C166" s="8"/>
      <c r="D166" s="8"/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  <c r="AA166" s="8"/>
      <c r="AB166" s="8"/>
      <c r="AC166" s="8"/>
    </row>
    <row r="167" spans="1:29" ht="12.75" customHeight="1">
      <c r="A167" s="8"/>
      <c r="B167" s="8"/>
      <c r="C167" s="8"/>
      <c r="D167" s="8"/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  <c r="AA167" s="8"/>
      <c r="AB167" s="8"/>
      <c r="AC167" s="8"/>
    </row>
    <row r="168" spans="1:29" ht="12.75" customHeight="1">
      <c r="A168" s="8"/>
      <c r="B168" s="8"/>
      <c r="C168" s="8"/>
      <c r="D168" s="8"/>
      <c r="E168" s="8"/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  <c r="AA168" s="8"/>
      <c r="AB168" s="8"/>
      <c r="AC168" s="8"/>
    </row>
    <row r="169" spans="1:29" ht="12.75" customHeight="1">
      <c r="A169" s="8"/>
      <c r="B169" s="8"/>
      <c r="C169" s="8"/>
      <c r="D169" s="8"/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  <c r="AA169" s="8"/>
      <c r="AB169" s="8"/>
      <c r="AC169" s="8"/>
    </row>
    <row r="170" spans="1:29" ht="12.75" customHeight="1">
      <c r="A170" s="8"/>
      <c r="B170" s="8"/>
      <c r="C170" s="8"/>
      <c r="D170" s="8"/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  <c r="AA170" s="8"/>
      <c r="AB170" s="8"/>
      <c r="AC170" s="8"/>
    </row>
    <row r="171" spans="1:29" ht="12.75" customHeight="1">
      <c r="A171" s="8"/>
      <c r="B171" s="8"/>
      <c r="C171" s="8"/>
      <c r="D171" s="8"/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  <c r="AA171" s="8"/>
      <c r="AB171" s="8"/>
      <c r="AC171" s="8"/>
    </row>
    <row r="172" spans="1:29" ht="12.75" customHeight="1">
      <c r="A172" s="8"/>
      <c r="B172" s="8"/>
      <c r="C172" s="8"/>
      <c r="D172" s="8"/>
      <c r="E172" s="8"/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  <c r="AA172" s="8"/>
      <c r="AB172" s="8"/>
      <c r="AC172" s="8"/>
    </row>
    <row r="173" spans="1:29" ht="12.75" customHeight="1">
      <c r="A173" s="8"/>
      <c r="B173" s="8"/>
      <c r="C173" s="8"/>
      <c r="D173" s="8"/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  <c r="AA173" s="8"/>
      <c r="AB173" s="8"/>
      <c r="AC173" s="8"/>
    </row>
    <row r="174" spans="1:29" ht="12.75" customHeight="1">
      <c r="A174" s="8"/>
      <c r="B174" s="8"/>
      <c r="C174" s="8"/>
      <c r="D174" s="8"/>
      <c r="E174" s="8"/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  <c r="AA174" s="8"/>
      <c r="AB174" s="8"/>
      <c r="AC174" s="8"/>
    </row>
    <row r="175" spans="1:29" ht="12.75" customHeight="1">
      <c r="A175" s="8"/>
      <c r="B175" s="8"/>
      <c r="C175" s="8"/>
      <c r="D175" s="8"/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  <c r="AA175" s="8"/>
      <c r="AB175" s="8"/>
      <c r="AC175" s="8"/>
    </row>
    <row r="176" spans="1:29" ht="12.75" customHeight="1">
      <c r="A176" s="8"/>
      <c r="B176" s="8"/>
      <c r="C176" s="8"/>
      <c r="D176" s="8"/>
      <c r="E176" s="8"/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  <c r="AA176" s="8"/>
      <c r="AB176" s="8"/>
      <c r="AC176" s="8"/>
    </row>
    <row r="177" spans="1:29" ht="12.75" customHeight="1">
      <c r="A177" s="8"/>
      <c r="B177" s="8"/>
      <c r="C177" s="8"/>
      <c r="D177" s="8"/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  <c r="AA177" s="8"/>
      <c r="AB177" s="8"/>
      <c r="AC177" s="8"/>
    </row>
    <row r="178" spans="1:29" ht="12.75" customHeight="1">
      <c r="A178" s="8"/>
      <c r="B178" s="8"/>
      <c r="C178" s="8"/>
      <c r="D178" s="8"/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  <c r="AA178" s="8"/>
      <c r="AB178" s="8"/>
      <c r="AC178" s="8"/>
    </row>
    <row r="179" spans="1:29" ht="12.75" customHeight="1">
      <c r="A179" s="8"/>
      <c r="B179" s="8"/>
      <c r="C179" s="8"/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  <c r="AA179" s="8"/>
      <c r="AB179" s="8"/>
      <c r="AC179" s="8"/>
    </row>
    <row r="180" spans="1:29" ht="12.75" customHeight="1">
      <c r="A180" s="8"/>
      <c r="B180" s="8"/>
      <c r="C180" s="8"/>
      <c r="D180" s="8"/>
      <c r="E180" s="8"/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  <c r="AA180" s="8"/>
      <c r="AB180" s="8"/>
      <c r="AC180" s="8"/>
    </row>
    <row r="181" spans="1:29" ht="12.75" customHeight="1">
      <c r="A181" s="8"/>
      <c r="B181" s="8"/>
      <c r="C181" s="8"/>
      <c r="D181" s="8"/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  <c r="AA181" s="8"/>
      <c r="AB181" s="8"/>
      <c r="AC181" s="8"/>
    </row>
    <row r="182" spans="1:29" ht="12.75" customHeight="1">
      <c r="A182" s="8"/>
      <c r="B182" s="8"/>
      <c r="C182" s="8"/>
      <c r="D182" s="8"/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  <c r="AA182" s="8"/>
      <c r="AB182" s="8"/>
      <c r="AC182" s="8"/>
    </row>
    <row r="183" spans="1:29" ht="12.75" customHeight="1">
      <c r="A183" s="8"/>
      <c r="B183" s="8"/>
      <c r="C183" s="8"/>
      <c r="D183" s="8"/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  <c r="AA183" s="8"/>
      <c r="AB183" s="8"/>
      <c r="AC183" s="8"/>
    </row>
    <row r="184" spans="1:29" ht="12.75" customHeight="1">
      <c r="A184" s="8"/>
      <c r="B184" s="8"/>
      <c r="C184" s="8"/>
      <c r="D184" s="8"/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  <c r="AA184" s="8"/>
      <c r="AB184" s="8"/>
      <c r="AC184" s="8"/>
    </row>
    <row r="185" spans="1:29" ht="12.75" customHeight="1">
      <c r="A185" s="8"/>
      <c r="B185" s="8"/>
      <c r="C185" s="8"/>
      <c r="D185" s="8"/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  <c r="AA185" s="8"/>
      <c r="AB185" s="8"/>
      <c r="AC185" s="8"/>
    </row>
    <row r="186" spans="1:29" ht="12.75" customHeight="1">
      <c r="A186" s="8"/>
      <c r="B186" s="8"/>
      <c r="C186" s="8"/>
      <c r="D186" s="8"/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  <c r="AA186" s="8"/>
      <c r="AB186" s="8"/>
      <c r="AC186" s="8"/>
    </row>
    <row r="187" spans="1:29" ht="12.75" customHeight="1">
      <c r="A187" s="8"/>
      <c r="B187" s="8"/>
      <c r="C187" s="8"/>
      <c r="D187" s="8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  <c r="AA187" s="8"/>
      <c r="AB187" s="8"/>
      <c r="AC187" s="8"/>
    </row>
    <row r="188" spans="1:29" ht="12.75" customHeight="1">
      <c r="A188" s="8"/>
      <c r="B188" s="8"/>
      <c r="C188" s="8"/>
      <c r="D188" s="8"/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  <c r="AA188" s="8"/>
      <c r="AB188" s="8"/>
      <c r="AC188" s="8"/>
    </row>
    <row r="189" spans="1:29" ht="12.75" customHeight="1">
      <c r="A189" s="8"/>
      <c r="B189" s="8"/>
      <c r="C189" s="8"/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  <c r="AA189" s="8"/>
      <c r="AB189" s="8"/>
      <c r="AC189" s="8"/>
    </row>
    <row r="190" spans="1:29" ht="12.75" customHeight="1">
      <c r="A190" s="8"/>
      <c r="B190" s="8"/>
      <c r="C190" s="8"/>
      <c r="D190" s="8"/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  <c r="AA190" s="8"/>
      <c r="AB190" s="8"/>
      <c r="AC190" s="8"/>
    </row>
    <row r="191" spans="1:29" ht="12.75" customHeight="1">
      <c r="A191" s="8"/>
      <c r="B191" s="8"/>
      <c r="C191" s="8"/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  <c r="AA191" s="8"/>
      <c r="AB191" s="8"/>
      <c r="AC191" s="8"/>
    </row>
    <row r="192" spans="1:29" ht="12.75" customHeight="1">
      <c r="A192" s="8"/>
      <c r="B192" s="8"/>
      <c r="C192" s="8"/>
      <c r="D192" s="8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  <c r="AA192" s="8"/>
      <c r="AB192" s="8"/>
      <c r="AC192" s="8"/>
    </row>
    <row r="193" spans="1:29" ht="12.75" customHeight="1">
      <c r="A193" s="8"/>
      <c r="B193" s="8"/>
      <c r="C193" s="8"/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  <c r="AA193" s="8"/>
      <c r="AB193" s="8"/>
      <c r="AC193" s="8"/>
    </row>
    <row r="194" spans="1:29" ht="12.75" customHeight="1">
      <c r="A194" s="8"/>
      <c r="B194" s="8"/>
      <c r="C194" s="8"/>
      <c r="D194" s="8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  <c r="AA194" s="8"/>
      <c r="AB194" s="8"/>
      <c r="AC194" s="8"/>
    </row>
    <row r="195" spans="1:29" ht="12.75" customHeight="1">
      <c r="A195" s="8"/>
      <c r="B195" s="8"/>
      <c r="C195" s="8"/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  <c r="AA195" s="8"/>
      <c r="AB195" s="8"/>
      <c r="AC195" s="8"/>
    </row>
    <row r="196" spans="1:29" ht="12.75" customHeight="1">
      <c r="A196" s="8"/>
      <c r="B196" s="8"/>
      <c r="C196" s="8"/>
      <c r="D196" s="8"/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  <c r="AA196" s="8"/>
      <c r="AB196" s="8"/>
      <c r="AC196" s="8"/>
    </row>
    <row r="197" spans="1:29" ht="12.75" customHeight="1">
      <c r="A197" s="8"/>
      <c r="B197" s="8"/>
      <c r="C197" s="8"/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  <c r="AA197" s="8"/>
      <c r="AB197" s="8"/>
      <c r="AC197" s="8"/>
    </row>
    <row r="198" spans="1:29" ht="12.75" customHeight="1">
      <c r="A198" s="8"/>
      <c r="B198" s="8"/>
      <c r="C198" s="8"/>
      <c r="D198" s="8"/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  <c r="AA198" s="8"/>
      <c r="AB198" s="8"/>
      <c r="AC198" s="8"/>
    </row>
    <row r="199" spans="1:29" ht="12.75" customHeight="1">
      <c r="A199" s="8"/>
      <c r="B199" s="8"/>
      <c r="C199" s="8"/>
      <c r="D199" s="8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  <c r="AA199" s="8"/>
      <c r="AB199" s="8"/>
      <c r="AC199" s="8"/>
    </row>
    <row r="200" spans="1:29" ht="12.75" customHeight="1">
      <c r="A200" s="8"/>
      <c r="B200" s="8"/>
      <c r="C200" s="8"/>
      <c r="D200" s="8"/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  <c r="AA200" s="8"/>
      <c r="AB200" s="8"/>
      <c r="AC200" s="8"/>
    </row>
    <row r="201" spans="1:29" ht="12.75" customHeight="1">
      <c r="A201" s="8"/>
      <c r="B201" s="8"/>
      <c r="C201" s="8"/>
      <c r="D201" s="8"/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  <c r="AA201" s="8"/>
      <c r="AB201" s="8"/>
      <c r="AC201" s="8"/>
    </row>
    <row r="202" spans="1:29" ht="12.75" customHeight="1">
      <c r="A202" s="8"/>
      <c r="B202" s="8"/>
      <c r="C202" s="8"/>
      <c r="D202" s="8"/>
      <c r="E202" s="8"/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  <c r="AA202" s="8"/>
      <c r="AB202" s="8"/>
      <c r="AC202" s="8"/>
    </row>
    <row r="203" spans="1:29" ht="12.75" customHeight="1">
      <c r="A203" s="8"/>
      <c r="B203" s="8"/>
      <c r="C203" s="8"/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  <c r="AA203" s="8"/>
      <c r="AB203" s="8"/>
      <c r="AC203" s="8"/>
    </row>
    <row r="204" spans="1:29" ht="12.75" customHeight="1">
      <c r="A204" s="8"/>
      <c r="B204" s="8"/>
      <c r="C204" s="8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  <c r="AA204" s="8"/>
      <c r="AB204" s="8"/>
      <c r="AC204" s="8"/>
    </row>
    <row r="205" spans="1:29" ht="12.75" customHeight="1">
      <c r="A205" s="8"/>
      <c r="B205" s="8"/>
      <c r="C205" s="8"/>
      <c r="D205" s="8"/>
      <c r="E205" s="8"/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  <c r="AA205" s="8"/>
      <c r="AB205" s="8"/>
      <c r="AC205" s="8"/>
    </row>
    <row r="206" spans="1:29" ht="12.75" customHeight="1">
      <c r="A206" s="8"/>
      <c r="B206" s="8"/>
      <c r="C206" s="8"/>
      <c r="D206" s="8"/>
      <c r="E206" s="8"/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  <c r="AA206" s="8"/>
      <c r="AB206" s="8"/>
      <c r="AC206" s="8"/>
    </row>
    <row r="207" spans="1:29" ht="12.75" customHeight="1">
      <c r="A207" s="8"/>
      <c r="B207" s="8"/>
      <c r="C207" s="8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  <c r="AA207" s="8"/>
      <c r="AB207" s="8"/>
      <c r="AC207" s="8"/>
    </row>
    <row r="208" spans="1:29" ht="12.75" customHeight="1">
      <c r="A208" s="8"/>
      <c r="B208" s="8"/>
      <c r="C208" s="8"/>
      <c r="D208" s="8"/>
      <c r="E208" s="8"/>
      <c r="F208" s="8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  <c r="AA208" s="8"/>
      <c r="AB208" s="8"/>
      <c r="AC208" s="8"/>
    </row>
    <row r="209" spans="1:29" ht="12.75" customHeight="1">
      <c r="A209" s="8"/>
      <c r="B209" s="8"/>
      <c r="C209" s="8"/>
      <c r="D209" s="8"/>
      <c r="E209" s="8"/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  <c r="AA209" s="8"/>
      <c r="AB209" s="8"/>
      <c r="AC209" s="8"/>
    </row>
    <row r="210" spans="1:29" ht="12.75" customHeight="1">
      <c r="A210" s="8"/>
      <c r="B210" s="8"/>
      <c r="C210" s="8"/>
      <c r="D210" s="8"/>
      <c r="E210" s="8"/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  <c r="AA210" s="8"/>
      <c r="AB210" s="8"/>
      <c r="AC210" s="8"/>
    </row>
    <row r="211" spans="1:29" ht="12.75" customHeight="1">
      <c r="A211" s="8"/>
      <c r="B211" s="8"/>
      <c r="C211" s="8"/>
      <c r="D211" s="8"/>
      <c r="E211" s="8"/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  <c r="AA211" s="8"/>
      <c r="AB211" s="8"/>
      <c r="AC211" s="8"/>
    </row>
    <row r="212" spans="1:29" ht="12.75" customHeight="1">
      <c r="A212" s="8"/>
      <c r="B212" s="8"/>
      <c r="C212" s="8"/>
      <c r="D212" s="8"/>
      <c r="E212" s="8"/>
      <c r="F212" s="8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  <c r="AA212" s="8"/>
      <c r="AB212" s="8"/>
      <c r="AC212" s="8"/>
    </row>
    <row r="213" spans="1:29" ht="12.75" customHeight="1">
      <c r="A213" s="8"/>
      <c r="B213" s="8"/>
      <c r="C213" s="8"/>
      <c r="D213" s="8"/>
      <c r="E213" s="8"/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  <c r="AA213" s="8"/>
      <c r="AB213" s="8"/>
      <c r="AC213" s="8"/>
    </row>
    <row r="214" spans="1:29" ht="12.75" customHeight="1">
      <c r="A214" s="8"/>
      <c r="B214" s="8"/>
      <c r="C214" s="8"/>
      <c r="D214" s="8"/>
      <c r="E214" s="8"/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  <c r="AA214" s="8"/>
      <c r="AB214" s="8"/>
      <c r="AC214" s="8"/>
    </row>
    <row r="215" spans="1:29" ht="12.75" customHeight="1">
      <c r="A215" s="8"/>
      <c r="B215" s="8"/>
      <c r="C215" s="8"/>
      <c r="D215" s="8"/>
      <c r="E215" s="8"/>
      <c r="F215" s="8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  <c r="AA215" s="8"/>
      <c r="AB215" s="8"/>
      <c r="AC215" s="8"/>
    </row>
    <row r="216" spans="1:29" ht="12.75" customHeight="1">
      <c r="A216" s="8"/>
      <c r="B216" s="8"/>
      <c r="C216" s="8"/>
      <c r="D216" s="8"/>
      <c r="E216" s="8"/>
      <c r="F216" s="8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  <c r="AA216" s="8"/>
      <c r="AB216" s="8"/>
      <c r="AC216" s="8"/>
    </row>
    <row r="217" spans="1:29" ht="12.75" customHeight="1">
      <c r="A217" s="8"/>
      <c r="B217" s="8"/>
      <c r="C217" s="8"/>
      <c r="D217" s="8"/>
      <c r="E217" s="8"/>
      <c r="F217" s="8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  <c r="AA217" s="8"/>
      <c r="AB217" s="8"/>
      <c r="AC217" s="8"/>
    </row>
    <row r="218" spans="1:29" ht="12.75" customHeight="1">
      <c r="A218" s="8"/>
      <c r="B218" s="8"/>
      <c r="C218" s="8"/>
      <c r="D218" s="8"/>
      <c r="E218" s="8"/>
      <c r="F218" s="8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  <c r="AA218" s="8"/>
      <c r="AB218" s="8"/>
      <c r="AC218" s="8"/>
    </row>
    <row r="219" spans="1:29" ht="12.75" customHeight="1">
      <c r="A219" s="8"/>
      <c r="B219" s="8"/>
      <c r="C219" s="8"/>
      <c r="D219" s="8"/>
      <c r="E219" s="8"/>
      <c r="F219" s="8"/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  <c r="AA219" s="8"/>
      <c r="AB219" s="8"/>
      <c r="AC219" s="8"/>
    </row>
    <row r="220" spans="1:29" ht="12.75" customHeight="1">
      <c r="A220" s="8"/>
      <c r="B220" s="8"/>
      <c r="C220" s="8"/>
      <c r="D220" s="8"/>
      <c r="E220" s="8"/>
      <c r="F220" s="8"/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  <c r="AA220" s="8"/>
      <c r="AB220" s="8"/>
      <c r="AC220" s="8"/>
    </row>
    <row r="221" spans="1:29" ht="12.75" customHeight="1">
      <c r="A221" s="8"/>
      <c r="B221" s="8"/>
      <c r="C221" s="8"/>
      <c r="D221" s="8"/>
      <c r="E221" s="8"/>
      <c r="F221" s="8"/>
      <c r="G221" s="8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  <c r="AA221" s="8"/>
      <c r="AB221" s="8"/>
      <c r="AC221" s="8"/>
    </row>
    <row r="222" spans="1:29" ht="12.75" customHeight="1">
      <c r="A222" s="8"/>
      <c r="B222" s="8"/>
      <c r="C222" s="8"/>
      <c r="D222" s="8"/>
      <c r="E222" s="8"/>
      <c r="F222" s="8"/>
      <c r="G222" s="8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  <c r="AA222" s="8"/>
      <c r="AB222" s="8"/>
      <c r="AC222" s="8"/>
    </row>
    <row r="223" spans="1:29" ht="12.75" customHeight="1">
      <c r="A223" s="8"/>
      <c r="B223" s="8"/>
      <c r="C223" s="8"/>
      <c r="D223" s="8"/>
      <c r="E223" s="8"/>
      <c r="F223" s="8"/>
      <c r="G223" s="8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  <c r="AA223" s="8"/>
      <c r="AB223" s="8"/>
      <c r="AC223" s="8"/>
    </row>
    <row r="224" spans="1:29" ht="12.75" customHeight="1">
      <c r="A224" s="8"/>
      <c r="B224" s="8"/>
      <c r="C224" s="8"/>
      <c r="D224" s="8"/>
      <c r="E224" s="8"/>
      <c r="F224" s="8"/>
      <c r="G224" s="8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  <c r="AA224" s="8"/>
      <c r="AB224" s="8"/>
      <c r="AC224" s="8"/>
    </row>
    <row r="225" spans="1:29" ht="12.75" customHeight="1">
      <c r="A225" s="8"/>
      <c r="B225" s="8"/>
      <c r="C225" s="8"/>
      <c r="D225" s="8"/>
      <c r="E225" s="8"/>
      <c r="F225" s="8"/>
      <c r="G225" s="8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  <c r="AA225" s="8"/>
      <c r="AB225" s="8"/>
      <c r="AC225" s="8"/>
    </row>
    <row r="226" spans="1:29" ht="12.75" customHeight="1">
      <c r="A226" s="8"/>
      <c r="B226" s="8"/>
      <c r="C226" s="8"/>
      <c r="D226" s="8"/>
      <c r="E226" s="8"/>
      <c r="F226" s="8"/>
      <c r="G226" s="8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  <c r="AA226" s="8"/>
      <c r="AB226" s="8"/>
      <c r="AC226" s="8"/>
    </row>
    <row r="227" spans="1:29" ht="12.75" customHeight="1">
      <c r="A227" s="8"/>
      <c r="B227" s="8"/>
      <c r="C227" s="8"/>
      <c r="D227" s="8"/>
      <c r="E227" s="8"/>
      <c r="F227" s="8"/>
      <c r="G227" s="8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  <c r="AA227" s="8"/>
      <c r="AB227" s="8"/>
      <c r="AC227" s="8"/>
    </row>
    <row r="228" spans="1:29" ht="12.75" customHeight="1">
      <c r="A228" s="8"/>
      <c r="B228" s="8"/>
      <c r="C228" s="8"/>
      <c r="D228" s="8"/>
      <c r="E228" s="8"/>
      <c r="F228" s="8"/>
      <c r="G228" s="8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  <c r="AA228" s="8"/>
      <c r="AB228" s="8"/>
      <c r="AC228" s="8"/>
    </row>
    <row r="229" spans="1:29" ht="12.75" customHeight="1">
      <c r="A229" s="8"/>
      <c r="B229" s="8"/>
      <c r="C229" s="8"/>
      <c r="D229" s="8"/>
      <c r="E229" s="8"/>
      <c r="F229" s="8"/>
      <c r="G229" s="8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  <c r="AA229" s="8"/>
      <c r="AB229" s="8"/>
      <c r="AC229" s="8"/>
    </row>
    <row r="230" spans="1:29" ht="12.75" customHeight="1">
      <c r="A230" s="8"/>
      <c r="B230" s="8"/>
      <c r="C230" s="8"/>
      <c r="D230" s="8"/>
      <c r="E230" s="8"/>
      <c r="F230" s="8"/>
      <c r="G230" s="8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  <c r="AA230" s="8"/>
      <c r="AB230" s="8"/>
      <c r="AC230" s="8"/>
    </row>
    <row r="231" spans="1:29" ht="12.75" customHeight="1">
      <c r="A231" s="8"/>
      <c r="B231" s="8"/>
      <c r="C231" s="8"/>
      <c r="D231" s="8"/>
      <c r="E231" s="8"/>
      <c r="F231" s="8"/>
      <c r="G231" s="8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  <c r="AA231" s="8"/>
      <c r="AB231" s="8"/>
      <c r="AC231" s="8"/>
    </row>
    <row r="232" spans="1:29" ht="12.75" customHeight="1">
      <c r="A232" s="8"/>
      <c r="B232" s="8"/>
      <c r="C232" s="8"/>
      <c r="D232" s="8"/>
      <c r="E232" s="8"/>
      <c r="F232" s="8"/>
      <c r="G232" s="8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  <c r="AA232" s="8"/>
      <c r="AB232" s="8"/>
      <c r="AC232" s="8"/>
    </row>
    <row r="233" spans="1:29" ht="12.75" customHeight="1">
      <c r="A233" s="8"/>
      <c r="B233" s="8"/>
      <c r="C233" s="8"/>
      <c r="D233" s="8"/>
      <c r="E233" s="8"/>
      <c r="F233" s="8"/>
      <c r="G233" s="8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  <c r="AA233" s="8"/>
      <c r="AB233" s="8"/>
      <c r="AC233" s="8"/>
    </row>
    <row r="234" spans="1:29" ht="12.75" customHeight="1">
      <c r="A234" s="8"/>
      <c r="B234" s="8"/>
      <c r="C234" s="8"/>
      <c r="D234" s="8"/>
      <c r="E234" s="8"/>
      <c r="F234" s="8"/>
      <c r="G234" s="8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  <c r="AA234" s="8"/>
      <c r="AB234" s="8"/>
      <c r="AC234" s="8"/>
    </row>
    <row r="235" spans="1:29" ht="12.75" customHeight="1">
      <c r="A235" s="8"/>
      <c r="B235" s="8"/>
      <c r="C235" s="8"/>
      <c r="D235" s="8"/>
      <c r="E235" s="8"/>
      <c r="F235" s="8"/>
      <c r="G235" s="8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  <c r="AA235" s="8"/>
      <c r="AB235" s="8"/>
      <c r="AC235" s="8"/>
    </row>
    <row r="236" spans="1:29" ht="12.75" customHeight="1">
      <c r="A236" s="8"/>
      <c r="B236" s="8"/>
      <c r="C236" s="8"/>
      <c r="D236" s="8"/>
      <c r="E236" s="8"/>
      <c r="F236" s="8"/>
      <c r="G236" s="8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  <c r="AA236" s="8"/>
      <c r="AB236" s="8"/>
      <c r="AC236" s="8"/>
    </row>
    <row r="237" spans="1:29" ht="12.75" customHeight="1">
      <c r="A237" s="8"/>
      <c r="B237" s="8"/>
      <c r="C237" s="8"/>
      <c r="D237" s="8"/>
      <c r="E237" s="8"/>
      <c r="F237" s="8"/>
      <c r="G237" s="8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  <c r="AA237" s="8"/>
      <c r="AB237" s="8"/>
      <c r="AC237" s="8"/>
    </row>
    <row r="238" spans="1:29" ht="12.75" customHeight="1">
      <c r="A238" s="8"/>
      <c r="B238" s="8"/>
      <c r="C238" s="8"/>
      <c r="D238" s="8"/>
      <c r="E238" s="8"/>
      <c r="F238" s="8"/>
      <c r="G238" s="8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  <c r="AA238" s="8"/>
      <c r="AB238" s="8"/>
      <c r="AC238" s="8"/>
    </row>
    <row r="239" spans="1:29" ht="12.75" customHeight="1">
      <c r="A239" s="8"/>
      <c r="B239" s="8"/>
      <c r="C239" s="8"/>
      <c r="D239" s="8"/>
      <c r="E239" s="8"/>
      <c r="F239" s="8"/>
      <c r="G239" s="8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  <c r="AA239" s="8"/>
      <c r="AB239" s="8"/>
      <c r="AC239" s="8"/>
    </row>
    <row r="240" spans="1:29" ht="12.75" customHeight="1">
      <c r="A240" s="8"/>
      <c r="B240" s="8"/>
      <c r="C240" s="8"/>
      <c r="D240" s="8"/>
      <c r="E240" s="8"/>
      <c r="F240" s="8"/>
      <c r="G240" s="8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  <c r="AA240" s="8"/>
      <c r="AB240" s="8"/>
      <c r="AC240" s="8"/>
    </row>
    <row r="241" spans="1:29" ht="12.75" customHeight="1">
      <c r="A241" s="8"/>
      <c r="B241" s="8"/>
      <c r="C241" s="8"/>
      <c r="D241" s="8"/>
      <c r="E241" s="8"/>
      <c r="F241" s="8"/>
      <c r="G241" s="8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  <c r="AA241" s="8"/>
      <c r="AB241" s="8"/>
      <c r="AC241" s="8"/>
    </row>
    <row r="242" spans="1:29" ht="12.75" customHeight="1">
      <c r="A242" s="8"/>
      <c r="B242" s="8"/>
      <c r="C242" s="8"/>
      <c r="D242" s="8"/>
      <c r="E242" s="8"/>
      <c r="F242" s="8"/>
      <c r="G242" s="8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  <c r="AA242" s="8"/>
      <c r="AB242" s="8"/>
      <c r="AC242" s="8"/>
    </row>
    <row r="243" spans="1:29" ht="12.75" customHeight="1">
      <c r="A243" s="8"/>
      <c r="B243" s="8"/>
      <c r="C243" s="8"/>
      <c r="D243" s="8"/>
      <c r="E243" s="8"/>
      <c r="F243" s="8"/>
      <c r="G243" s="8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  <c r="AA243" s="8"/>
      <c r="AB243" s="8"/>
      <c r="AC243" s="8"/>
    </row>
    <row r="244" spans="1:29" ht="12.75" customHeight="1">
      <c r="A244" s="8"/>
      <c r="B244" s="8"/>
      <c r="C244" s="8"/>
      <c r="D244" s="8"/>
      <c r="E244" s="8"/>
      <c r="F244" s="8"/>
      <c r="G244" s="8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  <c r="AA244" s="8"/>
      <c r="AB244" s="8"/>
      <c r="AC244" s="8"/>
    </row>
    <row r="245" spans="1:29" ht="12.75" customHeight="1">
      <c r="A245" s="8"/>
      <c r="B245" s="8"/>
      <c r="C245" s="8"/>
      <c r="D245" s="8"/>
      <c r="E245" s="8"/>
      <c r="F245" s="8"/>
      <c r="G245" s="8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  <c r="AA245" s="8"/>
      <c r="AB245" s="8"/>
      <c r="AC245" s="8"/>
    </row>
    <row r="246" spans="1:29" ht="12.75" customHeight="1">
      <c r="A246" s="8"/>
      <c r="B246" s="8"/>
      <c r="C246" s="8"/>
      <c r="D246" s="8"/>
      <c r="E246" s="8"/>
      <c r="F246" s="8"/>
      <c r="G246" s="8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  <c r="AA246" s="8"/>
      <c r="AB246" s="8"/>
      <c r="AC246" s="8"/>
    </row>
    <row r="247" spans="1:29" ht="12.75" customHeight="1">
      <c r="A247" s="8"/>
      <c r="B247" s="8"/>
      <c r="C247" s="8"/>
      <c r="D247" s="8"/>
      <c r="E247" s="8"/>
      <c r="F247" s="8"/>
      <c r="G247" s="8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  <c r="AA247" s="8"/>
      <c r="AB247" s="8"/>
      <c r="AC247" s="8"/>
    </row>
    <row r="248" spans="1:29" ht="12.75" customHeight="1">
      <c r="A248" s="8"/>
      <c r="B248" s="8"/>
      <c r="C248" s="8"/>
      <c r="D248" s="8"/>
      <c r="E248" s="8"/>
      <c r="F248" s="8"/>
      <c r="G248" s="8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  <c r="AA248" s="8"/>
      <c r="AB248" s="8"/>
      <c r="AC248" s="8"/>
    </row>
    <row r="249" spans="1:29" ht="12.75" customHeight="1">
      <c r="A249" s="8"/>
      <c r="B249" s="8"/>
      <c r="C249" s="8"/>
      <c r="D249" s="8"/>
      <c r="E249" s="8"/>
      <c r="F249" s="8"/>
      <c r="G249" s="8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  <c r="AA249" s="8"/>
      <c r="AB249" s="8"/>
      <c r="AC249" s="8"/>
    </row>
    <row r="250" spans="1:29" ht="12.75" customHeight="1">
      <c r="A250" s="8"/>
      <c r="B250" s="8"/>
      <c r="C250" s="8"/>
      <c r="D250" s="8"/>
      <c r="E250" s="8"/>
      <c r="F250" s="8"/>
      <c r="G250" s="8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  <c r="AA250" s="8"/>
      <c r="AB250" s="8"/>
      <c r="AC250" s="8"/>
    </row>
    <row r="251" spans="1:29" ht="12.75" customHeight="1">
      <c r="A251" s="8"/>
      <c r="B251" s="8"/>
      <c r="C251" s="8"/>
      <c r="D251" s="8"/>
      <c r="E251" s="8"/>
      <c r="F251" s="8"/>
      <c r="G251" s="8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  <c r="AA251" s="8"/>
      <c r="AB251" s="8"/>
      <c r="AC251" s="8"/>
    </row>
    <row r="252" spans="1:29" ht="12.75" customHeight="1">
      <c r="A252" s="8"/>
      <c r="B252" s="8"/>
      <c r="C252" s="8"/>
      <c r="D252" s="8"/>
      <c r="E252" s="8"/>
      <c r="F252" s="8"/>
      <c r="G252" s="8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  <c r="AA252" s="8"/>
      <c r="AB252" s="8"/>
      <c r="AC252" s="8"/>
    </row>
    <row r="253" spans="1:29" ht="12.75" customHeight="1">
      <c r="A253" s="8"/>
      <c r="B253" s="8"/>
      <c r="C253" s="8"/>
      <c r="D253" s="8"/>
      <c r="E253" s="8"/>
      <c r="F253" s="8"/>
      <c r="G253" s="8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  <c r="AA253" s="8"/>
      <c r="AB253" s="8"/>
      <c r="AC253" s="8"/>
    </row>
    <row r="254" spans="1:29" ht="12.75" customHeight="1">
      <c r="A254" s="8"/>
      <c r="B254" s="8"/>
      <c r="C254" s="8"/>
      <c r="D254" s="8"/>
      <c r="E254" s="8"/>
      <c r="F254" s="8"/>
      <c r="G254" s="8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  <c r="AA254" s="8"/>
      <c r="AB254" s="8"/>
      <c r="AC254" s="8"/>
    </row>
    <row r="255" spans="1:29" ht="12.75" customHeight="1">
      <c r="A255" s="8"/>
      <c r="B255" s="8"/>
      <c r="C255" s="8"/>
      <c r="D255" s="8"/>
      <c r="E255" s="8"/>
      <c r="F255" s="8"/>
      <c r="G255" s="8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  <c r="AA255" s="8"/>
      <c r="AB255" s="8"/>
      <c r="AC255" s="8"/>
    </row>
    <row r="256" spans="1:29" ht="12.75" customHeight="1">
      <c r="A256" s="8"/>
      <c r="B256" s="8"/>
      <c r="C256" s="8"/>
      <c r="D256" s="8"/>
      <c r="E256" s="8"/>
      <c r="F256" s="8"/>
      <c r="G256" s="8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  <c r="AA256" s="8"/>
      <c r="AB256" s="8"/>
      <c r="AC256" s="8"/>
    </row>
    <row r="257" spans="1:29" ht="12.75" customHeight="1">
      <c r="A257" s="8"/>
      <c r="B257" s="8"/>
      <c r="C257" s="8"/>
      <c r="D257" s="8"/>
      <c r="E257" s="8"/>
      <c r="F257" s="8"/>
      <c r="G257" s="8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  <c r="AA257" s="8"/>
      <c r="AB257" s="8"/>
      <c r="AC257" s="8"/>
    </row>
    <row r="258" spans="1:29" ht="12.75" customHeight="1">
      <c r="A258" s="8"/>
      <c r="B258" s="8"/>
      <c r="C258" s="8"/>
      <c r="D258" s="8"/>
      <c r="E258" s="8"/>
      <c r="F258" s="8"/>
      <c r="G258" s="8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  <c r="AA258" s="8"/>
      <c r="AB258" s="8"/>
      <c r="AC258" s="8"/>
    </row>
    <row r="259" spans="1:29" ht="12.75" customHeight="1">
      <c r="A259" s="8"/>
      <c r="B259" s="8"/>
      <c r="C259" s="8"/>
      <c r="D259" s="8"/>
      <c r="E259" s="8"/>
      <c r="F259" s="8"/>
      <c r="G259" s="8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  <c r="AA259" s="8"/>
      <c r="AB259" s="8"/>
      <c r="AC259" s="8"/>
    </row>
    <row r="260" spans="1:29" ht="12.75" customHeight="1">
      <c r="A260" s="8"/>
      <c r="B260" s="8"/>
      <c r="C260" s="8"/>
      <c r="D260" s="8"/>
      <c r="E260" s="8"/>
      <c r="F260" s="8"/>
      <c r="G260" s="8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  <c r="AA260" s="8"/>
      <c r="AB260" s="8"/>
      <c r="AC260" s="8"/>
    </row>
    <row r="261" spans="1:29" ht="12.75" customHeight="1">
      <c r="A261" s="8"/>
      <c r="B261" s="8"/>
      <c r="C261" s="8"/>
      <c r="D261" s="8"/>
      <c r="E261" s="8"/>
      <c r="F261" s="8"/>
      <c r="G261" s="8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  <c r="AA261" s="8"/>
      <c r="AB261" s="8"/>
      <c r="AC261" s="8"/>
    </row>
    <row r="262" spans="1:29" ht="12.75" customHeight="1">
      <c r="A262" s="8"/>
      <c r="B262" s="8"/>
      <c r="C262" s="8"/>
      <c r="D262" s="8"/>
      <c r="E262" s="8"/>
      <c r="F262" s="8"/>
      <c r="G262" s="8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  <c r="AA262" s="8"/>
      <c r="AB262" s="8"/>
      <c r="AC262" s="8"/>
    </row>
    <row r="263" spans="1:29" ht="12.75" customHeight="1">
      <c r="A263" s="8"/>
      <c r="B263" s="8"/>
      <c r="C263" s="8"/>
      <c r="D263" s="8"/>
      <c r="E263" s="8"/>
      <c r="F263" s="8"/>
      <c r="G263" s="8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  <c r="AA263" s="8"/>
      <c r="AB263" s="8"/>
      <c r="AC263" s="8"/>
    </row>
    <row r="264" spans="1:29" ht="12.75" customHeight="1">
      <c r="A264" s="8"/>
      <c r="B264" s="8"/>
      <c r="C264" s="8"/>
      <c r="D264" s="8"/>
      <c r="E264" s="8"/>
      <c r="F264" s="8"/>
      <c r="G264" s="8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  <c r="AA264" s="8"/>
      <c r="AB264" s="8"/>
      <c r="AC264" s="8"/>
    </row>
    <row r="265" spans="1:29" ht="12.75" customHeight="1">
      <c r="A265" s="8"/>
      <c r="B265" s="8"/>
      <c r="C265" s="8"/>
      <c r="D265" s="8"/>
      <c r="E265" s="8"/>
      <c r="F265" s="8"/>
      <c r="G265" s="8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  <c r="AA265" s="8"/>
      <c r="AB265" s="8"/>
      <c r="AC265" s="8"/>
    </row>
    <row r="266" spans="1:29" ht="12.75" customHeight="1">
      <c r="A266" s="8"/>
      <c r="B266" s="8"/>
      <c r="C266" s="8"/>
      <c r="D266" s="8"/>
      <c r="E266" s="8"/>
      <c r="F266" s="8"/>
      <c r="G266" s="8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  <c r="AA266" s="8"/>
      <c r="AB266" s="8"/>
      <c r="AC266" s="8"/>
    </row>
    <row r="267" spans="1:29" ht="12.75" customHeight="1">
      <c r="A267" s="8"/>
      <c r="B267" s="8"/>
      <c r="C267" s="8"/>
      <c r="D267" s="8"/>
      <c r="E267" s="8"/>
      <c r="F267" s="8"/>
      <c r="G267" s="8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  <c r="AA267" s="8"/>
      <c r="AB267" s="8"/>
      <c r="AC267" s="8"/>
    </row>
    <row r="268" spans="1:29" ht="12.75" customHeight="1">
      <c r="A268" s="8"/>
      <c r="B268" s="8"/>
      <c r="C268" s="8"/>
      <c r="D268" s="8"/>
      <c r="E268" s="8"/>
      <c r="F268" s="8"/>
      <c r="G268" s="8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  <c r="AA268" s="8"/>
      <c r="AB268" s="8"/>
      <c r="AC268" s="8"/>
    </row>
    <row r="269" spans="1:29" ht="12.75" customHeight="1">
      <c r="A269" s="8"/>
      <c r="B269" s="8"/>
      <c r="C269" s="8"/>
      <c r="D269" s="8"/>
      <c r="E269" s="8"/>
      <c r="F269" s="8"/>
      <c r="G269" s="8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  <c r="AA269" s="8"/>
      <c r="AB269" s="8"/>
      <c r="AC269" s="8"/>
    </row>
    <row r="270" spans="1:29" ht="12.75" customHeight="1">
      <c r="A270" s="8"/>
      <c r="B270" s="8"/>
      <c r="C270" s="8"/>
      <c r="D270" s="8"/>
      <c r="E270" s="8"/>
      <c r="F270" s="8"/>
      <c r="G270" s="8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  <c r="AA270" s="8"/>
      <c r="AB270" s="8"/>
      <c r="AC270" s="8"/>
    </row>
    <row r="271" spans="1:29" ht="12.75" customHeight="1">
      <c r="A271" s="8"/>
      <c r="B271" s="8"/>
      <c r="C271" s="8"/>
      <c r="D271" s="8"/>
      <c r="E271" s="8"/>
      <c r="F271" s="8"/>
      <c r="G271" s="8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  <c r="AA271" s="8"/>
      <c r="AB271" s="8"/>
      <c r="AC271" s="8"/>
    </row>
    <row r="272" spans="1:29" ht="12.75" customHeight="1">
      <c r="A272" s="8"/>
      <c r="B272" s="8"/>
      <c r="C272" s="8"/>
      <c r="D272" s="8"/>
      <c r="E272" s="8"/>
      <c r="F272" s="8"/>
      <c r="G272" s="8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  <c r="AA272" s="8"/>
      <c r="AB272" s="8"/>
      <c r="AC272" s="8"/>
    </row>
    <row r="273" spans="1:29" ht="12.75" customHeight="1">
      <c r="A273" s="8"/>
      <c r="B273" s="8"/>
      <c r="C273" s="8"/>
      <c r="D273" s="8"/>
      <c r="E273" s="8"/>
      <c r="F273" s="8"/>
      <c r="G273" s="8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  <c r="AA273" s="8"/>
      <c r="AB273" s="8"/>
      <c r="AC273" s="8"/>
    </row>
    <row r="274" spans="1:29" ht="12.75" customHeight="1">
      <c r="A274" s="8"/>
      <c r="B274" s="8"/>
      <c r="C274" s="8"/>
      <c r="D274" s="8"/>
      <c r="E274" s="8"/>
      <c r="F274" s="8"/>
      <c r="G274" s="8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  <c r="AA274" s="8"/>
      <c r="AB274" s="8"/>
      <c r="AC274" s="8"/>
    </row>
    <row r="275" spans="1:29" ht="12.75" customHeight="1">
      <c r="A275" s="8"/>
      <c r="B275" s="8"/>
      <c r="C275" s="8"/>
      <c r="D275" s="8"/>
      <c r="E275" s="8"/>
      <c r="F275" s="8"/>
      <c r="G275" s="8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  <c r="AA275" s="8"/>
      <c r="AB275" s="8"/>
      <c r="AC275" s="8"/>
    </row>
    <row r="276" spans="1:29" ht="12.75" customHeight="1">
      <c r="A276" s="8"/>
      <c r="B276" s="8"/>
      <c r="C276" s="8"/>
      <c r="D276" s="8"/>
      <c r="E276" s="8"/>
      <c r="F276" s="8"/>
      <c r="G276" s="8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  <c r="AA276" s="8"/>
      <c r="AB276" s="8"/>
      <c r="AC276" s="8"/>
    </row>
    <row r="277" spans="1:29" ht="12.75" customHeight="1">
      <c r="A277" s="8"/>
      <c r="B277" s="8"/>
      <c r="C277" s="8"/>
      <c r="D277" s="8"/>
      <c r="E277" s="8"/>
      <c r="F277" s="8"/>
      <c r="G277" s="8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  <c r="AA277" s="8"/>
      <c r="AB277" s="8"/>
      <c r="AC277" s="8"/>
    </row>
    <row r="278" spans="1:29" ht="12.75" customHeight="1">
      <c r="A278" s="8"/>
      <c r="B278" s="8"/>
      <c r="C278" s="8"/>
      <c r="D278" s="8"/>
      <c r="E278" s="8"/>
      <c r="F278" s="8"/>
      <c r="G278" s="8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  <c r="AA278" s="8"/>
      <c r="AB278" s="8"/>
      <c r="AC278" s="8"/>
    </row>
    <row r="279" spans="1:29" ht="12.75" customHeight="1">
      <c r="A279" s="8"/>
      <c r="B279" s="8"/>
      <c r="C279" s="8"/>
      <c r="D279" s="8"/>
      <c r="E279" s="8"/>
      <c r="F279" s="8"/>
      <c r="G279" s="8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  <c r="AA279" s="8"/>
      <c r="AB279" s="8"/>
      <c r="AC279" s="8"/>
    </row>
    <row r="280" spans="1:29" ht="12.75" customHeight="1">
      <c r="A280" s="8"/>
      <c r="B280" s="8"/>
      <c r="C280" s="8"/>
      <c r="D280" s="8"/>
      <c r="E280" s="8"/>
      <c r="F280" s="8"/>
      <c r="G280" s="8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  <c r="AA280" s="8"/>
      <c r="AB280" s="8"/>
      <c r="AC280" s="8"/>
    </row>
    <row r="281" spans="1:29" ht="12.75" customHeight="1">
      <c r="A281" s="8"/>
      <c r="B281" s="8"/>
      <c r="C281" s="8"/>
      <c r="D281" s="8"/>
      <c r="E281" s="8"/>
      <c r="F281" s="8"/>
      <c r="G281" s="8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  <c r="AA281" s="8"/>
      <c r="AB281" s="8"/>
      <c r="AC281" s="8"/>
    </row>
    <row r="282" spans="1:29" ht="12.75" customHeight="1">
      <c r="A282" s="8"/>
      <c r="B282" s="8"/>
      <c r="C282" s="8"/>
      <c r="D282" s="8"/>
      <c r="E282" s="8"/>
      <c r="F282" s="8"/>
      <c r="G282" s="8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  <c r="AA282" s="8"/>
      <c r="AB282" s="8"/>
      <c r="AC282" s="8"/>
    </row>
    <row r="283" spans="1:29" ht="12.75" customHeight="1">
      <c r="A283" s="8"/>
      <c r="B283" s="8"/>
      <c r="C283" s="8"/>
      <c r="D283" s="8"/>
      <c r="E283" s="8"/>
      <c r="F283" s="8"/>
      <c r="G283" s="8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  <c r="AA283" s="8"/>
      <c r="AB283" s="8"/>
      <c r="AC283" s="8"/>
    </row>
    <row r="284" spans="1:29" ht="12.75" customHeight="1">
      <c r="A284" s="8"/>
      <c r="B284" s="8"/>
      <c r="C284" s="8"/>
      <c r="D284" s="8"/>
      <c r="E284" s="8"/>
      <c r="F284" s="8"/>
      <c r="G284" s="8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  <c r="AA284" s="8"/>
      <c r="AB284" s="8"/>
      <c r="AC284" s="8"/>
    </row>
    <row r="285" spans="1:29" ht="12.75" customHeight="1">
      <c r="A285" s="8"/>
      <c r="B285" s="8"/>
      <c r="C285" s="8"/>
      <c r="D285" s="8"/>
      <c r="E285" s="8"/>
      <c r="F285" s="8"/>
      <c r="G285" s="8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  <c r="AA285" s="8"/>
      <c r="AB285" s="8"/>
      <c r="AC285" s="8"/>
    </row>
    <row r="286" spans="1:29" ht="12.75" customHeight="1">
      <c r="A286" s="8"/>
      <c r="B286" s="8"/>
      <c r="C286" s="8"/>
      <c r="D286" s="8"/>
      <c r="E286" s="8"/>
      <c r="F286" s="8"/>
      <c r="G286" s="8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  <c r="AA286" s="8"/>
      <c r="AB286" s="8"/>
      <c r="AC286" s="8"/>
    </row>
    <row r="287" spans="1:29" ht="12.75" customHeight="1">
      <c r="A287" s="8"/>
      <c r="B287" s="8"/>
      <c r="C287" s="8"/>
      <c r="D287" s="8"/>
      <c r="E287" s="8"/>
      <c r="F287" s="8"/>
      <c r="G287" s="8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  <c r="AA287" s="8"/>
      <c r="AB287" s="8"/>
      <c r="AC287" s="8"/>
    </row>
    <row r="288" spans="1:29" ht="12.75" customHeight="1">
      <c r="A288" s="8"/>
      <c r="B288" s="8"/>
      <c r="C288" s="8"/>
      <c r="D288" s="8"/>
      <c r="E288" s="8"/>
      <c r="F288" s="8"/>
      <c r="G288" s="8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  <c r="AA288" s="8"/>
      <c r="AB288" s="8"/>
      <c r="AC288" s="8"/>
    </row>
    <row r="289" spans="1:29" ht="12.75" customHeight="1">
      <c r="A289" s="8"/>
      <c r="B289" s="8"/>
      <c r="C289" s="8"/>
      <c r="D289" s="8"/>
      <c r="E289" s="8"/>
      <c r="F289" s="8"/>
      <c r="G289" s="8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  <c r="AA289" s="8"/>
      <c r="AB289" s="8"/>
      <c r="AC289" s="8"/>
    </row>
    <row r="290" spans="1:29" ht="12.75" customHeight="1">
      <c r="A290" s="8"/>
      <c r="B290" s="8"/>
      <c r="C290" s="8"/>
      <c r="D290" s="8"/>
      <c r="E290" s="8"/>
      <c r="F290" s="8"/>
      <c r="G290" s="8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  <c r="AA290" s="8"/>
      <c r="AB290" s="8"/>
      <c r="AC290" s="8"/>
    </row>
    <row r="291" spans="1:29" ht="12.75" customHeight="1">
      <c r="A291" s="8"/>
      <c r="B291" s="8"/>
      <c r="C291" s="8"/>
      <c r="D291" s="8"/>
      <c r="E291" s="8"/>
      <c r="F291" s="8"/>
      <c r="G291" s="8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  <c r="AA291" s="8"/>
      <c r="AB291" s="8"/>
      <c r="AC291" s="8"/>
    </row>
    <row r="292" spans="1:29" ht="12.75" customHeight="1">
      <c r="A292" s="8"/>
      <c r="B292" s="8"/>
      <c r="C292" s="8"/>
      <c r="D292" s="8"/>
      <c r="E292" s="8"/>
      <c r="F292" s="8"/>
      <c r="G292" s="8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  <c r="AA292" s="8"/>
      <c r="AB292" s="8"/>
      <c r="AC292" s="8"/>
    </row>
    <row r="293" spans="1:29" ht="12.75" customHeight="1">
      <c r="A293" s="8"/>
      <c r="B293" s="8"/>
      <c r="C293" s="8"/>
      <c r="D293" s="8"/>
      <c r="E293" s="8"/>
      <c r="F293" s="8"/>
      <c r="G293" s="8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  <c r="AA293" s="8"/>
      <c r="AB293" s="8"/>
      <c r="AC293" s="8"/>
    </row>
    <row r="294" spans="1:29" ht="12.75" customHeight="1">
      <c r="A294" s="8"/>
      <c r="B294" s="8"/>
      <c r="C294" s="8"/>
      <c r="D294" s="8"/>
      <c r="E294" s="8"/>
      <c r="F294" s="8"/>
      <c r="G294" s="8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  <c r="AA294" s="8"/>
      <c r="AB294" s="8"/>
      <c r="AC294" s="8"/>
    </row>
    <row r="295" spans="1:29" ht="12.75" customHeight="1">
      <c r="A295" s="8"/>
      <c r="B295" s="8"/>
      <c r="C295" s="8"/>
      <c r="D295" s="8"/>
      <c r="E295" s="8"/>
      <c r="F295" s="8"/>
      <c r="G295" s="8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  <c r="AA295" s="8"/>
      <c r="AB295" s="8"/>
      <c r="AC295" s="8"/>
    </row>
    <row r="296" spans="1:29" ht="12.75" customHeight="1">
      <c r="A296" s="8"/>
      <c r="B296" s="8"/>
      <c r="C296" s="8"/>
      <c r="D296" s="8"/>
      <c r="E296" s="8"/>
      <c r="F296" s="8"/>
      <c r="G296" s="8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  <c r="AA296" s="8"/>
      <c r="AB296" s="8"/>
      <c r="AC296" s="8"/>
    </row>
    <row r="297" spans="1:29" ht="12.75" customHeight="1">
      <c r="A297" s="8"/>
      <c r="B297" s="8"/>
      <c r="C297" s="8"/>
      <c r="D297" s="8"/>
      <c r="E297" s="8"/>
      <c r="F297" s="8"/>
      <c r="G297" s="8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  <c r="AA297" s="8"/>
      <c r="AB297" s="8"/>
      <c r="AC297" s="8"/>
    </row>
    <row r="298" spans="1:29" ht="12.75" customHeight="1">
      <c r="A298" s="8"/>
      <c r="B298" s="8"/>
      <c r="C298" s="8"/>
      <c r="D298" s="8"/>
      <c r="E298" s="8"/>
      <c r="F298" s="8"/>
      <c r="G298" s="8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  <c r="AA298" s="8"/>
      <c r="AB298" s="8"/>
      <c r="AC298" s="8"/>
    </row>
    <row r="299" spans="1:29" ht="12.75" customHeight="1">
      <c r="A299" s="8"/>
      <c r="B299" s="8"/>
      <c r="C299" s="8"/>
      <c r="D299" s="8"/>
      <c r="E299" s="8"/>
      <c r="F299" s="8"/>
      <c r="G299" s="8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  <c r="AA299" s="8"/>
      <c r="AB299" s="8"/>
      <c r="AC299" s="8"/>
    </row>
    <row r="300" spans="1:29" ht="12.75" customHeight="1">
      <c r="A300" s="8"/>
      <c r="B300" s="8"/>
      <c r="C300" s="8"/>
      <c r="D300" s="8"/>
      <c r="E300" s="8"/>
      <c r="F300" s="8"/>
      <c r="G300" s="8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  <c r="AA300" s="8"/>
      <c r="AB300" s="8"/>
      <c r="AC300" s="8"/>
    </row>
    <row r="301" spans="1:29" ht="12.75" customHeight="1">
      <c r="A301" s="8"/>
      <c r="B301" s="8"/>
      <c r="C301" s="8"/>
      <c r="D301" s="8"/>
      <c r="E301" s="8"/>
      <c r="F301" s="8"/>
      <c r="G301" s="8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  <c r="AA301" s="8"/>
      <c r="AB301" s="8"/>
      <c r="AC301" s="8"/>
    </row>
    <row r="302" spans="1:29" ht="12.75" customHeight="1">
      <c r="A302" s="8"/>
      <c r="B302" s="8"/>
      <c r="C302" s="8"/>
      <c r="D302" s="8"/>
      <c r="E302" s="8"/>
      <c r="F302" s="8"/>
      <c r="G302" s="8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  <c r="AA302" s="8"/>
      <c r="AB302" s="8"/>
      <c r="AC302" s="8"/>
    </row>
    <row r="303" spans="1:29" ht="12.75" customHeight="1">
      <c r="A303" s="8"/>
      <c r="B303" s="8"/>
      <c r="C303" s="8"/>
      <c r="D303" s="8"/>
      <c r="E303" s="8"/>
      <c r="F303" s="8"/>
      <c r="G303" s="8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  <c r="AA303" s="8"/>
      <c r="AB303" s="8"/>
      <c r="AC303" s="8"/>
    </row>
    <row r="304" spans="1:29" ht="12.75" customHeight="1">
      <c r="A304" s="8"/>
      <c r="B304" s="8"/>
      <c r="C304" s="8"/>
      <c r="D304" s="8"/>
      <c r="E304" s="8"/>
      <c r="F304" s="8"/>
      <c r="G304" s="8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  <c r="AA304" s="8"/>
      <c r="AB304" s="8"/>
      <c r="AC304" s="8"/>
    </row>
    <row r="305" spans="1:29" ht="12.75" customHeight="1">
      <c r="A305" s="8"/>
      <c r="B305" s="8"/>
      <c r="C305" s="8"/>
      <c r="D305" s="8"/>
      <c r="E305" s="8"/>
      <c r="F305" s="8"/>
      <c r="G305" s="8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  <c r="AA305" s="8"/>
      <c r="AB305" s="8"/>
      <c r="AC305" s="8"/>
    </row>
    <row r="306" spans="1:29" ht="12.75" customHeight="1">
      <c r="A306" s="8"/>
      <c r="B306" s="8"/>
      <c r="C306" s="8"/>
      <c r="D306" s="8"/>
      <c r="E306" s="8"/>
      <c r="F306" s="8"/>
      <c r="G306" s="8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  <c r="AA306" s="8"/>
      <c r="AB306" s="8"/>
      <c r="AC306" s="8"/>
    </row>
    <row r="307" spans="1:29" ht="12.75" customHeight="1">
      <c r="A307" s="8"/>
      <c r="B307" s="8"/>
      <c r="C307" s="8"/>
      <c r="D307" s="8"/>
      <c r="E307" s="8"/>
      <c r="F307" s="8"/>
      <c r="G307" s="8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  <c r="AA307" s="8"/>
      <c r="AB307" s="8"/>
      <c r="AC307" s="8"/>
    </row>
    <row r="308" spans="1:29" ht="12.75" customHeight="1">
      <c r="A308" s="8"/>
      <c r="B308" s="8"/>
      <c r="C308" s="8"/>
      <c r="D308" s="8"/>
      <c r="E308" s="8"/>
      <c r="F308" s="8"/>
      <c r="G308" s="8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  <c r="AA308" s="8"/>
      <c r="AB308" s="8"/>
      <c r="AC308" s="8"/>
    </row>
    <row r="309" spans="1:29" ht="12.75" customHeight="1">
      <c r="A309" s="8"/>
      <c r="B309" s="8"/>
      <c r="C309" s="8"/>
      <c r="D309" s="8"/>
      <c r="E309" s="8"/>
      <c r="F309" s="8"/>
      <c r="G309" s="8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  <c r="AA309" s="8"/>
      <c r="AB309" s="8"/>
      <c r="AC309" s="8"/>
    </row>
    <row r="310" spans="1:29" ht="12.75" customHeight="1">
      <c r="A310" s="8"/>
      <c r="B310" s="8"/>
      <c r="C310" s="8"/>
      <c r="D310" s="8"/>
      <c r="E310" s="8"/>
      <c r="F310" s="8"/>
      <c r="G310" s="8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  <c r="AA310" s="8"/>
      <c r="AB310" s="8"/>
      <c r="AC310" s="8"/>
    </row>
    <row r="311" spans="1:29" ht="12.75" customHeight="1">
      <c r="A311" s="8"/>
      <c r="B311" s="8"/>
      <c r="C311" s="8"/>
      <c r="D311" s="8"/>
      <c r="E311" s="8"/>
      <c r="F311" s="8"/>
      <c r="G311" s="8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  <c r="AA311" s="8"/>
      <c r="AB311" s="8"/>
      <c r="AC311" s="8"/>
    </row>
    <row r="312" spans="1:29" ht="12.75" customHeight="1">
      <c r="A312" s="8"/>
      <c r="B312" s="8"/>
      <c r="C312" s="8"/>
      <c r="D312" s="8"/>
      <c r="E312" s="8"/>
      <c r="F312" s="8"/>
      <c r="G312" s="8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  <c r="AA312" s="8"/>
      <c r="AB312" s="8"/>
      <c r="AC312" s="8"/>
    </row>
    <row r="313" spans="1:29" ht="12.75" customHeight="1">
      <c r="A313" s="8"/>
      <c r="B313" s="8"/>
      <c r="C313" s="8"/>
      <c r="D313" s="8"/>
      <c r="E313" s="8"/>
      <c r="F313" s="8"/>
      <c r="G313" s="8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  <c r="AA313" s="8"/>
      <c r="AB313" s="8"/>
      <c r="AC313" s="8"/>
    </row>
    <row r="314" spans="1:29" ht="12.75" customHeight="1">
      <c r="A314" s="8"/>
      <c r="B314" s="8"/>
      <c r="C314" s="8"/>
      <c r="D314" s="8"/>
      <c r="E314" s="8"/>
      <c r="F314" s="8"/>
      <c r="G314" s="8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  <c r="AA314" s="8"/>
      <c r="AB314" s="8"/>
      <c r="AC314" s="8"/>
    </row>
    <row r="315" spans="1:29" ht="12.75" customHeight="1">
      <c r="A315" s="8"/>
      <c r="B315" s="8"/>
      <c r="C315" s="8"/>
      <c r="D315" s="8"/>
      <c r="E315" s="8"/>
      <c r="F315" s="8"/>
      <c r="G315" s="8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  <c r="AA315" s="8"/>
      <c r="AB315" s="8"/>
      <c r="AC315" s="8"/>
    </row>
    <row r="316" spans="1:29" ht="12.75" customHeight="1">
      <c r="A316" s="8"/>
      <c r="B316" s="8"/>
      <c r="C316" s="8"/>
      <c r="D316" s="8"/>
      <c r="E316" s="8"/>
      <c r="F316" s="8"/>
      <c r="G316" s="8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  <c r="AA316" s="8"/>
      <c r="AB316" s="8"/>
      <c r="AC316" s="8"/>
    </row>
    <row r="317" spans="1:29" ht="12.75" customHeight="1">
      <c r="A317" s="8"/>
      <c r="B317" s="8"/>
      <c r="C317" s="8"/>
      <c r="D317" s="8"/>
      <c r="E317" s="8"/>
      <c r="F317" s="8"/>
      <c r="G317" s="8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  <c r="AA317" s="8"/>
      <c r="AB317" s="8"/>
      <c r="AC317" s="8"/>
    </row>
    <row r="318" spans="1:29" ht="12.75" customHeight="1">
      <c r="A318" s="8"/>
      <c r="B318" s="8"/>
      <c r="C318" s="8"/>
      <c r="D318" s="8"/>
      <c r="E318" s="8"/>
      <c r="F318" s="8"/>
      <c r="G318" s="8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  <c r="AA318" s="8"/>
      <c r="AB318" s="8"/>
      <c r="AC318" s="8"/>
    </row>
    <row r="319" spans="1:29" ht="12.75" customHeight="1">
      <c r="A319" s="8"/>
      <c r="B319" s="8"/>
      <c r="C319" s="8"/>
      <c r="D319" s="8"/>
      <c r="E319" s="8"/>
      <c r="F319" s="8"/>
      <c r="G319" s="8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  <c r="AA319" s="8"/>
      <c r="AB319" s="8"/>
      <c r="AC319" s="8"/>
    </row>
    <row r="320" spans="1:29" ht="12.75" customHeight="1">
      <c r="A320" s="8"/>
      <c r="B320" s="8"/>
      <c r="C320" s="8"/>
      <c r="D320" s="8"/>
      <c r="E320" s="8"/>
      <c r="F320" s="8"/>
      <c r="G320" s="8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  <c r="AA320" s="8"/>
      <c r="AB320" s="8"/>
      <c r="AC320" s="8"/>
    </row>
    <row r="321" spans="1:29" ht="12.75" customHeight="1">
      <c r="A321" s="8"/>
      <c r="B321" s="8"/>
      <c r="C321" s="8"/>
      <c r="D321" s="8"/>
      <c r="E321" s="8"/>
      <c r="F321" s="8"/>
      <c r="G321" s="8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  <c r="AA321" s="8"/>
      <c r="AB321" s="8"/>
      <c r="AC321" s="8"/>
    </row>
    <row r="322" spans="1:29" ht="12.75" customHeight="1">
      <c r="A322" s="8"/>
      <c r="B322" s="8"/>
      <c r="C322" s="8"/>
      <c r="D322" s="8"/>
      <c r="E322" s="8"/>
      <c r="F322" s="8"/>
      <c r="G322" s="8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  <c r="AA322" s="8"/>
      <c r="AB322" s="8"/>
      <c r="AC322" s="8"/>
    </row>
    <row r="323" spans="1:29" ht="12.75" customHeight="1">
      <c r="A323" s="8"/>
      <c r="B323" s="8"/>
      <c r="C323" s="8"/>
      <c r="D323" s="8"/>
      <c r="E323" s="8"/>
      <c r="F323" s="8"/>
      <c r="G323" s="8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  <c r="AA323" s="8"/>
      <c r="AB323" s="8"/>
      <c r="AC323" s="8"/>
    </row>
    <row r="324" spans="1:29" ht="12.75" customHeight="1">
      <c r="A324" s="8"/>
      <c r="B324" s="8"/>
      <c r="C324" s="8"/>
      <c r="D324" s="8"/>
      <c r="E324" s="8"/>
      <c r="F324" s="8"/>
      <c r="G324" s="8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  <c r="AA324" s="8"/>
      <c r="AB324" s="8"/>
      <c r="AC324" s="8"/>
    </row>
    <row r="325" spans="1:29" ht="12.75" customHeight="1">
      <c r="A325" s="8"/>
      <c r="B325" s="8"/>
      <c r="C325" s="8"/>
      <c r="D325" s="8"/>
      <c r="E325" s="8"/>
      <c r="F325" s="8"/>
      <c r="G325" s="8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  <c r="AA325" s="8"/>
      <c r="AB325" s="8"/>
      <c r="AC325" s="8"/>
    </row>
    <row r="326" spans="1:29" ht="12.75" customHeight="1">
      <c r="A326" s="8"/>
      <c r="B326" s="8"/>
      <c r="C326" s="8"/>
      <c r="D326" s="8"/>
      <c r="E326" s="8"/>
      <c r="F326" s="8"/>
      <c r="G326" s="8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  <c r="AA326" s="8"/>
      <c r="AB326" s="8"/>
      <c r="AC326" s="8"/>
    </row>
    <row r="327" spans="1:29" ht="12.75" customHeight="1">
      <c r="A327" s="8"/>
      <c r="B327" s="8"/>
      <c r="C327" s="8"/>
      <c r="D327" s="8"/>
      <c r="E327" s="8"/>
      <c r="F327" s="8"/>
      <c r="G327" s="8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  <c r="AA327" s="8"/>
      <c r="AB327" s="8"/>
      <c r="AC327" s="8"/>
    </row>
    <row r="328" spans="1:29" ht="12.75" customHeight="1">
      <c r="A328" s="8"/>
      <c r="B328" s="8"/>
      <c r="C328" s="8"/>
      <c r="D328" s="8"/>
      <c r="E328" s="8"/>
      <c r="F328" s="8"/>
      <c r="G328" s="8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  <c r="AA328" s="8"/>
      <c r="AB328" s="8"/>
      <c r="AC328" s="8"/>
    </row>
    <row r="329" spans="1:29" ht="12.75" customHeight="1">
      <c r="A329" s="8"/>
      <c r="B329" s="8"/>
      <c r="C329" s="8"/>
      <c r="D329" s="8"/>
      <c r="E329" s="8"/>
      <c r="F329" s="8"/>
      <c r="G329" s="8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  <c r="AA329" s="8"/>
      <c r="AB329" s="8"/>
      <c r="AC329" s="8"/>
    </row>
    <row r="330" spans="1:29" ht="12.75" customHeight="1">
      <c r="A330" s="8"/>
      <c r="B330" s="8"/>
      <c r="C330" s="8"/>
      <c r="D330" s="8"/>
      <c r="E330" s="8"/>
      <c r="F330" s="8"/>
      <c r="G330" s="8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  <c r="AA330" s="8"/>
      <c r="AB330" s="8"/>
      <c r="AC330" s="8"/>
    </row>
    <row r="331" spans="1:29" ht="12.75" customHeight="1">
      <c r="A331" s="8"/>
      <c r="B331" s="8"/>
      <c r="C331" s="8"/>
      <c r="D331" s="8"/>
      <c r="E331" s="8"/>
      <c r="F331" s="8"/>
      <c r="G331" s="8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  <c r="AA331" s="8"/>
      <c r="AB331" s="8"/>
      <c r="AC331" s="8"/>
    </row>
    <row r="332" spans="1:29" ht="12.75" customHeight="1">
      <c r="A332" s="8"/>
      <c r="B332" s="8"/>
      <c r="C332" s="8"/>
      <c r="D332" s="8"/>
      <c r="E332" s="8"/>
      <c r="F332" s="8"/>
      <c r="G332" s="8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  <c r="AA332" s="8"/>
      <c r="AB332" s="8"/>
      <c r="AC332" s="8"/>
    </row>
    <row r="333" spans="1:29" ht="12.75" customHeight="1">
      <c r="A333" s="8"/>
      <c r="B333" s="8"/>
      <c r="C333" s="8"/>
      <c r="D333" s="8"/>
      <c r="E333" s="8"/>
      <c r="F333" s="8"/>
      <c r="G333" s="8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  <c r="AA333" s="8"/>
      <c r="AB333" s="8"/>
      <c r="AC333" s="8"/>
    </row>
    <row r="334" spans="1:29" ht="12.75" customHeight="1">
      <c r="A334" s="8"/>
      <c r="B334" s="8"/>
      <c r="C334" s="8"/>
      <c r="D334" s="8"/>
      <c r="E334" s="8"/>
      <c r="F334" s="8"/>
      <c r="G334" s="8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  <c r="AA334" s="8"/>
      <c r="AB334" s="8"/>
      <c r="AC334" s="8"/>
    </row>
    <row r="335" spans="1:29" ht="12.75" customHeight="1">
      <c r="A335" s="8"/>
      <c r="B335" s="8"/>
      <c r="C335" s="8"/>
      <c r="D335" s="8"/>
      <c r="E335" s="8"/>
      <c r="F335" s="8"/>
      <c r="G335" s="8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  <c r="AA335" s="8"/>
      <c r="AB335" s="8"/>
      <c r="AC335" s="8"/>
    </row>
    <row r="336" spans="1:29" ht="12.75" customHeight="1">
      <c r="A336" s="8"/>
      <c r="B336" s="8"/>
      <c r="C336" s="8"/>
      <c r="D336" s="8"/>
      <c r="E336" s="8"/>
      <c r="F336" s="8"/>
      <c r="G336" s="8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  <c r="AA336" s="8"/>
      <c r="AB336" s="8"/>
      <c r="AC336" s="8"/>
    </row>
    <row r="337" spans="1:29" ht="12.75" customHeight="1">
      <c r="A337" s="8"/>
      <c r="B337" s="8"/>
      <c r="C337" s="8"/>
      <c r="D337" s="8"/>
      <c r="E337" s="8"/>
      <c r="F337" s="8"/>
      <c r="G337" s="8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  <c r="AA337" s="8"/>
      <c r="AB337" s="8"/>
      <c r="AC337" s="8"/>
    </row>
    <row r="338" spans="1:29" ht="12.75" customHeight="1">
      <c r="A338" s="8"/>
      <c r="B338" s="8"/>
      <c r="C338" s="8"/>
      <c r="D338" s="8"/>
      <c r="E338" s="8"/>
      <c r="F338" s="8"/>
      <c r="G338" s="8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  <c r="AA338" s="8"/>
      <c r="AB338" s="8"/>
      <c r="AC338" s="8"/>
    </row>
    <row r="339" spans="1:29" ht="12.75" customHeight="1">
      <c r="A339" s="8"/>
      <c r="B339" s="8"/>
      <c r="C339" s="8"/>
      <c r="D339" s="8"/>
      <c r="E339" s="8"/>
      <c r="F339" s="8"/>
      <c r="G339" s="8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  <c r="AA339" s="8"/>
      <c r="AB339" s="8"/>
      <c r="AC339" s="8"/>
    </row>
    <row r="340" spans="1:29" ht="12.75" customHeight="1">
      <c r="A340" s="8"/>
      <c r="B340" s="8"/>
      <c r="C340" s="8"/>
      <c r="D340" s="8"/>
      <c r="E340" s="8"/>
      <c r="F340" s="8"/>
      <c r="G340" s="8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  <c r="AA340" s="8"/>
      <c r="AB340" s="8"/>
      <c r="AC340" s="8"/>
    </row>
    <row r="341" spans="1:29" ht="12.75" customHeight="1">
      <c r="A341" s="8"/>
      <c r="B341" s="8"/>
      <c r="C341" s="8"/>
      <c r="D341" s="8"/>
      <c r="E341" s="8"/>
      <c r="F341" s="8"/>
      <c r="G341" s="8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  <c r="AA341" s="8"/>
      <c r="AB341" s="8"/>
      <c r="AC341" s="8"/>
    </row>
    <row r="342" spans="1:29" ht="12.75" customHeight="1">
      <c r="A342" s="8"/>
      <c r="B342" s="8"/>
      <c r="C342" s="8"/>
      <c r="D342" s="8"/>
      <c r="E342" s="8"/>
      <c r="F342" s="8"/>
      <c r="G342" s="8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  <c r="AA342" s="8"/>
      <c r="AB342" s="8"/>
      <c r="AC342" s="8"/>
    </row>
    <row r="343" spans="1:29" ht="12.75" customHeight="1">
      <c r="A343" s="8"/>
      <c r="B343" s="8"/>
      <c r="C343" s="8"/>
      <c r="D343" s="8"/>
      <c r="E343" s="8"/>
      <c r="F343" s="8"/>
      <c r="G343" s="8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  <c r="AA343" s="8"/>
      <c r="AB343" s="8"/>
      <c r="AC343" s="8"/>
    </row>
    <row r="344" spans="1:29" ht="12.75" customHeight="1">
      <c r="A344" s="8"/>
      <c r="B344" s="8"/>
      <c r="C344" s="8"/>
      <c r="D344" s="8"/>
      <c r="E344" s="8"/>
      <c r="F344" s="8"/>
      <c r="G344" s="8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  <c r="AA344" s="8"/>
      <c r="AB344" s="8"/>
      <c r="AC344" s="8"/>
    </row>
    <row r="345" spans="1:29" ht="12.75" customHeight="1">
      <c r="A345" s="8"/>
      <c r="B345" s="8"/>
      <c r="C345" s="8"/>
      <c r="D345" s="8"/>
      <c r="E345" s="8"/>
      <c r="F345" s="8"/>
      <c r="G345" s="8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  <c r="AA345" s="8"/>
      <c r="AB345" s="8"/>
      <c r="AC345" s="8"/>
    </row>
    <row r="346" spans="1:29" ht="12.75" customHeight="1">
      <c r="A346" s="8"/>
      <c r="B346" s="8"/>
      <c r="C346" s="8"/>
      <c r="D346" s="8"/>
      <c r="E346" s="8"/>
      <c r="F346" s="8"/>
      <c r="G346" s="8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  <c r="AA346" s="8"/>
      <c r="AB346" s="8"/>
      <c r="AC346" s="8"/>
    </row>
    <row r="347" spans="1:29" ht="12.75" customHeight="1">
      <c r="A347" s="8"/>
      <c r="B347" s="8"/>
      <c r="C347" s="8"/>
      <c r="D347" s="8"/>
      <c r="E347" s="8"/>
      <c r="F347" s="8"/>
      <c r="G347" s="8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  <c r="AA347" s="8"/>
      <c r="AB347" s="8"/>
      <c r="AC347" s="8"/>
    </row>
    <row r="348" spans="1:29" ht="12.75" customHeight="1">
      <c r="A348" s="8"/>
      <c r="B348" s="8"/>
      <c r="C348" s="8"/>
      <c r="D348" s="8"/>
      <c r="E348" s="8"/>
      <c r="F348" s="8"/>
      <c r="G348" s="8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  <c r="AA348" s="8"/>
      <c r="AB348" s="8"/>
      <c r="AC348" s="8"/>
    </row>
    <row r="349" spans="1:29" ht="12.75" customHeight="1">
      <c r="A349" s="8"/>
      <c r="B349" s="8"/>
      <c r="C349" s="8"/>
      <c r="D349" s="8"/>
      <c r="E349" s="8"/>
      <c r="F349" s="8"/>
      <c r="G349" s="8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  <c r="AA349" s="8"/>
      <c r="AB349" s="8"/>
      <c r="AC349" s="8"/>
    </row>
    <row r="350" spans="1:29" ht="12.75" customHeight="1">
      <c r="A350" s="8"/>
      <c r="B350" s="8"/>
      <c r="C350" s="8"/>
      <c r="D350" s="8"/>
      <c r="E350" s="8"/>
      <c r="F350" s="8"/>
      <c r="G350" s="8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  <c r="AA350" s="8"/>
      <c r="AB350" s="8"/>
      <c r="AC350" s="8"/>
    </row>
    <row r="351" spans="1:29" ht="12.75" customHeight="1">
      <c r="A351" s="8"/>
      <c r="B351" s="8"/>
      <c r="C351" s="8"/>
      <c r="D351" s="8"/>
      <c r="E351" s="8"/>
      <c r="F351" s="8"/>
      <c r="G351" s="8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  <c r="AA351" s="8"/>
      <c r="AB351" s="8"/>
      <c r="AC351" s="8"/>
    </row>
    <row r="352" spans="1:29" ht="12.75" customHeight="1">
      <c r="A352" s="8"/>
      <c r="B352" s="8"/>
      <c r="C352" s="8"/>
      <c r="D352" s="8"/>
      <c r="E352" s="8"/>
      <c r="F352" s="8"/>
      <c r="G352" s="8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  <c r="AA352" s="8"/>
      <c r="AB352" s="8"/>
      <c r="AC352" s="8"/>
    </row>
    <row r="353" spans="1:29" ht="12.75" customHeight="1">
      <c r="A353" s="8"/>
      <c r="B353" s="8"/>
      <c r="C353" s="8"/>
      <c r="D353" s="8"/>
      <c r="E353" s="8"/>
      <c r="F353" s="8"/>
      <c r="G353" s="8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  <c r="AA353" s="8"/>
      <c r="AB353" s="8"/>
      <c r="AC353" s="8"/>
    </row>
    <row r="354" spans="1:29" ht="12.75" customHeight="1">
      <c r="A354" s="8"/>
      <c r="B354" s="8"/>
      <c r="C354" s="8"/>
      <c r="D354" s="8"/>
      <c r="E354" s="8"/>
      <c r="F354" s="8"/>
      <c r="G354" s="8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  <c r="AA354" s="8"/>
      <c r="AB354" s="8"/>
      <c r="AC354" s="8"/>
    </row>
    <row r="355" spans="1:29" ht="12.75" customHeight="1">
      <c r="A355" s="8"/>
      <c r="B355" s="8"/>
      <c r="C355" s="8"/>
      <c r="D355" s="8"/>
      <c r="E355" s="8"/>
      <c r="F355" s="8"/>
      <c r="G355" s="8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  <c r="AA355" s="8"/>
      <c r="AB355" s="8"/>
      <c r="AC355" s="8"/>
    </row>
    <row r="356" spans="1:29" ht="12.75" customHeight="1">
      <c r="A356" s="8"/>
      <c r="B356" s="8"/>
      <c r="C356" s="8"/>
      <c r="D356" s="8"/>
      <c r="E356" s="8"/>
      <c r="F356" s="8"/>
      <c r="G356" s="8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  <c r="AA356" s="8"/>
      <c r="AB356" s="8"/>
      <c r="AC356" s="8"/>
    </row>
    <row r="357" spans="1:29" ht="12.75" customHeight="1">
      <c r="A357" s="8"/>
      <c r="B357" s="8"/>
      <c r="C357" s="8"/>
      <c r="D357" s="8"/>
      <c r="E357" s="8"/>
      <c r="F357" s="8"/>
      <c r="G357" s="8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  <c r="AA357" s="8"/>
      <c r="AB357" s="8"/>
      <c r="AC357" s="8"/>
    </row>
    <row r="358" spans="1:29" ht="12.75" customHeight="1">
      <c r="A358" s="8"/>
      <c r="B358" s="8"/>
      <c r="C358" s="8"/>
      <c r="D358" s="8"/>
      <c r="E358" s="8"/>
      <c r="F358" s="8"/>
      <c r="G358" s="8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  <c r="AA358" s="8"/>
      <c r="AB358" s="8"/>
      <c r="AC358" s="8"/>
    </row>
    <row r="359" spans="1:29" ht="12.75" customHeight="1">
      <c r="A359" s="8"/>
      <c r="B359" s="8"/>
      <c r="C359" s="8"/>
      <c r="D359" s="8"/>
      <c r="E359" s="8"/>
      <c r="F359" s="8"/>
      <c r="G359" s="8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  <c r="AA359" s="8"/>
      <c r="AB359" s="8"/>
      <c r="AC359" s="8"/>
    </row>
    <row r="360" spans="1:29" ht="12.75" customHeight="1">
      <c r="A360" s="8"/>
      <c r="B360" s="8"/>
      <c r="C360" s="8"/>
      <c r="D360" s="8"/>
      <c r="E360" s="8"/>
      <c r="F360" s="8"/>
      <c r="G360" s="8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  <c r="AA360" s="8"/>
      <c r="AB360" s="8"/>
      <c r="AC360" s="8"/>
    </row>
    <row r="361" spans="1:29" ht="12.75" customHeight="1">
      <c r="A361" s="8"/>
      <c r="B361" s="8"/>
      <c r="C361" s="8"/>
      <c r="D361" s="8"/>
      <c r="E361" s="8"/>
      <c r="F361" s="8"/>
      <c r="G361" s="8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  <c r="AA361" s="8"/>
      <c r="AB361" s="8"/>
      <c r="AC361" s="8"/>
    </row>
    <row r="362" spans="1:29" ht="12.75" customHeight="1">
      <c r="A362" s="8"/>
      <c r="B362" s="8"/>
      <c r="C362" s="8"/>
      <c r="D362" s="8"/>
      <c r="E362" s="8"/>
      <c r="F362" s="8"/>
      <c r="G362" s="8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  <c r="AA362" s="8"/>
      <c r="AB362" s="8"/>
      <c r="AC362" s="8"/>
    </row>
    <row r="363" spans="1:29" ht="12.75" customHeight="1">
      <c r="A363" s="8"/>
      <c r="B363" s="8"/>
      <c r="C363" s="8"/>
      <c r="D363" s="8"/>
      <c r="E363" s="8"/>
      <c r="F363" s="8"/>
      <c r="G363" s="8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  <c r="AA363" s="8"/>
      <c r="AB363" s="8"/>
      <c r="AC363" s="8"/>
    </row>
    <row r="364" spans="1:29" ht="12.75" customHeight="1">
      <c r="A364" s="8"/>
      <c r="B364" s="8"/>
      <c r="C364" s="8"/>
      <c r="D364" s="8"/>
      <c r="E364" s="8"/>
      <c r="F364" s="8"/>
      <c r="G364" s="8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  <c r="AA364" s="8"/>
      <c r="AB364" s="8"/>
      <c r="AC364" s="8"/>
    </row>
    <row r="365" spans="1:29" ht="12.75" customHeight="1">
      <c r="A365" s="8"/>
      <c r="B365" s="8"/>
      <c r="C365" s="8"/>
      <c r="D365" s="8"/>
      <c r="E365" s="8"/>
      <c r="F365" s="8"/>
      <c r="G365" s="8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  <c r="AA365" s="8"/>
      <c r="AB365" s="8"/>
      <c r="AC365" s="8"/>
    </row>
    <row r="366" spans="1:29" ht="12.75" customHeight="1">
      <c r="A366" s="8"/>
      <c r="B366" s="8"/>
      <c r="C366" s="8"/>
      <c r="D366" s="8"/>
      <c r="E366" s="8"/>
      <c r="F366" s="8"/>
      <c r="G366" s="8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  <c r="AA366" s="8"/>
      <c r="AB366" s="8"/>
      <c r="AC366" s="8"/>
    </row>
    <row r="367" spans="1:29" ht="12.75" customHeight="1">
      <c r="A367" s="8"/>
      <c r="B367" s="8"/>
      <c r="C367" s="8"/>
      <c r="D367" s="8"/>
      <c r="E367" s="8"/>
      <c r="F367" s="8"/>
      <c r="G367" s="8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  <c r="AA367" s="8"/>
      <c r="AB367" s="8"/>
      <c r="AC367" s="8"/>
    </row>
    <row r="368" spans="1:29" ht="12.75" customHeight="1">
      <c r="A368" s="8"/>
      <c r="B368" s="8"/>
      <c r="C368" s="8"/>
      <c r="D368" s="8"/>
      <c r="E368" s="8"/>
      <c r="F368" s="8"/>
      <c r="G368" s="8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  <c r="AA368" s="8"/>
      <c r="AB368" s="8"/>
      <c r="AC368" s="8"/>
    </row>
    <row r="369" spans="1:29" ht="12.75" customHeight="1">
      <c r="A369" s="8"/>
      <c r="B369" s="8"/>
      <c r="C369" s="8"/>
      <c r="D369" s="8"/>
      <c r="E369" s="8"/>
      <c r="F369" s="8"/>
      <c r="G369" s="8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  <c r="AA369" s="8"/>
      <c r="AB369" s="8"/>
      <c r="AC369" s="8"/>
    </row>
    <row r="370" spans="1:29" ht="12.75" customHeight="1">
      <c r="A370" s="8"/>
      <c r="B370" s="8"/>
      <c r="C370" s="8"/>
      <c r="D370" s="8"/>
      <c r="E370" s="8"/>
      <c r="F370" s="8"/>
      <c r="G370" s="8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  <c r="AA370" s="8"/>
      <c r="AB370" s="8"/>
      <c r="AC370" s="8"/>
    </row>
    <row r="371" spans="1:29" ht="12.75" customHeight="1">
      <c r="A371" s="8"/>
      <c r="B371" s="8"/>
      <c r="C371" s="8"/>
      <c r="D371" s="8"/>
      <c r="E371" s="8"/>
      <c r="F371" s="8"/>
      <c r="G371" s="8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  <c r="AA371" s="8"/>
      <c r="AB371" s="8"/>
      <c r="AC371" s="8"/>
    </row>
    <row r="372" spans="1:29" ht="12.75" customHeight="1">
      <c r="A372" s="8"/>
      <c r="B372" s="8"/>
      <c r="C372" s="8"/>
      <c r="D372" s="8"/>
      <c r="E372" s="8"/>
      <c r="F372" s="8"/>
      <c r="G372" s="8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  <c r="AA372" s="8"/>
      <c r="AB372" s="8"/>
      <c r="AC372" s="8"/>
    </row>
    <row r="373" spans="1:29" ht="12.75" customHeight="1">
      <c r="A373" s="8"/>
      <c r="B373" s="8"/>
      <c r="C373" s="8"/>
      <c r="D373" s="8"/>
      <c r="E373" s="8"/>
      <c r="F373" s="8"/>
      <c r="G373" s="8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  <c r="AA373" s="8"/>
      <c r="AB373" s="8"/>
      <c r="AC373" s="8"/>
    </row>
    <row r="374" spans="1:29" ht="12.75" customHeight="1">
      <c r="A374" s="8"/>
      <c r="B374" s="8"/>
      <c r="C374" s="8"/>
      <c r="D374" s="8"/>
      <c r="E374" s="8"/>
      <c r="F374" s="8"/>
      <c r="G374" s="8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  <c r="AA374" s="8"/>
      <c r="AB374" s="8"/>
      <c r="AC374" s="8"/>
    </row>
    <row r="375" spans="1:29" ht="12.75" customHeight="1">
      <c r="A375" s="8"/>
      <c r="B375" s="8"/>
      <c r="C375" s="8"/>
      <c r="D375" s="8"/>
      <c r="E375" s="8"/>
      <c r="F375" s="8"/>
      <c r="G375" s="8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  <c r="AA375" s="8"/>
      <c r="AB375" s="8"/>
      <c r="AC375" s="8"/>
    </row>
    <row r="376" spans="1:29" ht="12.75" customHeight="1">
      <c r="A376" s="8"/>
      <c r="B376" s="8"/>
      <c r="C376" s="8"/>
      <c r="D376" s="8"/>
      <c r="E376" s="8"/>
      <c r="F376" s="8"/>
      <c r="G376" s="8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  <c r="AA376" s="8"/>
      <c r="AB376" s="8"/>
      <c r="AC376" s="8"/>
    </row>
    <row r="377" spans="1:29" ht="12.75" customHeight="1">
      <c r="A377" s="8"/>
      <c r="B377" s="8"/>
      <c r="C377" s="8"/>
      <c r="D377" s="8"/>
      <c r="E377" s="8"/>
      <c r="F377" s="8"/>
      <c r="G377" s="8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  <c r="AA377" s="8"/>
      <c r="AB377" s="8"/>
      <c r="AC377" s="8"/>
    </row>
    <row r="378" spans="1:29" ht="12.75" customHeight="1">
      <c r="A378" s="8"/>
      <c r="B378" s="8"/>
      <c r="C378" s="8"/>
      <c r="D378" s="8"/>
      <c r="E378" s="8"/>
      <c r="F378" s="8"/>
      <c r="G378" s="8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  <c r="AA378" s="8"/>
      <c r="AB378" s="8"/>
      <c r="AC378" s="8"/>
    </row>
    <row r="379" spans="1:29" ht="12.75" customHeight="1">
      <c r="A379" s="8"/>
      <c r="B379" s="8"/>
      <c r="C379" s="8"/>
      <c r="D379" s="8"/>
      <c r="E379" s="8"/>
      <c r="F379" s="8"/>
      <c r="G379" s="8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  <c r="AA379" s="8"/>
      <c r="AB379" s="8"/>
      <c r="AC379" s="8"/>
    </row>
    <row r="380" spans="1:29" ht="12.75" customHeight="1">
      <c r="A380" s="8"/>
      <c r="B380" s="8"/>
      <c r="C380" s="8"/>
      <c r="D380" s="8"/>
      <c r="E380" s="8"/>
      <c r="F380" s="8"/>
      <c r="G380" s="8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  <c r="AA380" s="8"/>
      <c r="AB380" s="8"/>
      <c r="AC380" s="8"/>
    </row>
    <row r="381" spans="1:29" ht="12.75" customHeight="1">
      <c r="A381" s="8"/>
      <c r="B381" s="8"/>
      <c r="C381" s="8"/>
      <c r="D381" s="8"/>
      <c r="E381" s="8"/>
      <c r="F381" s="8"/>
      <c r="G381" s="8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  <c r="AA381" s="8"/>
      <c r="AB381" s="8"/>
      <c r="AC381" s="8"/>
    </row>
    <row r="382" spans="1:29" ht="12.75" customHeight="1">
      <c r="A382" s="8"/>
      <c r="B382" s="8"/>
      <c r="C382" s="8"/>
      <c r="D382" s="8"/>
      <c r="E382" s="8"/>
      <c r="F382" s="8"/>
      <c r="G382" s="8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  <c r="AA382" s="8"/>
      <c r="AB382" s="8"/>
      <c r="AC382" s="8"/>
    </row>
    <row r="383" spans="1:29" ht="12.75" customHeight="1">
      <c r="A383" s="8"/>
      <c r="B383" s="8"/>
      <c r="C383" s="8"/>
      <c r="D383" s="8"/>
      <c r="E383" s="8"/>
      <c r="F383" s="8"/>
      <c r="G383" s="8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  <c r="AA383" s="8"/>
      <c r="AB383" s="8"/>
      <c r="AC383" s="8"/>
    </row>
    <row r="384" spans="1:29" ht="12.75" customHeight="1">
      <c r="A384" s="8"/>
      <c r="B384" s="8"/>
      <c r="C384" s="8"/>
      <c r="D384" s="8"/>
      <c r="E384" s="8"/>
      <c r="F384" s="8"/>
      <c r="G384" s="8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  <c r="AA384" s="8"/>
      <c r="AB384" s="8"/>
      <c r="AC384" s="8"/>
    </row>
    <row r="385" spans="1:29" ht="12.75" customHeight="1">
      <c r="A385" s="8"/>
      <c r="B385" s="8"/>
      <c r="C385" s="8"/>
      <c r="D385" s="8"/>
      <c r="E385" s="8"/>
      <c r="F385" s="8"/>
      <c r="G385" s="8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  <c r="AA385" s="8"/>
      <c r="AB385" s="8"/>
      <c r="AC385" s="8"/>
    </row>
    <row r="386" spans="1:29" ht="12.75" customHeight="1">
      <c r="A386" s="8"/>
      <c r="B386" s="8"/>
      <c r="C386" s="8"/>
      <c r="D386" s="8"/>
      <c r="E386" s="8"/>
      <c r="F386" s="8"/>
      <c r="G386" s="8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  <c r="AA386" s="8"/>
      <c r="AB386" s="8"/>
      <c r="AC386" s="8"/>
    </row>
    <row r="387" spans="1:29" ht="12.75" customHeight="1">
      <c r="A387" s="8"/>
      <c r="B387" s="8"/>
      <c r="C387" s="8"/>
      <c r="D387" s="8"/>
      <c r="E387" s="8"/>
      <c r="F387" s="8"/>
      <c r="G387" s="8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  <c r="AA387" s="8"/>
      <c r="AB387" s="8"/>
      <c r="AC387" s="8"/>
    </row>
    <row r="388" spans="1:29" ht="12.75" customHeight="1">
      <c r="A388" s="8"/>
      <c r="B388" s="8"/>
      <c r="C388" s="8"/>
      <c r="D388" s="8"/>
      <c r="E388" s="8"/>
      <c r="F388" s="8"/>
      <c r="G388" s="8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  <c r="AA388" s="8"/>
      <c r="AB388" s="8"/>
      <c r="AC388" s="8"/>
    </row>
    <row r="389" spans="1:29" ht="12.75" customHeight="1">
      <c r="A389" s="8"/>
      <c r="B389" s="8"/>
      <c r="C389" s="8"/>
      <c r="D389" s="8"/>
      <c r="E389" s="8"/>
      <c r="F389" s="8"/>
      <c r="G389" s="8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  <c r="AA389" s="8"/>
      <c r="AB389" s="8"/>
      <c r="AC389" s="8"/>
    </row>
    <row r="390" spans="1:29" ht="12.75" customHeight="1">
      <c r="A390" s="8"/>
      <c r="B390" s="8"/>
      <c r="C390" s="8"/>
      <c r="D390" s="8"/>
      <c r="E390" s="8"/>
      <c r="F390" s="8"/>
      <c r="G390" s="8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  <c r="AA390" s="8"/>
      <c r="AB390" s="8"/>
      <c r="AC390" s="8"/>
    </row>
    <row r="391" spans="1:29" ht="12.75" customHeight="1">
      <c r="A391" s="8"/>
      <c r="B391" s="8"/>
      <c r="C391" s="8"/>
      <c r="D391" s="8"/>
      <c r="E391" s="8"/>
      <c r="F391" s="8"/>
      <c r="G391" s="8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  <c r="AA391" s="8"/>
      <c r="AB391" s="8"/>
      <c r="AC391" s="8"/>
    </row>
    <row r="392" spans="1:29" ht="12.75" customHeight="1">
      <c r="A392" s="8"/>
      <c r="B392" s="8"/>
      <c r="C392" s="8"/>
      <c r="D392" s="8"/>
      <c r="E392" s="8"/>
      <c r="F392" s="8"/>
      <c r="G392" s="8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  <c r="AA392" s="8"/>
      <c r="AB392" s="8"/>
      <c r="AC392" s="8"/>
    </row>
    <row r="393" spans="1:29" ht="12.75" customHeight="1">
      <c r="A393" s="8"/>
      <c r="B393" s="8"/>
      <c r="C393" s="8"/>
      <c r="D393" s="8"/>
      <c r="E393" s="8"/>
      <c r="F393" s="8"/>
      <c r="G393" s="8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  <c r="AA393" s="8"/>
      <c r="AB393" s="8"/>
      <c r="AC393" s="8"/>
    </row>
    <row r="394" spans="1:29" ht="12.75" customHeight="1">
      <c r="A394" s="8"/>
      <c r="B394" s="8"/>
      <c r="C394" s="8"/>
      <c r="D394" s="8"/>
      <c r="E394" s="8"/>
      <c r="F394" s="8"/>
      <c r="G394" s="8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  <c r="AA394" s="8"/>
      <c r="AB394" s="8"/>
      <c r="AC394" s="8"/>
    </row>
    <row r="395" spans="1:29" ht="12.75" customHeight="1">
      <c r="A395" s="8"/>
      <c r="B395" s="8"/>
      <c r="C395" s="8"/>
      <c r="D395" s="8"/>
      <c r="E395" s="8"/>
      <c r="F395" s="8"/>
      <c r="G395" s="8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  <c r="AA395" s="8"/>
      <c r="AB395" s="8"/>
      <c r="AC395" s="8"/>
    </row>
    <row r="396" spans="1:29" ht="12.75" customHeight="1">
      <c r="A396" s="8"/>
      <c r="B396" s="8"/>
      <c r="C396" s="8"/>
      <c r="D396" s="8"/>
      <c r="E396" s="8"/>
      <c r="F396" s="8"/>
      <c r="G396" s="8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  <c r="AA396" s="8"/>
      <c r="AB396" s="8"/>
      <c r="AC396" s="8"/>
    </row>
    <row r="397" spans="1:29" ht="12.75" customHeight="1">
      <c r="A397" s="8"/>
      <c r="B397" s="8"/>
      <c r="C397" s="8"/>
      <c r="D397" s="8"/>
      <c r="E397" s="8"/>
      <c r="F397" s="8"/>
      <c r="G397" s="8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  <c r="AA397" s="8"/>
      <c r="AB397" s="8"/>
      <c r="AC397" s="8"/>
    </row>
    <row r="398" spans="1:29" ht="12.75" customHeight="1">
      <c r="A398" s="8"/>
      <c r="B398" s="8"/>
      <c r="C398" s="8"/>
      <c r="D398" s="8"/>
      <c r="E398" s="8"/>
      <c r="F398" s="8"/>
      <c r="G398" s="8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  <c r="AA398" s="8"/>
      <c r="AB398" s="8"/>
      <c r="AC398" s="8"/>
    </row>
    <row r="399" spans="1:29" ht="12.75" customHeight="1">
      <c r="A399" s="8"/>
      <c r="B399" s="8"/>
      <c r="C399" s="8"/>
      <c r="D399" s="8"/>
      <c r="E399" s="8"/>
      <c r="F399" s="8"/>
      <c r="G399" s="8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  <c r="AA399" s="8"/>
      <c r="AB399" s="8"/>
      <c r="AC399" s="8"/>
    </row>
    <row r="400" spans="1:29" ht="12.75" customHeight="1">
      <c r="A400" s="8"/>
      <c r="B400" s="8"/>
      <c r="C400" s="8"/>
      <c r="D400" s="8"/>
      <c r="E400" s="8"/>
      <c r="F400" s="8"/>
      <c r="G400" s="8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  <c r="AA400" s="8"/>
      <c r="AB400" s="8"/>
      <c r="AC400" s="8"/>
    </row>
    <row r="401" spans="1:29" ht="12.75" customHeight="1">
      <c r="A401" s="8"/>
      <c r="B401" s="8"/>
      <c r="C401" s="8"/>
      <c r="D401" s="8"/>
      <c r="E401" s="8"/>
      <c r="F401" s="8"/>
      <c r="G401" s="8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  <c r="AA401" s="8"/>
      <c r="AB401" s="8"/>
      <c r="AC401" s="8"/>
    </row>
    <row r="402" spans="1:29" ht="12.75" customHeight="1">
      <c r="A402" s="8"/>
      <c r="B402" s="8"/>
      <c r="C402" s="8"/>
      <c r="D402" s="8"/>
      <c r="E402" s="8"/>
      <c r="F402" s="8"/>
      <c r="G402" s="8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  <c r="AA402" s="8"/>
      <c r="AB402" s="8"/>
      <c r="AC402" s="8"/>
    </row>
    <row r="403" spans="1:29" ht="12.75" customHeight="1">
      <c r="A403" s="8"/>
      <c r="B403" s="8"/>
      <c r="C403" s="8"/>
      <c r="D403" s="8"/>
      <c r="E403" s="8"/>
      <c r="F403" s="8"/>
      <c r="G403" s="8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  <c r="AA403" s="8"/>
      <c r="AB403" s="8"/>
      <c r="AC403" s="8"/>
    </row>
    <row r="404" spans="1:29" ht="12.75" customHeight="1">
      <c r="A404" s="8"/>
      <c r="B404" s="8"/>
      <c r="C404" s="8"/>
      <c r="D404" s="8"/>
      <c r="E404" s="8"/>
      <c r="F404" s="8"/>
      <c r="G404" s="8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  <c r="AA404" s="8"/>
      <c r="AB404" s="8"/>
      <c r="AC404" s="8"/>
    </row>
    <row r="405" spans="1:29" ht="12.75" customHeight="1">
      <c r="A405" s="8"/>
      <c r="B405" s="8"/>
      <c r="C405" s="8"/>
      <c r="D405" s="8"/>
      <c r="E405" s="8"/>
      <c r="F405" s="8"/>
      <c r="G405" s="8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  <c r="AA405" s="8"/>
      <c r="AB405" s="8"/>
      <c r="AC405" s="8"/>
    </row>
    <row r="406" spans="1:29" ht="12.75" customHeight="1">
      <c r="A406" s="8"/>
      <c r="B406" s="8"/>
      <c r="C406" s="8"/>
      <c r="D406" s="8"/>
      <c r="E406" s="8"/>
      <c r="F406" s="8"/>
      <c r="G406" s="8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  <c r="AA406" s="8"/>
      <c r="AB406" s="8"/>
      <c r="AC406" s="8"/>
    </row>
    <row r="407" spans="1:29" ht="12.75" customHeight="1">
      <c r="A407" s="8"/>
      <c r="B407" s="8"/>
      <c r="C407" s="8"/>
      <c r="D407" s="8"/>
      <c r="E407" s="8"/>
      <c r="F407" s="8"/>
      <c r="G407" s="8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  <c r="AA407" s="8"/>
      <c r="AB407" s="8"/>
      <c r="AC407" s="8"/>
    </row>
    <row r="408" spans="1:29" ht="12.75" customHeight="1">
      <c r="A408" s="8"/>
      <c r="B408" s="8"/>
      <c r="C408" s="8"/>
      <c r="D408" s="8"/>
      <c r="E408" s="8"/>
      <c r="F408" s="8"/>
      <c r="G408" s="8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  <c r="AA408" s="8"/>
      <c r="AB408" s="8"/>
      <c r="AC408" s="8"/>
    </row>
    <row r="409" spans="1:29" ht="12.75" customHeight="1">
      <c r="A409" s="8"/>
      <c r="B409" s="8"/>
      <c r="C409" s="8"/>
      <c r="D409" s="8"/>
      <c r="E409" s="8"/>
      <c r="F409" s="8"/>
      <c r="G409" s="8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  <c r="AA409" s="8"/>
      <c r="AB409" s="8"/>
      <c r="AC409" s="8"/>
    </row>
    <row r="410" spans="1:29" ht="12.75" customHeight="1">
      <c r="A410" s="8"/>
      <c r="B410" s="8"/>
      <c r="C410" s="8"/>
      <c r="D410" s="8"/>
      <c r="E410" s="8"/>
      <c r="F410" s="8"/>
      <c r="G410" s="8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  <c r="AA410" s="8"/>
      <c r="AB410" s="8"/>
      <c r="AC410" s="8"/>
    </row>
    <row r="411" spans="1:29" ht="12.75" customHeight="1">
      <c r="A411" s="8"/>
      <c r="B411" s="8"/>
      <c r="C411" s="8"/>
      <c r="D411" s="8"/>
      <c r="E411" s="8"/>
      <c r="F411" s="8"/>
      <c r="G411" s="8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  <c r="AA411" s="8"/>
      <c r="AB411" s="8"/>
      <c r="AC411" s="8"/>
    </row>
    <row r="412" spans="1:29" ht="12.75" customHeight="1">
      <c r="A412" s="8"/>
      <c r="B412" s="8"/>
      <c r="C412" s="8"/>
      <c r="D412" s="8"/>
      <c r="E412" s="8"/>
      <c r="F412" s="8"/>
      <c r="G412" s="8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  <c r="AA412" s="8"/>
      <c r="AB412" s="8"/>
      <c r="AC412" s="8"/>
    </row>
    <row r="413" spans="1:29" ht="12.75" customHeight="1">
      <c r="A413" s="8"/>
      <c r="B413" s="8"/>
      <c r="C413" s="8"/>
      <c r="D413" s="8"/>
      <c r="E413" s="8"/>
      <c r="F413" s="8"/>
      <c r="G413" s="8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  <c r="AA413" s="8"/>
      <c r="AB413" s="8"/>
      <c r="AC413" s="8"/>
    </row>
    <row r="414" spans="1:29" ht="12.75" customHeight="1">
      <c r="A414" s="8"/>
      <c r="B414" s="8"/>
      <c r="C414" s="8"/>
      <c r="D414" s="8"/>
      <c r="E414" s="8"/>
      <c r="F414" s="8"/>
      <c r="G414" s="8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  <c r="AA414" s="8"/>
      <c r="AB414" s="8"/>
      <c r="AC414" s="8"/>
    </row>
    <row r="415" spans="1:29" ht="12.75" customHeight="1">
      <c r="A415" s="8"/>
      <c r="B415" s="8"/>
      <c r="C415" s="8"/>
      <c r="D415" s="8"/>
      <c r="E415" s="8"/>
      <c r="F415" s="8"/>
      <c r="G415" s="8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  <c r="AA415" s="8"/>
      <c r="AB415" s="8"/>
      <c r="AC415" s="8"/>
    </row>
    <row r="416" spans="1:29" ht="12.75" customHeight="1">
      <c r="A416" s="8"/>
      <c r="B416" s="8"/>
      <c r="C416" s="8"/>
      <c r="D416" s="8"/>
      <c r="E416" s="8"/>
      <c r="F416" s="8"/>
      <c r="G416" s="8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  <c r="AA416" s="8"/>
      <c r="AB416" s="8"/>
      <c r="AC416" s="8"/>
    </row>
    <row r="417" spans="1:29" ht="12.75" customHeight="1">
      <c r="A417" s="8"/>
      <c r="B417" s="8"/>
      <c r="C417" s="8"/>
      <c r="D417" s="8"/>
      <c r="E417" s="8"/>
      <c r="F417" s="8"/>
      <c r="G417" s="8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  <c r="AA417" s="8"/>
      <c r="AB417" s="8"/>
      <c r="AC417" s="8"/>
    </row>
    <row r="418" spans="1:29" ht="12.75" customHeight="1">
      <c r="A418" s="8"/>
      <c r="B418" s="8"/>
      <c r="C418" s="8"/>
      <c r="D418" s="8"/>
      <c r="E418" s="8"/>
      <c r="F418" s="8"/>
      <c r="G418" s="8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  <c r="AA418" s="8"/>
      <c r="AB418" s="8"/>
      <c r="AC418" s="8"/>
    </row>
    <row r="419" spans="1:29" ht="12.75" customHeight="1">
      <c r="A419" s="8"/>
      <c r="B419" s="8"/>
      <c r="C419" s="8"/>
      <c r="D419" s="8"/>
      <c r="E419" s="8"/>
      <c r="F419" s="8"/>
      <c r="G419" s="8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  <c r="AA419" s="8"/>
      <c r="AB419" s="8"/>
      <c r="AC419" s="8"/>
    </row>
    <row r="420" spans="1:29" ht="12.75" customHeight="1">
      <c r="A420" s="8"/>
      <c r="B420" s="8"/>
      <c r="C420" s="8"/>
      <c r="D420" s="8"/>
      <c r="E420" s="8"/>
      <c r="F420" s="8"/>
      <c r="G420" s="8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  <c r="AA420" s="8"/>
      <c r="AB420" s="8"/>
      <c r="AC420" s="8"/>
    </row>
    <row r="421" spans="1:29" ht="12.75" customHeight="1">
      <c r="A421" s="8"/>
      <c r="B421" s="8"/>
      <c r="C421" s="8"/>
      <c r="D421" s="8"/>
      <c r="E421" s="8"/>
      <c r="F421" s="8"/>
      <c r="G421" s="8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  <c r="AA421" s="8"/>
      <c r="AB421" s="8"/>
      <c r="AC421" s="8"/>
    </row>
    <row r="422" spans="1:29" ht="12.75" customHeight="1">
      <c r="A422" s="8"/>
      <c r="B422" s="8"/>
      <c r="C422" s="8"/>
      <c r="D422" s="8"/>
      <c r="E422" s="8"/>
      <c r="F422" s="8"/>
      <c r="G422" s="8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  <c r="AA422" s="8"/>
      <c r="AB422" s="8"/>
      <c r="AC422" s="8"/>
    </row>
    <row r="423" spans="1:29" ht="12.75" customHeight="1">
      <c r="A423" s="8"/>
      <c r="B423" s="8"/>
      <c r="C423" s="8"/>
      <c r="D423" s="8"/>
      <c r="E423" s="8"/>
      <c r="F423" s="8"/>
      <c r="G423" s="8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  <c r="AA423" s="8"/>
      <c r="AB423" s="8"/>
      <c r="AC423" s="8"/>
    </row>
    <row r="424" spans="1:29" ht="12.75" customHeight="1">
      <c r="A424" s="8"/>
      <c r="B424" s="8"/>
      <c r="C424" s="8"/>
      <c r="D424" s="8"/>
      <c r="E424" s="8"/>
      <c r="F424" s="8"/>
      <c r="G424" s="8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  <c r="AA424" s="8"/>
      <c r="AB424" s="8"/>
      <c r="AC424" s="8"/>
    </row>
    <row r="425" spans="1:29" ht="12.75" customHeight="1">
      <c r="A425" s="8"/>
      <c r="B425" s="8"/>
      <c r="C425" s="8"/>
      <c r="D425" s="8"/>
      <c r="E425" s="8"/>
      <c r="F425" s="8"/>
      <c r="G425" s="8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  <c r="AA425" s="8"/>
      <c r="AB425" s="8"/>
      <c r="AC425" s="8"/>
    </row>
    <row r="426" spans="1:29" ht="12.75" customHeight="1">
      <c r="A426" s="8"/>
      <c r="B426" s="8"/>
      <c r="C426" s="8"/>
      <c r="D426" s="8"/>
      <c r="E426" s="8"/>
      <c r="F426" s="8"/>
      <c r="G426" s="8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  <c r="AA426" s="8"/>
      <c r="AB426" s="8"/>
      <c r="AC426" s="8"/>
    </row>
    <row r="427" spans="1:29" ht="12.75" customHeight="1">
      <c r="A427" s="8"/>
      <c r="B427" s="8"/>
      <c r="C427" s="8"/>
      <c r="D427" s="8"/>
      <c r="E427" s="8"/>
      <c r="F427" s="8"/>
      <c r="G427" s="8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  <c r="AA427" s="8"/>
      <c r="AB427" s="8"/>
      <c r="AC427" s="8"/>
    </row>
    <row r="428" spans="1:29" ht="12.75" customHeight="1">
      <c r="A428" s="8"/>
      <c r="B428" s="8"/>
      <c r="C428" s="8"/>
      <c r="D428" s="8"/>
      <c r="E428" s="8"/>
      <c r="F428" s="8"/>
      <c r="G428" s="8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  <c r="AA428" s="8"/>
      <c r="AB428" s="8"/>
      <c r="AC428" s="8"/>
    </row>
    <row r="429" spans="1:29" ht="12.75" customHeight="1">
      <c r="A429" s="8"/>
      <c r="B429" s="8"/>
      <c r="C429" s="8"/>
      <c r="D429" s="8"/>
      <c r="E429" s="8"/>
      <c r="F429" s="8"/>
      <c r="G429" s="8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  <c r="AA429" s="8"/>
      <c r="AB429" s="8"/>
      <c r="AC429" s="8"/>
    </row>
    <row r="430" spans="1:29" ht="12.75" customHeight="1">
      <c r="A430" s="8"/>
      <c r="B430" s="8"/>
      <c r="C430" s="8"/>
      <c r="D430" s="8"/>
      <c r="E430" s="8"/>
      <c r="F430" s="8"/>
      <c r="G430" s="8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  <c r="AA430" s="8"/>
      <c r="AB430" s="8"/>
      <c r="AC430" s="8"/>
    </row>
    <row r="431" spans="1:29" ht="12.75" customHeight="1">
      <c r="A431" s="8"/>
      <c r="B431" s="8"/>
      <c r="C431" s="8"/>
      <c r="D431" s="8"/>
      <c r="E431" s="8"/>
      <c r="F431" s="8"/>
      <c r="G431" s="8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  <c r="AA431" s="8"/>
      <c r="AB431" s="8"/>
      <c r="AC431" s="8"/>
    </row>
    <row r="432" spans="1:29" ht="12.75" customHeight="1">
      <c r="A432" s="8"/>
      <c r="B432" s="8"/>
      <c r="C432" s="8"/>
      <c r="D432" s="8"/>
      <c r="E432" s="8"/>
      <c r="F432" s="8"/>
      <c r="G432" s="8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  <c r="AA432" s="8"/>
      <c r="AB432" s="8"/>
      <c r="AC432" s="8"/>
    </row>
    <row r="433" spans="1:29" ht="12.75" customHeight="1">
      <c r="A433" s="8"/>
      <c r="B433" s="8"/>
      <c r="C433" s="8"/>
      <c r="D433" s="8"/>
      <c r="E433" s="8"/>
      <c r="F433" s="8"/>
      <c r="G433" s="8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  <c r="AA433" s="8"/>
      <c r="AB433" s="8"/>
      <c r="AC433" s="8"/>
    </row>
    <row r="434" spans="1:29" ht="12.75" customHeight="1">
      <c r="A434" s="8"/>
      <c r="B434" s="8"/>
      <c r="C434" s="8"/>
      <c r="D434" s="8"/>
      <c r="E434" s="8"/>
      <c r="F434" s="8"/>
      <c r="G434" s="8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  <c r="AA434" s="8"/>
      <c r="AB434" s="8"/>
      <c r="AC434" s="8"/>
    </row>
    <row r="435" spans="1:29" ht="12.75" customHeight="1">
      <c r="A435" s="8"/>
      <c r="B435" s="8"/>
      <c r="C435" s="8"/>
      <c r="D435" s="8"/>
      <c r="E435" s="8"/>
      <c r="F435" s="8"/>
      <c r="G435" s="8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  <c r="AA435" s="8"/>
      <c r="AB435" s="8"/>
      <c r="AC435" s="8"/>
    </row>
    <row r="436" spans="1:29" ht="12.75" customHeight="1">
      <c r="A436" s="8"/>
      <c r="B436" s="8"/>
      <c r="C436" s="8"/>
      <c r="D436" s="8"/>
      <c r="E436" s="8"/>
      <c r="F436" s="8"/>
      <c r="G436" s="8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  <c r="AA436" s="8"/>
      <c r="AB436" s="8"/>
      <c r="AC436" s="8"/>
    </row>
    <row r="437" spans="1:29" ht="12.75" customHeight="1">
      <c r="A437" s="8"/>
      <c r="B437" s="8"/>
      <c r="C437" s="8"/>
      <c r="D437" s="8"/>
      <c r="E437" s="8"/>
      <c r="F437" s="8"/>
      <c r="G437" s="8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  <c r="AA437" s="8"/>
      <c r="AB437" s="8"/>
      <c r="AC437" s="8"/>
    </row>
    <row r="438" spans="1:29" ht="12.75" customHeight="1">
      <c r="A438" s="8"/>
      <c r="B438" s="8"/>
      <c r="C438" s="8"/>
      <c r="D438" s="8"/>
      <c r="E438" s="8"/>
      <c r="F438" s="8"/>
      <c r="G438" s="8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  <c r="AA438" s="8"/>
      <c r="AB438" s="8"/>
      <c r="AC438" s="8"/>
    </row>
    <row r="439" spans="1:29" ht="12.75" customHeight="1">
      <c r="A439" s="8"/>
      <c r="B439" s="8"/>
      <c r="C439" s="8"/>
      <c r="D439" s="8"/>
      <c r="E439" s="8"/>
      <c r="F439" s="8"/>
      <c r="G439" s="8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  <c r="AA439" s="8"/>
      <c r="AB439" s="8"/>
      <c r="AC439" s="8"/>
    </row>
    <row r="440" spans="1:29" ht="12.75" customHeight="1">
      <c r="A440" s="8"/>
      <c r="B440" s="8"/>
      <c r="C440" s="8"/>
      <c r="D440" s="8"/>
      <c r="E440" s="8"/>
      <c r="F440" s="8"/>
      <c r="G440" s="8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  <c r="AA440" s="8"/>
      <c r="AB440" s="8"/>
      <c r="AC440" s="8"/>
    </row>
    <row r="441" spans="1:29" ht="12.75" customHeight="1">
      <c r="A441" s="8"/>
      <c r="B441" s="8"/>
      <c r="C441" s="8"/>
      <c r="D441" s="8"/>
      <c r="E441" s="8"/>
      <c r="F441" s="8"/>
      <c r="G441" s="8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  <c r="AA441" s="8"/>
      <c r="AB441" s="8"/>
      <c r="AC441" s="8"/>
    </row>
    <row r="442" spans="1:29" ht="12.75" customHeight="1">
      <c r="A442" s="8"/>
      <c r="B442" s="8"/>
      <c r="C442" s="8"/>
      <c r="D442" s="8"/>
      <c r="E442" s="8"/>
      <c r="F442" s="8"/>
      <c r="G442" s="8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  <c r="AA442" s="8"/>
      <c r="AB442" s="8"/>
      <c r="AC442" s="8"/>
    </row>
    <row r="443" spans="1:29" ht="12.75" customHeight="1">
      <c r="A443" s="8"/>
      <c r="B443" s="8"/>
      <c r="C443" s="8"/>
      <c r="D443" s="8"/>
      <c r="E443" s="8"/>
      <c r="F443" s="8"/>
      <c r="G443" s="8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  <c r="AA443" s="8"/>
      <c r="AB443" s="8"/>
      <c r="AC443" s="8"/>
    </row>
    <row r="444" spans="1:29" ht="12.75" customHeight="1">
      <c r="A444" s="8"/>
      <c r="B444" s="8"/>
      <c r="C444" s="8"/>
      <c r="D444" s="8"/>
      <c r="E444" s="8"/>
      <c r="F444" s="8"/>
      <c r="G444" s="8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  <c r="AA444" s="8"/>
      <c r="AB444" s="8"/>
      <c r="AC444" s="8"/>
    </row>
    <row r="445" spans="1:29" ht="12.75" customHeight="1">
      <c r="A445" s="8"/>
      <c r="B445" s="8"/>
      <c r="C445" s="8"/>
      <c r="D445" s="8"/>
      <c r="E445" s="8"/>
      <c r="F445" s="8"/>
      <c r="G445" s="8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  <c r="AA445" s="8"/>
      <c r="AB445" s="8"/>
      <c r="AC445" s="8"/>
    </row>
    <row r="446" spans="1:29" ht="12.75" customHeight="1">
      <c r="A446" s="8"/>
      <c r="B446" s="8"/>
      <c r="C446" s="8"/>
      <c r="D446" s="8"/>
      <c r="E446" s="8"/>
      <c r="F446" s="8"/>
      <c r="G446" s="8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  <c r="AA446" s="8"/>
      <c r="AB446" s="8"/>
      <c r="AC446" s="8"/>
    </row>
    <row r="447" spans="1:29" ht="12.75" customHeight="1">
      <c r="A447" s="8"/>
      <c r="B447" s="8"/>
      <c r="C447" s="8"/>
      <c r="D447" s="8"/>
      <c r="E447" s="8"/>
      <c r="F447" s="8"/>
      <c r="G447" s="8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  <c r="AA447" s="8"/>
      <c r="AB447" s="8"/>
      <c r="AC447" s="8"/>
    </row>
    <row r="448" spans="1:29" ht="12.75" customHeight="1">
      <c r="A448" s="8"/>
      <c r="B448" s="8"/>
      <c r="C448" s="8"/>
      <c r="D448" s="8"/>
      <c r="E448" s="8"/>
      <c r="F448" s="8"/>
      <c r="G448" s="8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  <c r="AA448" s="8"/>
      <c r="AB448" s="8"/>
      <c r="AC448" s="8"/>
    </row>
    <row r="449" spans="1:29" ht="12.75" customHeight="1">
      <c r="A449" s="8"/>
      <c r="B449" s="8"/>
      <c r="C449" s="8"/>
      <c r="D449" s="8"/>
      <c r="E449" s="8"/>
      <c r="F449" s="8"/>
      <c r="G449" s="8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  <c r="AA449" s="8"/>
      <c r="AB449" s="8"/>
      <c r="AC449" s="8"/>
    </row>
    <row r="450" spans="1:29" ht="12.75" customHeight="1">
      <c r="A450" s="8"/>
      <c r="B450" s="8"/>
      <c r="C450" s="8"/>
      <c r="D450" s="8"/>
      <c r="E450" s="8"/>
      <c r="F450" s="8"/>
      <c r="G450" s="8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  <c r="AA450" s="8"/>
      <c r="AB450" s="8"/>
      <c r="AC450" s="8"/>
    </row>
    <row r="451" spans="1:29" ht="12.75" customHeight="1">
      <c r="A451" s="8"/>
      <c r="B451" s="8"/>
      <c r="C451" s="8"/>
      <c r="D451" s="8"/>
      <c r="E451" s="8"/>
      <c r="F451" s="8"/>
      <c r="G451" s="8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  <c r="AA451" s="8"/>
      <c r="AB451" s="8"/>
      <c r="AC451" s="8"/>
    </row>
    <row r="452" spans="1:29" ht="12.75" customHeight="1">
      <c r="A452" s="8"/>
      <c r="B452" s="8"/>
      <c r="C452" s="8"/>
      <c r="D452" s="8"/>
      <c r="E452" s="8"/>
      <c r="F452" s="8"/>
      <c r="G452" s="8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  <c r="AA452" s="8"/>
      <c r="AB452" s="8"/>
      <c r="AC452" s="8"/>
    </row>
    <row r="453" spans="1:29" ht="12.75" customHeight="1">
      <c r="A453" s="8"/>
      <c r="B453" s="8"/>
      <c r="C453" s="8"/>
      <c r="D453" s="8"/>
      <c r="E453" s="8"/>
      <c r="F453" s="8"/>
      <c r="G453" s="8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  <c r="AA453" s="8"/>
      <c r="AB453" s="8"/>
      <c r="AC453" s="8"/>
    </row>
    <row r="454" spans="1:29" ht="12.75" customHeight="1">
      <c r="A454" s="8"/>
      <c r="B454" s="8"/>
      <c r="C454" s="8"/>
      <c r="D454" s="8"/>
      <c r="E454" s="8"/>
      <c r="F454" s="8"/>
      <c r="G454" s="8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  <c r="AA454" s="8"/>
      <c r="AB454" s="8"/>
      <c r="AC454" s="8"/>
    </row>
    <row r="455" spans="1:29" ht="12.75" customHeight="1">
      <c r="A455" s="8"/>
      <c r="B455" s="8"/>
      <c r="C455" s="8"/>
      <c r="D455" s="8"/>
      <c r="E455" s="8"/>
      <c r="F455" s="8"/>
      <c r="G455" s="8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  <c r="AA455" s="8"/>
      <c r="AB455" s="8"/>
      <c r="AC455" s="8"/>
    </row>
    <row r="456" spans="1:29" ht="12.75" customHeight="1">
      <c r="A456" s="8"/>
      <c r="B456" s="8"/>
      <c r="C456" s="8"/>
      <c r="D456" s="8"/>
      <c r="E456" s="8"/>
      <c r="F456" s="8"/>
      <c r="G456" s="8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  <c r="AA456" s="8"/>
      <c r="AB456" s="8"/>
      <c r="AC456" s="8"/>
    </row>
    <row r="457" spans="1:29" ht="12.75" customHeight="1">
      <c r="A457" s="8"/>
      <c r="B457" s="8"/>
      <c r="C457" s="8"/>
      <c r="D457" s="8"/>
      <c r="E457" s="8"/>
      <c r="F457" s="8"/>
      <c r="G457" s="8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  <c r="AA457" s="8"/>
      <c r="AB457" s="8"/>
      <c r="AC457" s="8"/>
    </row>
    <row r="458" spans="1:29" ht="12.75" customHeight="1">
      <c r="A458" s="8"/>
      <c r="B458" s="8"/>
      <c r="C458" s="8"/>
      <c r="D458" s="8"/>
      <c r="E458" s="8"/>
      <c r="F458" s="8"/>
      <c r="G458" s="8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  <c r="AA458" s="8"/>
      <c r="AB458" s="8"/>
      <c r="AC458" s="8"/>
    </row>
    <row r="459" spans="1:29" ht="12.75" customHeight="1">
      <c r="A459" s="8"/>
      <c r="B459" s="8"/>
      <c r="C459" s="8"/>
      <c r="D459" s="8"/>
      <c r="E459" s="8"/>
      <c r="F459" s="8"/>
      <c r="G459" s="8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  <c r="AA459" s="8"/>
      <c r="AB459" s="8"/>
      <c r="AC459" s="8"/>
    </row>
    <row r="460" spans="1:29" ht="12.75" customHeight="1">
      <c r="A460" s="8"/>
      <c r="B460" s="8"/>
      <c r="C460" s="8"/>
      <c r="D460" s="8"/>
      <c r="E460" s="8"/>
      <c r="F460" s="8"/>
      <c r="G460" s="8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  <c r="AA460" s="8"/>
      <c r="AB460" s="8"/>
      <c r="AC460" s="8"/>
    </row>
    <row r="461" spans="1:29" ht="12.75" customHeight="1">
      <c r="A461" s="8"/>
      <c r="B461" s="8"/>
      <c r="C461" s="8"/>
      <c r="D461" s="8"/>
      <c r="E461" s="8"/>
      <c r="F461" s="8"/>
      <c r="G461" s="8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  <c r="AA461" s="8"/>
      <c r="AB461" s="8"/>
      <c r="AC461" s="8"/>
    </row>
    <row r="462" spans="1:29" ht="12.75" customHeight="1">
      <c r="A462" s="8"/>
      <c r="B462" s="8"/>
      <c r="C462" s="8"/>
      <c r="D462" s="8"/>
      <c r="E462" s="8"/>
      <c r="F462" s="8"/>
      <c r="G462" s="8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  <c r="AA462" s="8"/>
      <c r="AB462" s="8"/>
      <c r="AC462" s="8"/>
    </row>
    <row r="463" spans="1:29" ht="12.75" customHeight="1">
      <c r="A463" s="8"/>
      <c r="B463" s="8"/>
      <c r="C463" s="8"/>
      <c r="D463" s="8"/>
      <c r="E463" s="8"/>
      <c r="F463" s="8"/>
      <c r="G463" s="8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  <c r="AA463" s="8"/>
      <c r="AB463" s="8"/>
      <c r="AC463" s="8"/>
    </row>
    <row r="464" spans="1:29" ht="12.75" customHeight="1">
      <c r="A464" s="8"/>
      <c r="B464" s="8"/>
      <c r="C464" s="8"/>
      <c r="D464" s="8"/>
      <c r="E464" s="8"/>
      <c r="F464" s="8"/>
      <c r="G464" s="8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  <c r="AA464" s="8"/>
      <c r="AB464" s="8"/>
      <c r="AC464" s="8"/>
    </row>
    <row r="465" spans="1:29" ht="12.75" customHeight="1">
      <c r="A465" s="8"/>
      <c r="B465" s="8"/>
      <c r="C465" s="8"/>
      <c r="D465" s="8"/>
      <c r="E465" s="8"/>
      <c r="F465" s="8"/>
      <c r="G465" s="8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  <c r="AA465" s="8"/>
      <c r="AB465" s="8"/>
      <c r="AC465" s="8"/>
    </row>
    <row r="466" spans="1:29" ht="12.75" customHeight="1">
      <c r="A466" s="8"/>
      <c r="B466" s="8"/>
      <c r="C466" s="8"/>
      <c r="D466" s="8"/>
      <c r="E466" s="8"/>
      <c r="F466" s="8"/>
      <c r="G466" s="8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  <c r="AA466" s="8"/>
      <c r="AB466" s="8"/>
      <c r="AC466" s="8"/>
    </row>
    <row r="467" spans="1:29" ht="12.75" customHeight="1">
      <c r="A467" s="8"/>
      <c r="B467" s="8"/>
      <c r="C467" s="8"/>
      <c r="D467" s="8"/>
      <c r="E467" s="8"/>
      <c r="F467" s="8"/>
      <c r="G467" s="8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  <c r="AA467" s="8"/>
      <c r="AB467" s="8"/>
      <c r="AC467" s="8"/>
    </row>
    <row r="468" spans="1:29" ht="12.75" customHeight="1">
      <c r="A468" s="8"/>
      <c r="B468" s="8"/>
      <c r="C468" s="8"/>
      <c r="D468" s="8"/>
      <c r="E468" s="8"/>
      <c r="F468" s="8"/>
      <c r="G468" s="8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  <c r="AA468" s="8"/>
      <c r="AB468" s="8"/>
      <c r="AC468" s="8"/>
    </row>
    <row r="469" spans="1:29" ht="12.75" customHeight="1">
      <c r="A469" s="8"/>
      <c r="B469" s="8"/>
      <c r="C469" s="8"/>
      <c r="D469" s="8"/>
      <c r="E469" s="8"/>
      <c r="F469" s="8"/>
      <c r="G469" s="8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  <c r="AA469" s="8"/>
      <c r="AB469" s="8"/>
      <c r="AC469" s="8"/>
    </row>
    <row r="470" spans="1:29" ht="12.75" customHeight="1">
      <c r="A470" s="8"/>
      <c r="B470" s="8"/>
      <c r="C470" s="8"/>
      <c r="D470" s="8"/>
      <c r="E470" s="8"/>
      <c r="F470" s="8"/>
      <c r="G470" s="8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  <c r="AA470" s="8"/>
      <c r="AB470" s="8"/>
      <c r="AC470" s="8"/>
    </row>
    <row r="471" spans="1:29" ht="12.75" customHeight="1">
      <c r="A471" s="8"/>
      <c r="B471" s="8"/>
      <c r="C471" s="8"/>
      <c r="D471" s="8"/>
      <c r="E471" s="8"/>
      <c r="F471" s="8"/>
      <c r="G471" s="8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  <c r="AA471" s="8"/>
      <c r="AB471" s="8"/>
      <c r="AC471" s="8"/>
    </row>
    <row r="472" spans="1:29" ht="12.75" customHeight="1">
      <c r="A472" s="8"/>
      <c r="B472" s="8"/>
      <c r="C472" s="8"/>
      <c r="D472" s="8"/>
      <c r="E472" s="8"/>
      <c r="F472" s="8"/>
      <c r="G472" s="8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  <c r="AA472" s="8"/>
      <c r="AB472" s="8"/>
      <c r="AC472" s="8"/>
    </row>
    <row r="473" spans="1:29" ht="12.75" customHeight="1">
      <c r="A473" s="8"/>
      <c r="B473" s="8"/>
      <c r="C473" s="8"/>
      <c r="D473" s="8"/>
      <c r="E473" s="8"/>
      <c r="F473" s="8"/>
      <c r="G473" s="8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  <c r="AA473" s="8"/>
      <c r="AB473" s="8"/>
      <c r="AC473" s="8"/>
    </row>
    <row r="474" spans="1:29" ht="12.75" customHeight="1">
      <c r="A474" s="8"/>
      <c r="B474" s="8"/>
      <c r="C474" s="8"/>
      <c r="D474" s="8"/>
      <c r="E474" s="8"/>
      <c r="F474" s="8"/>
      <c r="G474" s="8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  <c r="AA474" s="8"/>
      <c r="AB474" s="8"/>
      <c r="AC474" s="8"/>
    </row>
    <row r="475" spans="1:29" ht="12.75" customHeight="1">
      <c r="A475" s="8"/>
      <c r="B475" s="8"/>
      <c r="C475" s="8"/>
      <c r="D475" s="8"/>
      <c r="E475" s="8"/>
      <c r="F475" s="8"/>
      <c r="G475" s="8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  <c r="AA475" s="8"/>
      <c r="AB475" s="8"/>
      <c r="AC475" s="8"/>
    </row>
    <row r="476" spans="1:29" ht="12.75" customHeight="1">
      <c r="A476" s="8"/>
      <c r="B476" s="8"/>
      <c r="C476" s="8"/>
      <c r="D476" s="8"/>
      <c r="E476" s="8"/>
      <c r="F476" s="8"/>
      <c r="G476" s="8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  <c r="AA476" s="8"/>
      <c r="AB476" s="8"/>
      <c r="AC476" s="8"/>
    </row>
    <row r="477" spans="1:29" ht="12.75" customHeight="1">
      <c r="A477" s="8"/>
      <c r="B477" s="8"/>
      <c r="C477" s="8"/>
      <c r="D477" s="8"/>
      <c r="E477" s="8"/>
      <c r="F477" s="8"/>
      <c r="G477" s="8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  <c r="AA477" s="8"/>
      <c r="AB477" s="8"/>
      <c r="AC477" s="8"/>
    </row>
    <row r="478" spans="1:29" ht="12.75" customHeight="1">
      <c r="A478" s="8"/>
      <c r="B478" s="8"/>
      <c r="C478" s="8"/>
      <c r="D478" s="8"/>
      <c r="E478" s="8"/>
      <c r="F478" s="8"/>
      <c r="G478" s="8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  <c r="AA478" s="8"/>
      <c r="AB478" s="8"/>
      <c r="AC478" s="8"/>
    </row>
    <row r="479" spans="1:29" ht="12.75" customHeight="1">
      <c r="A479" s="8"/>
      <c r="B479" s="8"/>
      <c r="C479" s="8"/>
      <c r="D479" s="8"/>
      <c r="E479" s="8"/>
      <c r="F479" s="8"/>
      <c r="G479" s="8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  <c r="AA479" s="8"/>
      <c r="AB479" s="8"/>
      <c r="AC479" s="8"/>
    </row>
    <row r="480" spans="1:29" ht="12.75" customHeight="1">
      <c r="A480" s="8"/>
      <c r="B480" s="8"/>
      <c r="C480" s="8"/>
      <c r="D480" s="8"/>
      <c r="E480" s="8"/>
      <c r="F480" s="8"/>
      <c r="G480" s="8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  <c r="AA480" s="8"/>
      <c r="AB480" s="8"/>
      <c r="AC480" s="8"/>
    </row>
    <row r="481" spans="1:29" ht="12.75" customHeight="1">
      <c r="A481" s="8"/>
      <c r="B481" s="8"/>
      <c r="C481" s="8"/>
      <c r="D481" s="8"/>
      <c r="E481" s="8"/>
      <c r="F481" s="8"/>
      <c r="G481" s="8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  <c r="AA481" s="8"/>
      <c r="AB481" s="8"/>
      <c r="AC481" s="8"/>
    </row>
    <row r="482" spans="1:29" ht="12.75" customHeight="1">
      <c r="A482" s="8"/>
      <c r="B482" s="8"/>
      <c r="C482" s="8"/>
      <c r="D482" s="8"/>
      <c r="E482" s="8"/>
      <c r="F482" s="8"/>
      <c r="G482" s="8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  <c r="AA482" s="8"/>
      <c r="AB482" s="8"/>
      <c r="AC482" s="8"/>
    </row>
    <row r="483" spans="1:29" ht="12.75" customHeight="1">
      <c r="A483" s="8"/>
      <c r="B483" s="8"/>
      <c r="C483" s="8"/>
      <c r="D483" s="8"/>
      <c r="E483" s="8"/>
      <c r="F483" s="8"/>
      <c r="G483" s="8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  <c r="AA483" s="8"/>
      <c r="AB483" s="8"/>
      <c r="AC483" s="8"/>
    </row>
    <row r="484" spans="1:29" ht="12.75" customHeight="1">
      <c r="A484" s="8"/>
      <c r="B484" s="8"/>
      <c r="C484" s="8"/>
      <c r="D484" s="8"/>
      <c r="E484" s="8"/>
      <c r="F484" s="8"/>
      <c r="G484" s="8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  <c r="AA484" s="8"/>
      <c r="AB484" s="8"/>
      <c r="AC484" s="8"/>
    </row>
    <row r="485" spans="1:29" ht="12.75" customHeight="1">
      <c r="A485" s="8"/>
      <c r="B485" s="8"/>
      <c r="C485" s="8"/>
      <c r="D485" s="8"/>
      <c r="E485" s="8"/>
      <c r="F485" s="8"/>
      <c r="G485" s="8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  <c r="AA485" s="8"/>
      <c r="AB485" s="8"/>
      <c r="AC485" s="8"/>
    </row>
    <row r="486" spans="1:29" ht="12.75" customHeight="1">
      <c r="A486" s="8"/>
      <c r="B486" s="8"/>
      <c r="C486" s="8"/>
      <c r="D486" s="8"/>
      <c r="E486" s="8"/>
      <c r="F486" s="8"/>
      <c r="G486" s="8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  <c r="AA486" s="8"/>
      <c r="AB486" s="8"/>
      <c r="AC486" s="8"/>
    </row>
    <row r="487" spans="1:29" ht="12.75" customHeight="1">
      <c r="A487" s="8"/>
      <c r="B487" s="8"/>
      <c r="C487" s="8"/>
      <c r="D487" s="8"/>
      <c r="E487" s="8"/>
      <c r="F487" s="8"/>
      <c r="G487" s="8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  <c r="AA487" s="8"/>
      <c r="AB487" s="8"/>
      <c r="AC487" s="8"/>
    </row>
    <row r="488" spans="1:29" ht="12.75" customHeight="1">
      <c r="A488" s="8"/>
      <c r="B488" s="8"/>
      <c r="C488" s="8"/>
      <c r="D488" s="8"/>
      <c r="E488" s="8"/>
      <c r="F488" s="8"/>
      <c r="G488" s="8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  <c r="AA488" s="8"/>
      <c r="AB488" s="8"/>
      <c r="AC488" s="8"/>
    </row>
    <row r="489" spans="1:29" ht="12.75" customHeight="1">
      <c r="A489" s="8"/>
      <c r="B489" s="8"/>
      <c r="C489" s="8"/>
      <c r="D489" s="8"/>
      <c r="E489" s="8"/>
      <c r="F489" s="8"/>
      <c r="G489" s="8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  <c r="AA489" s="8"/>
      <c r="AB489" s="8"/>
      <c r="AC489" s="8"/>
    </row>
    <row r="490" spans="1:29" ht="12.75" customHeight="1">
      <c r="A490" s="8"/>
      <c r="B490" s="8"/>
      <c r="C490" s="8"/>
      <c r="D490" s="8"/>
      <c r="E490" s="8"/>
      <c r="F490" s="8"/>
      <c r="G490" s="8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  <c r="AA490" s="8"/>
      <c r="AB490" s="8"/>
      <c r="AC490" s="8"/>
    </row>
    <row r="491" spans="1:29" ht="12.75" customHeight="1">
      <c r="A491" s="8"/>
      <c r="B491" s="8"/>
      <c r="C491" s="8"/>
      <c r="D491" s="8"/>
      <c r="E491" s="8"/>
      <c r="F491" s="8"/>
      <c r="G491" s="8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  <c r="AA491" s="8"/>
      <c r="AB491" s="8"/>
      <c r="AC491" s="8"/>
    </row>
    <row r="492" spans="1:29" ht="12.75" customHeight="1">
      <c r="A492" s="8"/>
      <c r="B492" s="8"/>
      <c r="C492" s="8"/>
      <c r="D492" s="8"/>
      <c r="E492" s="8"/>
      <c r="F492" s="8"/>
      <c r="G492" s="8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  <c r="AA492" s="8"/>
      <c r="AB492" s="8"/>
      <c r="AC492" s="8"/>
    </row>
    <row r="493" spans="1:29" ht="12.75" customHeight="1">
      <c r="A493" s="8"/>
      <c r="B493" s="8"/>
      <c r="C493" s="8"/>
      <c r="D493" s="8"/>
      <c r="E493" s="8"/>
      <c r="F493" s="8"/>
      <c r="G493" s="8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  <c r="AA493" s="8"/>
      <c r="AB493" s="8"/>
      <c r="AC493" s="8"/>
    </row>
    <row r="494" spans="1:29" ht="12.75" customHeight="1">
      <c r="A494" s="8"/>
      <c r="B494" s="8"/>
      <c r="C494" s="8"/>
      <c r="D494" s="8"/>
      <c r="E494" s="8"/>
      <c r="F494" s="8"/>
      <c r="G494" s="8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  <c r="AA494" s="8"/>
      <c r="AB494" s="8"/>
      <c r="AC494" s="8"/>
    </row>
    <row r="495" spans="1:29" ht="12.75" customHeight="1">
      <c r="A495" s="8"/>
      <c r="B495" s="8"/>
      <c r="C495" s="8"/>
      <c r="D495" s="8"/>
      <c r="E495" s="8"/>
      <c r="F495" s="8"/>
      <c r="G495" s="8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  <c r="AA495" s="8"/>
      <c r="AB495" s="8"/>
      <c r="AC495" s="8"/>
    </row>
    <row r="496" spans="1:29" ht="12.75" customHeight="1">
      <c r="A496" s="8"/>
      <c r="B496" s="8"/>
      <c r="C496" s="8"/>
      <c r="D496" s="8"/>
      <c r="E496" s="8"/>
      <c r="F496" s="8"/>
      <c r="G496" s="8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  <c r="AA496" s="8"/>
      <c r="AB496" s="8"/>
      <c r="AC496" s="8"/>
    </row>
    <row r="497" spans="1:29" ht="12.75" customHeight="1">
      <c r="A497" s="8"/>
      <c r="B497" s="8"/>
      <c r="C497" s="8"/>
      <c r="D497" s="8"/>
      <c r="E497" s="8"/>
      <c r="F497" s="8"/>
      <c r="G497" s="8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  <c r="AA497" s="8"/>
      <c r="AB497" s="8"/>
      <c r="AC497" s="8"/>
    </row>
    <row r="498" spans="1:29" ht="12.75" customHeight="1">
      <c r="A498" s="8"/>
      <c r="B498" s="8"/>
      <c r="C498" s="8"/>
      <c r="D498" s="8"/>
      <c r="E498" s="8"/>
      <c r="F498" s="8"/>
      <c r="G498" s="8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  <c r="AA498" s="8"/>
      <c r="AB498" s="8"/>
      <c r="AC498" s="8"/>
    </row>
    <row r="499" spans="1:29" ht="12.75" customHeight="1">
      <c r="A499" s="8"/>
      <c r="B499" s="8"/>
      <c r="C499" s="8"/>
      <c r="D499" s="8"/>
      <c r="E499" s="8"/>
      <c r="F499" s="8"/>
      <c r="G499" s="8"/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  <c r="AA499" s="8"/>
      <c r="AB499" s="8"/>
      <c r="AC499" s="8"/>
    </row>
    <row r="500" spans="1:29" ht="12.75" customHeight="1">
      <c r="A500" s="8"/>
      <c r="B500" s="8"/>
      <c r="C500" s="8"/>
      <c r="D500" s="8"/>
      <c r="E500" s="8"/>
      <c r="F500" s="8"/>
      <c r="G500" s="8"/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  <c r="AA500" s="8"/>
      <c r="AB500" s="8"/>
      <c r="AC500" s="8"/>
    </row>
    <row r="501" spans="1:29" ht="12.75" customHeight="1">
      <c r="A501" s="8"/>
      <c r="B501" s="8"/>
      <c r="C501" s="8"/>
      <c r="D501" s="8"/>
      <c r="E501" s="8"/>
      <c r="F501" s="8"/>
      <c r="G501" s="8"/>
      <c r="H501" s="8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  <c r="AA501" s="8"/>
      <c r="AB501" s="8"/>
      <c r="AC501" s="8"/>
    </row>
    <row r="502" spans="1:29" ht="12.75" customHeight="1">
      <c r="A502" s="8"/>
      <c r="B502" s="8"/>
      <c r="C502" s="8"/>
      <c r="D502" s="8"/>
      <c r="E502" s="8"/>
      <c r="F502" s="8"/>
      <c r="G502" s="8"/>
      <c r="H502" s="8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  <c r="AA502" s="8"/>
      <c r="AB502" s="8"/>
      <c r="AC502" s="8"/>
    </row>
    <row r="503" spans="1:29" ht="12.75" customHeight="1">
      <c r="A503" s="8"/>
      <c r="B503" s="8"/>
      <c r="C503" s="8"/>
      <c r="D503" s="8"/>
      <c r="E503" s="8"/>
      <c r="F503" s="8"/>
      <c r="G503" s="8"/>
      <c r="H503" s="8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  <c r="AA503" s="8"/>
      <c r="AB503" s="8"/>
      <c r="AC503" s="8"/>
    </row>
    <row r="504" spans="1:29" ht="12.75" customHeight="1">
      <c r="A504" s="8"/>
      <c r="B504" s="8"/>
      <c r="C504" s="8"/>
      <c r="D504" s="8"/>
      <c r="E504" s="8"/>
      <c r="F504" s="8"/>
      <c r="G504" s="8"/>
      <c r="H504" s="8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  <c r="AA504" s="8"/>
      <c r="AB504" s="8"/>
      <c r="AC504" s="8"/>
    </row>
    <row r="505" spans="1:29" ht="12.75" customHeight="1">
      <c r="A505" s="8"/>
      <c r="B505" s="8"/>
      <c r="C505" s="8"/>
      <c r="D505" s="8"/>
      <c r="E505" s="8"/>
      <c r="F505" s="8"/>
      <c r="G505" s="8"/>
      <c r="H505" s="8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  <c r="AA505" s="8"/>
      <c r="AB505" s="8"/>
      <c r="AC505" s="8"/>
    </row>
    <row r="506" spans="1:29" ht="12.75" customHeight="1">
      <c r="A506" s="8"/>
      <c r="B506" s="8"/>
      <c r="C506" s="8"/>
      <c r="D506" s="8"/>
      <c r="E506" s="8"/>
      <c r="F506" s="8"/>
      <c r="G506" s="8"/>
      <c r="H506" s="8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  <c r="AA506" s="8"/>
      <c r="AB506" s="8"/>
      <c r="AC506" s="8"/>
    </row>
    <row r="507" spans="1:29" ht="12.75" customHeight="1">
      <c r="A507" s="8"/>
      <c r="B507" s="8"/>
      <c r="C507" s="8"/>
      <c r="D507" s="8"/>
      <c r="E507" s="8"/>
      <c r="F507" s="8"/>
      <c r="G507" s="8"/>
      <c r="H507" s="8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  <c r="AA507" s="8"/>
      <c r="AB507" s="8"/>
      <c r="AC507" s="8"/>
    </row>
    <row r="508" spans="1:29" ht="12.75" customHeight="1">
      <c r="A508" s="8"/>
      <c r="B508" s="8"/>
      <c r="C508" s="8"/>
      <c r="D508" s="8"/>
      <c r="E508" s="8"/>
      <c r="F508" s="8"/>
      <c r="G508" s="8"/>
      <c r="H508" s="8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  <c r="AA508" s="8"/>
      <c r="AB508" s="8"/>
      <c r="AC508" s="8"/>
    </row>
    <row r="509" spans="1:29" ht="12.75" customHeight="1">
      <c r="A509" s="8"/>
      <c r="B509" s="8"/>
      <c r="C509" s="8"/>
      <c r="D509" s="8"/>
      <c r="E509" s="8"/>
      <c r="F509" s="8"/>
      <c r="G509" s="8"/>
      <c r="H509" s="8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  <c r="AA509" s="8"/>
      <c r="AB509" s="8"/>
      <c r="AC509" s="8"/>
    </row>
    <row r="510" spans="1:29" ht="12.75" customHeight="1">
      <c r="A510" s="8"/>
      <c r="B510" s="8"/>
      <c r="C510" s="8"/>
      <c r="D510" s="8"/>
      <c r="E510" s="8"/>
      <c r="F510" s="8"/>
      <c r="G510" s="8"/>
      <c r="H510" s="8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  <c r="AA510" s="8"/>
      <c r="AB510" s="8"/>
      <c r="AC510" s="8"/>
    </row>
    <row r="511" spans="1:29" ht="12.75" customHeight="1">
      <c r="A511" s="8"/>
      <c r="B511" s="8"/>
      <c r="C511" s="8"/>
      <c r="D511" s="8"/>
      <c r="E511" s="8"/>
      <c r="F511" s="8"/>
      <c r="G511" s="8"/>
      <c r="H511" s="8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  <c r="AA511" s="8"/>
      <c r="AB511" s="8"/>
      <c r="AC511" s="8"/>
    </row>
    <row r="512" spans="1:29" ht="12.75" customHeight="1">
      <c r="A512" s="8"/>
      <c r="B512" s="8"/>
      <c r="C512" s="8"/>
      <c r="D512" s="8"/>
      <c r="E512" s="8"/>
      <c r="F512" s="8"/>
      <c r="G512" s="8"/>
      <c r="H512" s="8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  <c r="AA512" s="8"/>
      <c r="AB512" s="8"/>
      <c r="AC512" s="8"/>
    </row>
    <row r="513" spans="1:29" ht="12.75" customHeight="1">
      <c r="A513" s="8"/>
      <c r="B513" s="8"/>
      <c r="C513" s="8"/>
      <c r="D513" s="8"/>
      <c r="E513" s="8"/>
      <c r="F513" s="8"/>
      <c r="G513" s="8"/>
      <c r="H513" s="8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  <c r="AA513" s="8"/>
      <c r="AB513" s="8"/>
      <c r="AC513" s="8"/>
    </row>
    <row r="514" spans="1:29" ht="12.75" customHeight="1">
      <c r="A514" s="8"/>
      <c r="B514" s="8"/>
      <c r="C514" s="8"/>
      <c r="D514" s="8"/>
      <c r="E514" s="8"/>
      <c r="F514" s="8"/>
      <c r="G514" s="8"/>
      <c r="H514" s="8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  <c r="AA514" s="8"/>
      <c r="AB514" s="8"/>
      <c r="AC514" s="8"/>
    </row>
    <row r="515" spans="1:29" ht="12.75" customHeight="1">
      <c r="A515" s="8"/>
      <c r="B515" s="8"/>
      <c r="C515" s="8"/>
      <c r="D515" s="8"/>
      <c r="E515" s="8"/>
      <c r="F515" s="8"/>
      <c r="G515" s="8"/>
      <c r="H515" s="8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  <c r="AA515" s="8"/>
      <c r="AB515" s="8"/>
      <c r="AC515" s="8"/>
    </row>
    <row r="516" spans="1:29" ht="12.75" customHeight="1">
      <c r="A516" s="8"/>
      <c r="B516" s="8"/>
      <c r="C516" s="8"/>
      <c r="D516" s="8"/>
      <c r="E516" s="8"/>
      <c r="F516" s="8"/>
      <c r="G516" s="8"/>
      <c r="H516" s="8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  <c r="AA516" s="8"/>
      <c r="AB516" s="8"/>
      <c r="AC516" s="8"/>
    </row>
    <row r="517" spans="1:29" ht="12.75" customHeight="1">
      <c r="A517" s="8"/>
      <c r="B517" s="8"/>
      <c r="C517" s="8"/>
      <c r="D517" s="8"/>
      <c r="E517" s="8"/>
      <c r="F517" s="8"/>
      <c r="G517" s="8"/>
      <c r="H517" s="8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  <c r="AA517" s="8"/>
      <c r="AB517" s="8"/>
      <c r="AC517" s="8"/>
    </row>
    <row r="518" spans="1:29" ht="12.75" customHeight="1">
      <c r="A518" s="8"/>
      <c r="B518" s="8"/>
      <c r="C518" s="8"/>
      <c r="D518" s="8"/>
      <c r="E518" s="8"/>
      <c r="F518" s="8"/>
      <c r="G518" s="8"/>
      <c r="H518" s="8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  <c r="AA518" s="8"/>
      <c r="AB518" s="8"/>
      <c r="AC518" s="8"/>
    </row>
    <row r="519" spans="1:29" ht="12.75" customHeight="1">
      <c r="A519" s="8"/>
      <c r="B519" s="8"/>
      <c r="C519" s="8"/>
      <c r="D519" s="8"/>
      <c r="E519" s="8"/>
      <c r="F519" s="8"/>
      <c r="G519" s="8"/>
      <c r="H519" s="8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  <c r="AA519" s="8"/>
      <c r="AB519" s="8"/>
      <c r="AC519" s="8"/>
    </row>
    <row r="520" spans="1:29" ht="12.75" customHeight="1">
      <c r="A520" s="8"/>
      <c r="B520" s="8"/>
      <c r="C520" s="8"/>
      <c r="D520" s="8"/>
      <c r="E520" s="8"/>
      <c r="F520" s="8"/>
      <c r="G520" s="8"/>
      <c r="H520" s="8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  <c r="AA520" s="8"/>
      <c r="AB520" s="8"/>
      <c r="AC520" s="8"/>
    </row>
    <row r="521" spans="1:29" ht="12.75" customHeight="1">
      <c r="A521" s="8"/>
      <c r="B521" s="8"/>
      <c r="C521" s="8"/>
      <c r="D521" s="8"/>
      <c r="E521" s="8"/>
      <c r="F521" s="8"/>
      <c r="G521" s="8"/>
      <c r="H521" s="8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  <c r="AA521" s="8"/>
      <c r="AB521" s="8"/>
      <c r="AC521" s="8"/>
    </row>
    <row r="522" spans="1:29" ht="12.75" customHeight="1">
      <c r="A522" s="8"/>
      <c r="B522" s="8"/>
      <c r="C522" s="8"/>
      <c r="D522" s="8"/>
      <c r="E522" s="8"/>
      <c r="F522" s="8"/>
      <c r="G522" s="8"/>
      <c r="H522" s="8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8"/>
      <c r="AA522" s="8"/>
      <c r="AB522" s="8"/>
      <c r="AC522" s="8"/>
    </row>
    <row r="523" spans="1:29" ht="12.75" customHeight="1">
      <c r="A523" s="8"/>
      <c r="B523" s="8"/>
      <c r="C523" s="8"/>
      <c r="D523" s="8"/>
      <c r="E523" s="8"/>
      <c r="F523" s="8"/>
      <c r="G523" s="8"/>
      <c r="H523" s="8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  <c r="AA523" s="8"/>
      <c r="AB523" s="8"/>
      <c r="AC523" s="8"/>
    </row>
    <row r="524" spans="1:29" ht="12.75" customHeight="1">
      <c r="A524" s="8"/>
      <c r="B524" s="8"/>
      <c r="C524" s="8"/>
      <c r="D524" s="8"/>
      <c r="E524" s="8"/>
      <c r="F524" s="8"/>
      <c r="G524" s="8"/>
      <c r="H524" s="8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  <c r="AA524" s="8"/>
      <c r="AB524" s="8"/>
      <c r="AC524" s="8"/>
    </row>
    <row r="525" spans="1:29" ht="12.75" customHeight="1">
      <c r="A525" s="8"/>
      <c r="B525" s="8"/>
      <c r="C525" s="8"/>
      <c r="D525" s="8"/>
      <c r="E525" s="8"/>
      <c r="F525" s="8"/>
      <c r="G525" s="8"/>
      <c r="H525" s="8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  <c r="AA525" s="8"/>
      <c r="AB525" s="8"/>
      <c r="AC525" s="8"/>
    </row>
    <row r="526" spans="1:29" ht="12.75" customHeight="1">
      <c r="A526" s="8"/>
      <c r="B526" s="8"/>
      <c r="C526" s="8"/>
      <c r="D526" s="8"/>
      <c r="E526" s="8"/>
      <c r="F526" s="8"/>
      <c r="G526" s="8"/>
      <c r="H526" s="8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  <c r="AA526" s="8"/>
      <c r="AB526" s="8"/>
      <c r="AC526" s="8"/>
    </row>
    <row r="527" spans="1:29" ht="12.75" customHeight="1">
      <c r="A527" s="8"/>
      <c r="B527" s="8"/>
      <c r="C527" s="8"/>
      <c r="D527" s="8"/>
      <c r="E527" s="8"/>
      <c r="F527" s="8"/>
      <c r="G527" s="8"/>
      <c r="H527" s="8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  <c r="AA527" s="8"/>
      <c r="AB527" s="8"/>
      <c r="AC527" s="8"/>
    </row>
    <row r="528" spans="1:29" ht="12.75" customHeight="1">
      <c r="A528" s="8"/>
      <c r="B528" s="8"/>
      <c r="C528" s="8"/>
      <c r="D528" s="8"/>
      <c r="E528" s="8"/>
      <c r="F528" s="8"/>
      <c r="G528" s="8"/>
      <c r="H528" s="8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  <c r="AA528" s="8"/>
      <c r="AB528" s="8"/>
      <c r="AC528" s="8"/>
    </row>
    <row r="529" spans="1:29" ht="12.75" customHeight="1">
      <c r="A529" s="8"/>
      <c r="B529" s="8"/>
      <c r="C529" s="8"/>
      <c r="D529" s="8"/>
      <c r="E529" s="8"/>
      <c r="F529" s="8"/>
      <c r="G529" s="8"/>
      <c r="H529" s="8"/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  <c r="AA529" s="8"/>
      <c r="AB529" s="8"/>
      <c r="AC529" s="8"/>
    </row>
    <row r="530" spans="1:29" ht="12.75" customHeight="1">
      <c r="A530" s="8"/>
      <c r="B530" s="8"/>
      <c r="C530" s="8"/>
      <c r="D530" s="8"/>
      <c r="E530" s="8"/>
      <c r="F530" s="8"/>
      <c r="G530" s="8"/>
      <c r="H530" s="8"/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  <c r="AA530" s="8"/>
      <c r="AB530" s="8"/>
      <c r="AC530" s="8"/>
    </row>
    <row r="531" spans="1:29" ht="12.75" customHeight="1">
      <c r="A531" s="8"/>
      <c r="B531" s="8"/>
      <c r="C531" s="8"/>
      <c r="D531" s="8"/>
      <c r="E531" s="8"/>
      <c r="F531" s="8"/>
      <c r="G531" s="8"/>
      <c r="H531" s="8"/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  <c r="AA531" s="8"/>
      <c r="AB531" s="8"/>
      <c r="AC531" s="8"/>
    </row>
    <row r="532" spans="1:29" ht="12.75" customHeight="1">
      <c r="A532" s="8"/>
      <c r="B532" s="8"/>
      <c r="C532" s="8"/>
      <c r="D532" s="8"/>
      <c r="E532" s="8"/>
      <c r="F532" s="8"/>
      <c r="G532" s="8"/>
      <c r="H532" s="8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  <c r="AA532" s="8"/>
      <c r="AB532" s="8"/>
      <c r="AC532" s="8"/>
    </row>
    <row r="533" spans="1:29" ht="12.75" customHeight="1">
      <c r="A533" s="8"/>
      <c r="B533" s="8"/>
      <c r="C533" s="8"/>
      <c r="D533" s="8"/>
      <c r="E533" s="8"/>
      <c r="F533" s="8"/>
      <c r="G533" s="8"/>
      <c r="H533" s="8"/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  <c r="AA533" s="8"/>
      <c r="AB533" s="8"/>
      <c r="AC533" s="8"/>
    </row>
    <row r="534" spans="1:29" ht="12.75" customHeight="1">
      <c r="A534" s="8"/>
      <c r="B534" s="8"/>
      <c r="C534" s="8"/>
      <c r="D534" s="8"/>
      <c r="E534" s="8"/>
      <c r="F534" s="8"/>
      <c r="G534" s="8"/>
      <c r="H534" s="8"/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  <c r="AA534" s="8"/>
      <c r="AB534" s="8"/>
      <c r="AC534" s="8"/>
    </row>
    <row r="535" spans="1:29" ht="12.75" customHeight="1">
      <c r="A535" s="8"/>
      <c r="B535" s="8"/>
      <c r="C535" s="8"/>
      <c r="D535" s="8"/>
      <c r="E535" s="8"/>
      <c r="F535" s="8"/>
      <c r="G535" s="8"/>
      <c r="H535" s="8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  <c r="AA535" s="8"/>
      <c r="AB535" s="8"/>
      <c r="AC535" s="8"/>
    </row>
    <row r="536" spans="1:29" ht="12.75" customHeight="1">
      <c r="A536" s="8"/>
      <c r="B536" s="8"/>
      <c r="C536" s="8"/>
      <c r="D536" s="8"/>
      <c r="E536" s="8"/>
      <c r="F536" s="8"/>
      <c r="G536" s="8"/>
      <c r="H536" s="8"/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  <c r="AA536" s="8"/>
      <c r="AB536" s="8"/>
      <c r="AC536" s="8"/>
    </row>
    <row r="537" spans="1:29" ht="12.75" customHeight="1">
      <c r="A537" s="8"/>
      <c r="B537" s="8"/>
      <c r="C537" s="8"/>
      <c r="D537" s="8"/>
      <c r="E537" s="8"/>
      <c r="F537" s="8"/>
      <c r="G537" s="8"/>
      <c r="H537" s="8"/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  <c r="AA537" s="8"/>
      <c r="AB537" s="8"/>
      <c r="AC537" s="8"/>
    </row>
    <row r="538" spans="1:29" ht="12.75" customHeight="1">
      <c r="A538" s="8"/>
      <c r="B538" s="8"/>
      <c r="C538" s="8"/>
      <c r="D538" s="8"/>
      <c r="E538" s="8"/>
      <c r="F538" s="8"/>
      <c r="G538" s="8"/>
      <c r="H538" s="8"/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8"/>
      <c r="AA538" s="8"/>
      <c r="AB538" s="8"/>
      <c r="AC538" s="8"/>
    </row>
    <row r="539" spans="1:29" ht="12.75" customHeight="1">
      <c r="A539" s="8"/>
      <c r="B539" s="8"/>
      <c r="C539" s="8"/>
      <c r="D539" s="8"/>
      <c r="E539" s="8"/>
      <c r="F539" s="8"/>
      <c r="G539" s="8"/>
      <c r="H539" s="8"/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  <c r="AA539" s="8"/>
      <c r="AB539" s="8"/>
      <c r="AC539" s="8"/>
    </row>
    <row r="540" spans="1:29" ht="12.75" customHeight="1">
      <c r="A540" s="8"/>
      <c r="B540" s="8"/>
      <c r="C540" s="8"/>
      <c r="D540" s="8"/>
      <c r="E540" s="8"/>
      <c r="F540" s="8"/>
      <c r="G540" s="8"/>
      <c r="H540" s="8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8"/>
      <c r="AA540" s="8"/>
      <c r="AB540" s="8"/>
      <c r="AC540" s="8"/>
    </row>
    <row r="541" spans="1:29" ht="12.75" customHeight="1">
      <c r="A541" s="8"/>
      <c r="B541" s="8"/>
      <c r="C541" s="8"/>
      <c r="D541" s="8"/>
      <c r="E541" s="8"/>
      <c r="F541" s="8"/>
      <c r="G541" s="8"/>
      <c r="H541" s="8"/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  <c r="AA541" s="8"/>
      <c r="AB541" s="8"/>
      <c r="AC541" s="8"/>
    </row>
    <row r="542" spans="1:29" ht="12.75" customHeight="1">
      <c r="A542" s="8"/>
      <c r="B542" s="8"/>
      <c r="C542" s="8"/>
      <c r="D542" s="8"/>
      <c r="E542" s="8"/>
      <c r="F542" s="8"/>
      <c r="G542" s="8"/>
      <c r="H542" s="8"/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8"/>
      <c r="AA542" s="8"/>
      <c r="AB542" s="8"/>
      <c r="AC542" s="8"/>
    </row>
    <row r="543" spans="1:29" ht="12.75" customHeight="1">
      <c r="A543" s="8"/>
      <c r="B543" s="8"/>
      <c r="C543" s="8"/>
      <c r="D543" s="8"/>
      <c r="E543" s="8"/>
      <c r="F543" s="8"/>
      <c r="G543" s="8"/>
      <c r="H543" s="8"/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8"/>
      <c r="AA543" s="8"/>
      <c r="AB543" s="8"/>
      <c r="AC543" s="8"/>
    </row>
    <row r="544" spans="1:29" ht="12.75" customHeight="1">
      <c r="A544" s="8"/>
      <c r="B544" s="8"/>
      <c r="C544" s="8"/>
      <c r="D544" s="8"/>
      <c r="E544" s="8"/>
      <c r="F544" s="8"/>
      <c r="G544" s="8"/>
      <c r="H544" s="8"/>
      <c r="I544" s="8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  <c r="AA544" s="8"/>
      <c r="AB544" s="8"/>
      <c r="AC544" s="8"/>
    </row>
    <row r="545" spans="1:29" ht="12.75" customHeight="1">
      <c r="A545" s="8"/>
      <c r="B545" s="8"/>
      <c r="C545" s="8"/>
      <c r="D545" s="8"/>
      <c r="E545" s="8"/>
      <c r="F545" s="8"/>
      <c r="G545" s="8"/>
      <c r="H545" s="8"/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  <c r="AA545" s="8"/>
      <c r="AB545" s="8"/>
      <c r="AC545" s="8"/>
    </row>
    <row r="546" spans="1:29" ht="12.75" customHeight="1">
      <c r="A546" s="8"/>
      <c r="B546" s="8"/>
      <c r="C546" s="8"/>
      <c r="D546" s="8"/>
      <c r="E546" s="8"/>
      <c r="F546" s="8"/>
      <c r="G546" s="8"/>
      <c r="H546" s="8"/>
      <c r="I546" s="8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8"/>
      <c r="AA546" s="8"/>
      <c r="AB546" s="8"/>
      <c r="AC546" s="8"/>
    </row>
    <row r="547" spans="1:29" ht="12.75" customHeight="1">
      <c r="A547" s="8"/>
      <c r="B547" s="8"/>
      <c r="C547" s="8"/>
      <c r="D547" s="8"/>
      <c r="E547" s="8"/>
      <c r="F547" s="8"/>
      <c r="G547" s="8"/>
      <c r="H547" s="8"/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  <c r="AA547" s="8"/>
      <c r="AB547" s="8"/>
      <c r="AC547" s="8"/>
    </row>
    <row r="548" spans="1:29" ht="12.75" customHeight="1">
      <c r="A548" s="8"/>
      <c r="B548" s="8"/>
      <c r="C548" s="8"/>
      <c r="D548" s="8"/>
      <c r="E548" s="8"/>
      <c r="F548" s="8"/>
      <c r="G548" s="8"/>
      <c r="H548" s="8"/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  <c r="AA548" s="8"/>
      <c r="AB548" s="8"/>
      <c r="AC548" s="8"/>
    </row>
    <row r="549" spans="1:29" ht="12.75" customHeight="1">
      <c r="A549" s="8"/>
      <c r="B549" s="8"/>
      <c r="C549" s="8"/>
      <c r="D549" s="8"/>
      <c r="E549" s="8"/>
      <c r="F549" s="8"/>
      <c r="G549" s="8"/>
      <c r="H549" s="8"/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  <c r="AA549" s="8"/>
      <c r="AB549" s="8"/>
      <c r="AC549" s="8"/>
    </row>
    <row r="550" spans="1:29" ht="12.75" customHeight="1">
      <c r="A550" s="8"/>
      <c r="B550" s="8"/>
      <c r="C550" s="8"/>
      <c r="D550" s="8"/>
      <c r="E550" s="8"/>
      <c r="F550" s="8"/>
      <c r="G550" s="8"/>
      <c r="H550" s="8"/>
      <c r="I550" s="8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8"/>
      <c r="AA550" s="8"/>
      <c r="AB550" s="8"/>
      <c r="AC550" s="8"/>
    </row>
    <row r="551" spans="1:29" ht="12.75" customHeight="1">
      <c r="A551" s="8"/>
      <c r="B551" s="8"/>
      <c r="C551" s="8"/>
      <c r="D551" s="8"/>
      <c r="E551" s="8"/>
      <c r="F551" s="8"/>
      <c r="G551" s="8"/>
      <c r="H551" s="8"/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  <c r="AA551" s="8"/>
      <c r="AB551" s="8"/>
      <c r="AC551" s="8"/>
    </row>
    <row r="552" spans="1:29" ht="12.75" customHeight="1">
      <c r="A552" s="8"/>
      <c r="B552" s="8"/>
      <c r="C552" s="8"/>
      <c r="D552" s="8"/>
      <c r="E552" s="8"/>
      <c r="F552" s="8"/>
      <c r="G552" s="8"/>
      <c r="H552" s="8"/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8"/>
      <c r="AA552" s="8"/>
      <c r="AB552" s="8"/>
      <c r="AC552" s="8"/>
    </row>
    <row r="553" spans="1:29" ht="12.75" customHeight="1">
      <c r="A553" s="8"/>
      <c r="B553" s="8"/>
      <c r="C553" s="8"/>
      <c r="D553" s="8"/>
      <c r="E553" s="8"/>
      <c r="F553" s="8"/>
      <c r="G553" s="8"/>
      <c r="H553" s="8"/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  <c r="AA553" s="8"/>
      <c r="AB553" s="8"/>
      <c r="AC553" s="8"/>
    </row>
    <row r="554" spans="1:29" ht="12.75" customHeight="1">
      <c r="A554" s="8"/>
      <c r="B554" s="8"/>
      <c r="C554" s="8"/>
      <c r="D554" s="8"/>
      <c r="E554" s="8"/>
      <c r="F554" s="8"/>
      <c r="G554" s="8"/>
      <c r="H554" s="8"/>
      <c r="I554" s="8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8"/>
      <c r="AA554" s="8"/>
      <c r="AB554" s="8"/>
      <c r="AC554" s="8"/>
    </row>
    <row r="555" spans="1:29" ht="12.75" customHeight="1">
      <c r="A555" s="8"/>
      <c r="B555" s="8"/>
      <c r="C555" s="8"/>
      <c r="D555" s="8"/>
      <c r="E555" s="8"/>
      <c r="F555" s="8"/>
      <c r="G555" s="8"/>
      <c r="H555" s="8"/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/>
      <c r="AA555" s="8"/>
      <c r="AB555" s="8"/>
      <c r="AC555" s="8"/>
    </row>
    <row r="556" spans="1:29" ht="12.75" customHeight="1">
      <c r="A556" s="8"/>
      <c r="B556" s="8"/>
      <c r="C556" s="8"/>
      <c r="D556" s="8"/>
      <c r="E556" s="8"/>
      <c r="F556" s="8"/>
      <c r="G556" s="8"/>
      <c r="H556" s="8"/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8"/>
      <c r="AA556" s="8"/>
      <c r="AB556" s="8"/>
      <c r="AC556" s="8"/>
    </row>
    <row r="557" spans="1:29" ht="12.75" customHeight="1">
      <c r="A557" s="8"/>
      <c r="B557" s="8"/>
      <c r="C557" s="8"/>
      <c r="D557" s="8"/>
      <c r="E557" s="8"/>
      <c r="F557" s="8"/>
      <c r="G557" s="8"/>
      <c r="H557" s="8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  <c r="AA557" s="8"/>
      <c r="AB557" s="8"/>
      <c r="AC557" s="8"/>
    </row>
    <row r="558" spans="1:29" ht="12.75" customHeight="1">
      <c r="A558" s="8"/>
      <c r="B558" s="8"/>
      <c r="C558" s="8"/>
      <c r="D558" s="8"/>
      <c r="E558" s="8"/>
      <c r="F558" s="8"/>
      <c r="G558" s="8"/>
      <c r="H558" s="8"/>
      <c r="I558" s="8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8"/>
      <c r="AA558" s="8"/>
      <c r="AB558" s="8"/>
      <c r="AC558" s="8"/>
    </row>
    <row r="559" spans="1:29" ht="12.75" customHeight="1">
      <c r="A559" s="8"/>
      <c r="B559" s="8"/>
      <c r="C559" s="8"/>
      <c r="D559" s="8"/>
      <c r="E559" s="8"/>
      <c r="F559" s="8"/>
      <c r="G559" s="8"/>
      <c r="H559" s="8"/>
      <c r="I559" s="8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8"/>
      <c r="AA559" s="8"/>
      <c r="AB559" s="8"/>
      <c r="AC559" s="8"/>
    </row>
    <row r="560" spans="1:29" ht="12.75" customHeight="1">
      <c r="A560" s="8"/>
      <c r="B560" s="8"/>
      <c r="C560" s="8"/>
      <c r="D560" s="8"/>
      <c r="E560" s="8"/>
      <c r="F560" s="8"/>
      <c r="G560" s="8"/>
      <c r="H560" s="8"/>
      <c r="I560" s="8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8"/>
      <c r="AA560" s="8"/>
      <c r="AB560" s="8"/>
      <c r="AC560" s="8"/>
    </row>
    <row r="561" spans="1:29" ht="12.75" customHeight="1">
      <c r="A561" s="8"/>
      <c r="B561" s="8"/>
      <c r="C561" s="8"/>
      <c r="D561" s="8"/>
      <c r="E561" s="8"/>
      <c r="F561" s="8"/>
      <c r="G561" s="8"/>
      <c r="H561" s="8"/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8"/>
      <c r="AA561" s="8"/>
      <c r="AB561" s="8"/>
      <c r="AC561" s="8"/>
    </row>
    <row r="562" spans="1:29" ht="12.75" customHeight="1">
      <c r="A562" s="8"/>
      <c r="B562" s="8"/>
      <c r="C562" s="8"/>
      <c r="D562" s="8"/>
      <c r="E562" s="8"/>
      <c r="F562" s="8"/>
      <c r="G562" s="8"/>
      <c r="H562" s="8"/>
      <c r="I562" s="8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8"/>
      <c r="AA562" s="8"/>
      <c r="AB562" s="8"/>
      <c r="AC562" s="8"/>
    </row>
    <row r="563" spans="1:29" ht="12.75" customHeight="1">
      <c r="A563" s="8"/>
      <c r="B563" s="8"/>
      <c r="C563" s="8"/>
      <c r="D563" s="8"/>
      <c r="E563" s="8"/>
      <c r="F563" s="8"/>
      <c r="G563" s="8"/>
      <c r="H563" s="8"/>
      <c r="I563" s="8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8"/>
      <c r="AA563" s="8"/>
      <c r="AB563" s="8"/>
      <c r="AC563" s="8"/>
    </row>
    <row r="564" spans="1:29" ht="12.75" customHeight="1">
      <c r="A564" s="8"/>
      <c r="B564" s="8"/>
      <c r="C564" s="8"/>
      <c r="D564" s="8"/>
      <c r="E564" s="8"/>
      <c r="F564" s="8"/>
      <c r="G564" s="8"/>
      <c r="H564" s="8"/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8"/>
      <c r="AA564" s="8"/>
      <c r="AB564" s="8"/>
      <c r="AC564" s="8"/>
    </row>
    <row r="565" spans="1:29" ht="12.75" customHeight="1">
      <c r="A565" s="8"/>
      <c r="B565" s="8"/>
      <c r="C565" s="8"/>
      <c r="D565" s="8"/>
      <c r="E565" s="8"/>
      <c r="F565" s="8"/>
      <c r="G565" s="8"/>
      <c r="H565" s="8"/>
      <c r="I565" s="8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8"/>
      <c r="AA565" s="8"/>
      <c r="AB565" s="8"/>
      <c r="AC565" s="8"/>
    </row>
    <row r="566" spans="1:29" ht="12.75" customHeight="1">
      <c r="A566" s="8"/>
      <c r="B566" s="8"/>
      <c r="C566" s="8"/>
      <c r="D566" s="8"/>
      <c r="E566" s="8"/>
      <c r="F566" s="8"/>
      <c r="G566" s="8"/>
      <c r="H566" s="8"/>
      <c r="I566" s="8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8"/>
      <c r="AA566" s="8"/>
      <c r="AB566" s="8"/>
      <c r="AC566" s="8"/>
    </row>
    <row r="567" spans="1:29" ht="12.75" customHeight="1">
      <c r="A567" s="8"/>
      <c r="B567" s="8"/>
      <c r="C567" s="8"/>
      <c r="D567" s="8"/>
      <c r="E567" s="8"/>
      <c r="F567" s="8"/>
      <c r="G567" s="8"/>
      <c r="H567" s="8"/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8"/>
      <c r="AA567" s="8"/>
      <c r="AB567" s="8"/>
      <c r="AC567" s="8"/>
    </row>
    <row r="568" spans="1:29" ht="12.75" customHeight="1">
      <c r="A568" s="8"/>
      <c r="B568" s="8"/>
      <c r="C568" s="8"/>
      <c r="D568" s="8"/>
      <c r="E568" s="8"/>
      <c r="F568" s="8"/>
      <c r="G568" s="8"/>
      <c r="H568" s="8"/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8"/>
      <c r="AA568" s="8"/>
      <c r="AB568" s="8"/>
      <c r="AC568" s="8"/>
    </row>
    <row r="569" spans="1:29" ht="12.75" customHeight="1">
      <c r="A569" s="8"/>
      <c r="B569" s="8"/>
      <c r="C569" s="8"/>
      <c r="D569" s="8"/>
      <c r="E569" s="8"/>
      <c r="F569" s="8"/>
      <c r="G569" s="8"/>
      <c r="H569" s="8"/>
      <c r="I569" s="8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8"/>
      <c r="AA569" s="8"/>
      <c r="AB569" s="8"/>
      <c r="AC569" s="8"/>
    </row>
    <row r="570" spans="1:29" ht="12.75" customHeight="1">
      <c r="A570" s="8"/>
      <c r="B570" s="8"/>
      <c r="C570" s="8"/>
      <c r="D570" s="8"/>
      <c r="E570" s="8"/>
      <c r="F570" s="8"/>
      <c r="G570" s="8"/>
      <c r="H570" s="8"/>
      <c r="I570" s="8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8"/>
      <c r="AA570" s="8"/>
      <c r="AB570" s="8"/>
      <c r="AC570" s="8"/>
    </row>
    <row r="571" spans="1:29" ht="12.75" customHeight="1">
      <c r="A571" s="8"/>
      <c r="B571" s="8"/>
      <c r="C571" s="8"/>
      <c r="D571" s="8"/>
      <c r="E571" s="8"/>
      <c r="F571" s="8"/>
      <c r="G571" s="8"/>
      <c r="H571" s="8"/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/>
      <c r="AA571" s="8"/>
      <c r="AB571" s="8"/>
      <c r="AC571" s="8"/>
    </row>
    <row r="572" spans="1:29" ht="12.75" customHeight="1">
      <c r="A572" s="8"/>
      <c r="B572" s="8"/>
      <c r="C572" s="8"/>
      <c r="D572" s="8"/>
      <c r="E572" s="8"/>
      <c r="F572" s="8"/>
      <c r="G572" s="8"/>
      <c r="H572" s="8"/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8"/>
      <c r="AA572" s="8"/>
      <c r="AB572" s="8"/>
      <c r="AC572" s="8"/>
    </row>
    <row r="573" spans="1:29" ht="12.75" customHeight="1">
      <c r="A573" s="8"/>
      <c r="B573" s="8"/>
      <c r="C573" s="8"/>
      <c r="D573" s="8"/>
      <c r="E573" s="8"/>
      <c r="F573" s="8"/>
      <c r="G573" s="8"/>
      <c r="H573" s="8"/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8"/>
      <c r="AA573" s="8"/>
      <c r="AB573" s="8"/>
      <c r="AC573" s="8"/>
    </row>
    <row r="574" spans="1:29" ht="12.75" customHeight="1">
      <c r="A574" s="8"/>
      <c r="B574" s="8"/>
      <c r="C574" s="8"/>
      <c r="D574" s="8"/>
      <c r="E574" s="8"/>
      <c r="F574" s="8"/>
      <c r="G574" s="8"/>
      <c r="H574" s="8"/>
      <c r="I574" s="8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8"/>
      <c r="AA574" s="8"/>
      <c r="AB574" s="8"/>
      <c r="AC574" s="8"/>
    </row>
    <row r="575" spans="1:29" ht="12.75" customHeight="1">
      <c r="A575" s="8"/>
      <c r="B575" s="8"/>
      <c r="C575" s="8"/>
      <c r="D575" s="8"/>
      <c r="E575" s="8"/>
      <c r="F575" s="8"/>
      <c r="G575" s="8"/>
      <c r="H575" s="8"/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8"/>
      <c r="AA575" s="8"/>
      <c r="AB575" s="8"/>
      <c r="AC575" s="8"/>
    </row>
    <row r="576" spans="1:29" ht="12.75" customHeight="1">
      <c r="A576" s="8"/>
      <c r="B576" s="8"/>
      <c r="C576" s="8"/>
      <c r="D576" s="8"/>
      <c r="E576" s="8"/>
      <c r="F576" s="8"/>
      <c r="G576" s="8"/>
      <c r="H576" s="8"/>
      <c r="I576" s="8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8"/>
      <c r="AA576" s="8"/>
      <c r="AB576" s="8"/>
      <c r="AC576" s="8"/>
    </row>
    <row r="577" spans="1:29" ht="12.75" customHeight="1">
      <c r="A577" s="8"/>
      <c r="B577" s="8"/>
      <c r="C577" s="8"/>
      <c r="D577" s="8"/>
      <c r="E577" s="8"/>
      <c r="F577" s="8"/>
      <c r="G577" s="8"/>
      <c r="H577" s="8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8"/>
      <c r="AA577" s="8"/>
      <c r="AB577" s="8"/>
      <c r="AC577" s="8"/>
    </row>
    <row r="578" spans="1:29" ht="12.75" customHeight="1">
      <c r="A578" s="8"/>
      <c r="B578" s="8"/>
      <c r="C578" s="8"/>
      <c r="D578" s="8"/>
      <c r="E578" s="8"/>
      <c r="F578" s="8"/>
      <c r="G578" s="8"/>
      <c r="H578" s="8"/>
      <c r="I578" s="8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8"/>
      <c r="AA578" s="8"/>
      <c r="AB578" s="8"/>
      <c r="AC578" s="8"/>
    </row>
    <row r="579" spans="1:29" ht="12.75" customHeight="1">
      <c r="A579" s="8"/>
      <c r="B579" s="8"/>
      <c r="C579" s="8"/>
      <c r="D579" s="8"/>
      <c r="E579" s="8"/>
      <c r="F579" s="8"/>
      <c r="G579" s="8"/>
      <c r="H579" s="8"/>
      <c r="I579" s="8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8"/>
      <c r="AA579" s="8"/>
      <c r="AB579" s="8"/>
      <c r="AC579" s="8"/>
    </row>
    <row r="580" spans="1:29" ht="12.75" customHeight="1">
      <c r="A580" s="8"/>
      <c r="B580" s="8"/>
      <c r="C580" s="8"/>
      <c r="D580" s="8"/>
      <c r="E580" s="8"/>
      <c r="F580" s="8"/>
      <c r="G580" s="8"/>
      <c r="H580" s="8"/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8"/>
      <c r="AA580" s="8"/>
      <c r="AB580" s="8"/>
      <c r="AC580" s="8"/>
    </row>
    <row r="581" spans="1:29" ht="12.75" customHeight="1">
      <c r="A581" s="8"/>
      <c r="B581" s="8"/>
      <c r="C581" s="8"/>
      <c r="D581" s="8"/>
      <c r="E581" s="8"/>
      <c r="F581" s="8"/>
      <c r="G581" s="8"/>
      <c r="H581" s="8"/>
      <c r="I581" s="8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8"/>
      <c r="AA581" s="8"/>
      <c r="AB581" s="8"/>
      <c r="AC581" s="8"/>
    </row>
    <row r="582" spans="1:29" ht="12.75" customHeight="1">
      <c r="A582" s="8"/>
      <c r="B582" s="8"/>
      <c r="C582" s="8"/>
      <c r="D582" s="8"/>
      <c r="E582" s="8"/>
      <c r="F582" s="8"/>
      <c r="G582" s="8"/>
      <c r="H582" s="8"/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8"/>
      <c r="AA582" s="8"/>
      <c r="AB582" s="8"/>
      <c r="AC582" s="8"/>
    </row>
    <row r="583" spans="1:29" ht="12.75" customHeight="1">
      <c r="A583" s="8"/>
      <c r="B583" s="8"/>
      <c r="C583" s="8"/>
      <c r="D583" s="8"/>
      <c r="E583" s="8"/>
      <c r="F583" s="8"/>
      <c r="G583" s="8"/>
      <c r="H583" s="8"/>
      <c r="I583" s="8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8"/>
      <c r="AA583" s="8"/>
      <c r="AB583" s="8"/>
      <c r="AC583" s="8"/>
    </row>
    <row r="584" spans="1:29" ht="12.75" customHeight="1">
      <c r="A584" s="8"/>
      <c r="B584" s="8"/>
      <c r="C584" s="8"/>
      <c r="D584" s="8"/>
      <c r="E584" s="8"/>
      <c r="F584" s="8"/>
      <c r="G584" s="8"/>
      <c r="H584" s="8"/>
      <c r="I584" s="8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8"/>
      <c r="AA584" s="8"/>
      <c r="AB584" s="8"/>
      <c r="AC584" s="8"/>
    </row>
    <row r="585" spans="1:29" ht="12.75" customHeight="1">
      <c r="A585" s="8"/>
      <c r="B585" s="8"/>
      <c r="C585" s="8"/>
      <c r="D585" s="8"/>
      <c r="E585" s="8"/>
      <c r="F585" s="8"/>
      <c r="G585" s="8"/>
      <c r="H585" s="8"/>
      <c r="I585" s="8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8"/>
      <c r="AA585" s="8"/>
      <c r="AB585" s="8"/>
      <c r="AC585" s="8"/>
    </row>
    <row r="586" spans="1:29" ht="12.75" customHeight="1">
      <c r="A586" s="8"/>
      <c r="B586" s="8"/>
      <c r="C586" s="8"/>
      <c r="D586" s="8"/>
      <c r="E586" s="8"/>
      <c r="F586" s="8"/>
      <c r="G586" s="8"/>
      <c r="H586" s="8"/>
      <c r="I586" s="8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8"/>
      <c r="AA586" s="8"/>
      <c r="AB586" s="8"/>
      <c r="AC586" s="8"/>
    </row>
    <row r="587" spans="1:29" ht="12.75" customHeight="1">
      <c r="A587" s="8"/>
      <c r="B587" s="8"/>
      <c r="C587" s="8"/>
      <c r="D587" s="8"/>
      <c r="E587" s="8"/>
      <c r="F587" s="8"/>
      <c r="G587" s="8"/>
      <c r="H587" s="8"/>
      <c r="I587" s="8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8"/>
      <c r="AA587" s="8"/>
      <c r="AB587" s="8"/>
      <c r="AC587" s="8"/>
    </row>
    <row r="588" spans="1:29" ht="12.75" customHeight="1">
      <c r="A588" s="8"/>
      <c r="B588" s="8"/>
      <c r="C588" s="8"/>
      <c r="D588" s="8"/>
      <c r="E588" s="8"/>
      <c r="F588" s="8"/>
      <c r="G588" s="8"/>
      <c r="H588" s="8"/>
      <c r="I588" s="8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8"/>
      <c r="AA588" s="8"/>
      <c r="AB588" s="8"/>
      <c r="AC588" s="8"/>
    </row>
    <row r="589" spans="1:29" ht="12.75" customHeight="1">
      <c r="A589" s="8"/>
      <c r="B589" s="8"/>
      <c r="C589" s="8"/>
      <c r="D589" s="8"/>
      <c r="E589" s="8"/>
      <c r="F589" s="8"/>
      <c r="G589" s="8"/>
      <c r="H589" s="8"/>
      <c r="I589" s="8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8"/>
      <c r="AA589" s="8"/>
      <c r="AB589" s="8"/>
      <c r="AC589" s="8"/>
    </row>
    <row r="590" spans="1:29" ht="12.75" customHeight="1">
      <c r="A590" s="8"/>
      <c r="B590" s="8"/>
      <c r="C590" s="8"/>
      <c r="D590" s="8"/>
      <c r="E590" s="8"/>
      <c r="F590" s="8"/>
      <c r="G590" s="8"/>
      <c r="H590" s="8"/>
      <c r="I590" s="8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8"/>
      <c r="AA590" s="8"/>
      <c r="AB590" s="8"/>
      <c r="AC590" s="8"/>
    </row>
    <row r="591" spans="1:29" ht="12.75" customHeight="1">
      <c r="A591" s="8"/>
      <c r="B591" s="8"/>
      <c r="C591" s="8"/>
      <c r="D591" s="8"/>
      <c r="E591" s="8"/>
      <c r="F591" s="8"/>
      <c r="G591" s="8"/>
      <c r="H591" s="8"/>
      <c r="I591" s="8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8"/>
      <c r="AA591" s="8"/>
      <c r="AB591" s="8"/>
      <c r="AC591" s="8"/>
    </row>
    <row r="592" spans="1:29" ht="12.75" customHeight="1">
      <c r="A592" s="8"/>
      <c r="B592" s="8"/>
      <c r="C592" s="8"/>
      <c r="D592" s="8"/>
      <c r="E592" s="8"/>
      <c r="F592" s="8"/>
      <c r="G592" s="8"/>
      <c r="H592" s="8"/>
      <c r="I592" s="8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8"/>
      <c r="AA592" s="8"/>
      <c r="AB592" s="8"/>
      <c r="AC592" s="8"/>
    </row>
    <row r="593" spans="1:29" ht="12.75" customHeight="1">
      <c r="A593" s="8"/>
      <c r="B593" s="8"/>
      <c r="C593" s="8"/>
      <c r="D593" s="8"/>
      <c r="E593" s="8"/>
      <c r="F593" s="8"/>
      <c r="G593" s="8"/>
      <c r="H593" s="8"/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8"/>
      <c r="AA593" s="8"/>
      <c r="AB593" s="8"/>
      <c r="AC593" s="8"/>
    </row>
    <row r="594" spans="1:29" ht="12.75" customHeight="1">
      <c r="A594" s="8"/>
      <c r="B594" s="8"/>
      <c r="C594" s="8"/>
      <c r="D594" s="8"/>
      <c r="E594" s="8"/>
      <c r="F594" s="8"/>
      <c r="G594" s="8"/>
      <c r="H594" s="8"/>
      <c r="I594" s="8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8"/>
      <c r="AA594" s="8"/>
      <c r="AB594" s="8"/>
      <c r="AC594" s="8"/>
    </row>
    <row r="595" spans="1:29" ht="12.75" customHeight="1">
      <c r="A595" s="8"/>
      <c r="B595" s="8"/>
      <c r="C595" s="8"/>
      <c r="D595" s="8"/>
      <c r="E595" s="8"/>
      <c r="F595" s="8"/>
      <c r="G595" s="8"/>
      <c r="H595" s="8"/>
      <c r="I595" s="8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8"/>
      <c r="AA595" s="8"/>
      <c r="AB595" s="8"/>
      <c r="AC595" s="8"/>
    </row>
    <row r="596" spans="1:29" ht="12.75" customHeight="1">
      <c r="A596" s="8"/>
      <c r="B596" s="8"/>
      <c r="C596" s="8"/>
      <c r="D596" s="8"/>
      <c r="E596" s="8"/>
      <c r="F596" s="8"/>
      <c r="G596" s="8"/>
      <c r="H596" s="8"/>
      <c r="I596" s="8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8"/>
      <c r="AA596" s="8"/>
      <c r="AB596" s="8"/>
      <c r="AC596" s="8"/>
    </row>
    <row r="597" spans="1:29" ht="12.75" customHeight="1">
      <c r="A597" s="8"/>
      <c r="B597" s="8"/>
      <c r="C597" s="8"/>
      <c r="D597" s="8"/>
      <c r="E597" s="8"/>
      <c r="F597" s="8"/>
      <c r="G597" s="8"/>
      <c r="H597" s="8"/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8"/>
      <c r="AA597" s="8"/>
      <c r="AB597" s="8"/>
      <c r="AC597" s="8"/>
    </row>
    <row r="598" spans="1:29" ht="12.75" customHeight="1">
      <c r="A598" s="8"/>
      <c r="B598" s="8"/>
      <c r="C598" s="8"/>
      <c r="D598" s="8"/>
      <c r="E598" s="8"/>
      <c r="F598" s="8"/>
      <c r="G598" s="8"/>
      <c r="H598" s="8"/>
      <c r="I598" s="8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8"/>
      <c r="AA598" s="8"/>
      <c r="AB598" s="8"/>
      <c r="AC598" s="8"/>
    </row>
    <row r="599" spans="1:29" ht="12.75" customHeight="1">
      <c r="A599" s="8"/>
      <c r="B599" s="8"/>
      <c r="C599" s="8"/>
      <c r="D599" s="8"/>
      <c r="E599" s="8"/>
      <c r="F599" s="8"/>
      <c r="G599" s="8"/>
      <c r="H599" s="8"/>
      <c r="I599" s="8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8"/>
      <c r="AA599" s="8"/>
      <c r="AB599" s="8"/>
      <c r="AC599" s="8"/>
    </row>
    <row r="600" spans="1:29" ht="12.75" customHeight="1">
      <c r="A600" s="8"/>
      <c r="B600" s="8"/>
      <c r="C600" s="8"/>
      <c r="D600" s="8"/>
      <c r="E600" s="8"/>
      <c r="F600" s="8"/>
      <c r="G600" s="8"/>
      <c r="H600" s="8"/>
      <c r="I600" s="8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  <c r="Z600" s="8"/>
      <c r="AA600" s="8"/>
      <c r="AB600" s="8"/>
      <c r="AC600" s="8"/>
    </row>
    <row r="601" spans="1:29" ht="12.75" customHeight="1">
      <c r="A601" s="8"/>
      <c r="B601" s="8"/>
      <c r="C601" s="8"/>
      <c r="D601" s="8"/>
      <c r="E601" s="8"/>
      <c r="F601" s="8"/>
      <c r="G601" s="8"/>
      <c r="H601" s="8"/>
      <c r="I601" s="8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8"/>
      <c r="AA601" s="8"/>
      <c r="AB601" s="8"/>
      <c r="AC601" s="8"/>
    </row>
    <row r="602" spans="1:29" ht="12.75" customHeight="1">
      <c r="A602" s="8"/>
      <c r="B602" s="8"/>
      <c r="C602" s="8"/>
      <c r="D602" s="8"/>
      <c r="E602" s="8"/>
      <c r="F602" s="8"/>
      <c r="G602" s="8"/>
      <c r="H602" s="8"/>
      <c r="I602" s="8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8"/>
      <c r="AA602" s="8"/>
      <c r="AB602" s="8"/>
      <c r="AC602" s="8"/>
    </row>
    <row r="603" spans="1:29" ht="12.75" customHeight="1">
      <c r="A603" s="8"/>
      <c r="B603" s="8"/>
      <c r="C603" s="8"/>
      <c r="D603" s="8"/>
      <c r="E603" s="8"/>
      <c r="F603" s="8"/>
      <c r="G603" s="8"/>
      <c r="H603" s="8"/>
      <c r="I603" s="8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8"/>
      <c r="AA603" s="8"/>
      <c r="AB603" s="8"/>
      <c r="AC603" s="8"/>
    </row>
    <row r="604" spans="1:29" ht="12.75" customHeight="1">
      <c r="A604" s="8"/>
      <c r="B604" s="8"/>
      <c r="C604" s="8"/>
      <c r="D604" s="8"/>
      <c r="E604" s="8"/>
      <c r="F604" s="8"/>
      <c r="G604" s="8"/>
      <c r="H604" s="8"/>
      <c r="I604" s="8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8"/>
      <c r="AA604" s="8"/>
      <c r="AB604" s="8"/>
      <c r="AC604" s="8"/>
    </row>
    <row r="605" spans="1:29" ht="12.75" customHeight="1">
      <c r="A605" s="8"/>
      <c r="B605" s="8"/>
      <c r="C605" s="8"/>
      <c r="D605" s="8"/>
      <c r="E605" s="8"/>
      <c r="F605" s="8"/>
      <c r="G605" s="8"/>
      <c r="H605" s="8"/>
      <c r="I605" s="8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8"/>
      <c r="AA605" s="8"/>
      <c r="AB605" s="8"/>
      <c r="AC605" s="8"/>
    </row>
    <row r="606" spans="1:29" ht="12.75" customHeight="1">
      <c r="A606" s="8"/>
      <c r="B606" s="8"/>
      <c r="C606" s="8"/>
      <c r="D606" s="8"/>
      <c r="E606" s="8"/>
      <c r="F606" s="8"/>
      <c r="G606" s="8"/>
      <c r="H606" s="8"/>
      <c r="I606" s="8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8"/>
      <c r="AA606" s="8"/>
      <c r="AB606" s="8"/>
      <c r="AC606" s="8"/>
    </row>
    <row r="607" spans="1:29" ht="12.75" customHeight="1">
      <c r="A607" s="8"/>
      <c r="B607" s="8"/>
      <c r="C607" s="8"/>
      <c r="D607" s="8"/>
      <c r="E607" s="8"/>
      <c r="F607" s="8"/>
      <c r="G607" s="8"/>
      <c r="H607" s="8"/>
      <c r="I607" s="8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8"/>
      <c r="AA607" s="8"/>
      <c r="AB607" s="8"/>
      <c r="AC607" s="8"/>
    </row>
    <row r="608" spans="1:29" ht="12.75" customHeight="1">
      <c r="A608" s="8"/>
      <c r="B608" s="8"/>
      <c r="C608" s="8"/>
      <c r="D608" s="8"/>
      <c r="E608" s="8"/>
      <c r="F608" s="8"/>
      <c r="G608" s="8"/>
      <c r="H608" s="8"/>
      <c r="I608" s="8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8"/>
      <c r="AA608" s="8"/>
      <c r="AB608" s="8"/>
      <c r="AC608" s="8"/>
    </row>
    <row r="609" spans="1:29" ht="12.75" customHeight="1">
      <c r="A609" s="8"/>
      <c r="B609" s="8"/>
      <c r="C609" s="8"/>
      <c r="D609" s="8"/>
      <c r="E609" s="8"/>
      <c r="F609" s="8"/>
      <c r="G609" s="8"/>
      <c r="H609" s="8"/>
      <c r="I609" s="8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8"/>
      <c r="AA609" s="8"/>
      <c r="AB609" s="8"/>
      <c r="AC609" s="8"/>
    </row>
    <row r="610" spans="1:29" ht="12.75" customHeight="1">
      <c r="A610" s="8"/>
      <c r="B610" s="8"/>
      <c r="C610" s="8"/>
      <c r="D610" s="8"/>
      <c r="E610" s="8"/>
      <c r="F610" s="8"/>
      <c r="G610" s="8"/>
      <c r="H610" s="8"/>
      <c r="I610" s="8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8"/>
      <c r="AA610" s="8"/>
      <c r="AB610" s="8"/>
      <c r="AC610" s="8"/>
    </row>
    <row r="611" spans="1:29" ht="12.75" customHeight="1">
      <c r="A611" s="8"/>
      <c r="B611" s="8"/>
      <c r="C611" s="8"/>
      <c r="D611" s="8"/>
      <c r="E611" s="8"/>
      <c r="F611" s="8"/>
      <c r="G611" s="8"/>
      <c r="H611" s="8"/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8"/>
      <c r="AA611" s="8"/>
      <c r="AB611" s="8"/>
      <c r="AC611" s="8"/>
    </row>
    <row r="612" spans="1:29" ht="12.75" customHeight="1">
      <c r="A612" s="8"/>
      <c r="B612" s="8"/>
      <c r="C612" s="8"/>
      <c r="D612" s="8"/>
      <c r="E612" s="8"/>
      <c r="F612" s="8"/>
      <c r="G612" s="8"/>
      <c r="H612" s="8"/>
      <c r="I612" s="8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8"/>
      <c r="AA612" s="8"/>
      <c r="AB612" s="8"/>
      <c r="AC612" s="8"/>
    </row>
    <row r="613" spans="1:29" ht="12.75" customHeight="1">
      <c r="A613" s="8"/>
      <c r="B613" s="8"/>
      <c r="C613" s="8"/>
      <c r="D613" s="8"/>
      <c r="E613" s="8"/>
      <c r="F613" s="8"/>
      <c r="G613" s="8"/>
      <c r="H613" s="8"/>
      <c r="I613" s="8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8"/>
      <c r="AA613" s="8"/>
      <c r="AB613" s="8"/>
      <c r="AC613" s="8"/>
    </row>
    <row r="614" spans="1:29" ht="12.75" customHeight="1">
      <c r="A614" s="8"/>
      <c r="B614" s="8"/>
      <c r="C614" s="8"/>
      <c r="D614" s="8"/>
      <c r="E614" s="8"/>
      <c r="F614" s="8"/>
      <c r="G614" s="8"/>
      <c r="H614" s="8"/>
      <c r="I614" s="8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8"/>
      <c r="AA614" s="8"/>
      <c r="AB614" s="8"/>
      <c r="AC614" s="8"/>
    </row>
    <row r="615" spans="1:29" ht="12.75" customHeight="1">
      <c r="A615" s="8"/>
      <c r="B615" s="8"/>
      <c r="C615" s="8"/>
      <c r="D615" s="8"/>
      <c r="E615" s="8"/>
      <c r="F615" s="8"/>
      <c r="G615" s="8"/>
      <c r="H615" s="8"/>
      <c r="I615" s="8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8"/>
      <c r="AA615" s="8"/>
      <c r="AB615" s="8"/>
      <c r="AC615" s="8"/>
    </row>
    <row r="616" spans="1:29" ht="12.75" customHeight="1">
      <c r="A616" s="8"/>
      <c r="B616" s="8"/>
      <c r="C616" s="8"/>
      <c r="D616" s="8"/>
      <c r="E616" s="8"/>
      <c r="F616" s="8"/>
      <c r="G616" s="8"/>
      <c r="H616" s="8"/>
      <c r="I616" s="8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8"/>
      <c r="AA616" s="8"/>
      <c r="AB616" s="8"/>
      <c r="AC616" s="8"/>
    </row>
    <row r="617" spans="1:29" ht="12.75" customHeight="1">
      <c r="A617" s="8"/>
      <c r="B617" s="8"/>
      <c r="C617" s="8"/>
      <c r="D617" s="8"/>
      <c r="E617" s="8"/>
      <c r="F617" s="8"/>
      <c r="G617" s="8"/>
      <c r="H617" s="8"/>
      <c r="I617" s="8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8"/>
      <c r="AA617" s="8"/>
      <c r="AB617" s="8"/>
      <c r="AC617" s="8"/>
    </row>
    <row r="618" spans="1:29" ht="12.75" customHeight="1">
      <c r="A618" s="8"/>
      <c r="B618" s="8"/>
      <c r="C618" s="8"/>
      <c r="D618" s="8"/>
      <c r="E618" s="8"/>
      <c r="F618" s="8"/>
      <c r="G618" s="8"/>
      <c r="H618" s="8"/>
      <c r="I618" s="8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8"/>
      <c r="AA618" s="8"/>
      <c r="AB618" s="8"/>
      <c r="AC618" s="8"/>
    </row>
    <row r="619" spans="1:29" ht="12.75" customHeight="1">
      <c r="A619" s="8"/>
      <c r="B619" s="8"/>
      <c r="C619" s="8"/>
      <c r="D619" s="8"/>
      <c r="E619" s="8"/>
      <c r="F619" s="8"/>
      <c r="G619" s="8"/>
      <c r="H619" s="8"/>
      <c r="I619" s="8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8"/>
      <c r="AA619" s="8"/>
      <c r="AB619" s="8"/>
      <c r="AC619" s="8"/>
    </row>
    <row r="620" spans="1:29" ht="12.75" customHeight="1">
      <c r="A620" s="8"/>
      <c r="B620" s="8"/>
      <c r="C620" s="8"/>
      <c r="D620" s="8"/>
      <c r="E620" s="8"/>
      <c r="F620" s="8"/>
      <c r="G620" s="8"/>
      <c r="H620" s="8"/>
      <c r="I620" s="8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8"/>
      <c r="AA620" s="8"/>
      <c r="AB620" s="8"/>
      <c r="AC620" s="8"/>
    </row>
    <row r="621" spans="1:29" ht="12.75" customHeight="1">
      <c r="A621" s="8"/>
      <c r="B621" s="8"/>
      <c r="C621" s="8"/>
      <c r="D621" s="8"/>
      <c r="E621" s="8"/>
      <c r="F621" s="8"/>
      <c r="G621" s="8"/>
      <c r="H621" s="8"/>
      <c r="I621" s="8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8"/>
      <c r="AA621" s="8"/>
      <c r="AB621" s="8"/>
      <c r="AC621" s="8"/>
    </row>
    <row r="622" spans="1:29" ht="12.75" customHeight="1">
      <c r="A622" s="8"/>
      <c r="B622" s="8"/>
      <c r="C622" s="8"/>
      <c r="D622" s="8"/>
      <c r="E622" s="8"/>
      <c r="F622" s="8"/>
      <c r="G622" s="8"/>
      <c r="H622" s="8"/>
      <c r="I622" s="8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  <c r="Z622" s="8"/>
      <c r="AA622" s="8"/>
      <c r="AB622" s="8"/>
      <c r="AC622" s="8"/>
    </row>
    <row r="623" spans="1:29" ht="12.75" customHeight="1">
      <c r="A623" s="8"/>
      <c r="B623" s="8"/>
      <c r="C623" s="8"/>
      <c r="D623" s="8"/>
      <c r="E623" s="8"/>
      <c r="F623" s="8"/>
      <c r="G623" s="8"/>
      <c r="H623" s="8"/>
      <c r="I623" s="8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8"/>
      <c r="AA623" s="8"/>
      <c r="AB623" s="8"/>
      <c r="AC623" s="8"/>
    </row>
    <row r="624" spans="1:29" ht="12.75" customHeight="1">
      <c r="A624" s="8"/>
      <c r="B624" s="8"/>
      <c r="C624" s="8"/>
      <c r="D624" s="8"/>
      <c r="E624" s="8"/>
      <c r="F624" s="8"/>
      <c r="G624" s="8"/>
      <c r="H624" s="8"/>
      <c r="I624" s="8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8"/>
      <c r="AA624" s="8"/>
      <c r="AB624" s="8"/>
      <c r="AC624" s="8"/>
    </row>
    <row r="625" spans="1:29" ht="12.75" customHeight="1">
      <c r="A625" s="8"/>
      <c r="B625" s="8"/>
      <c r="C625" s="8"/>
      <c r="D625" s="8"/>
      <c r="E625" s="8"/>
      <c r="F625" s="8"/>
      <c r="G625" s="8"/>
      <c r="H625" s="8"/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  <c r="AA625" s="8"/>
      <c r="AB625" s="8"/>
      <c r="AC625" s="8"/>
    </row>
    <row r="626" spans="1:29" ht="12.75" customHeight="1">
      <c r="A626" s="8"/>
      <c r="B626" s="8"/>
      <c r="C626" s="8"/>
      <c r="D626" s="8"/>
      <c r="E626" s="8"/>
      <c r="F626" s="8"/>
      <c r="G626" s="8"/>
      <c r="H626" s="8"/>
      <c r="I626" s="8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8"/>
      <c r="AA626" s="8"/>
      <c r="AB626" s="8"/>
      <c r="AC626" s="8"/>
    </row>
    <row r="627" spans="1:29" ht="12.75" customHeight="1">
      <c r="A627" s="8"/>
      <c r="B627" s="8"/>
      <c r="C627" s="8"/>
      <c r="D627" s="8"/>
      <c r="E627" s="8"/>
      <c r="F627" s="8"/>
      <c r="G627" s="8"/>
      <c r="H627" s="8"/>
      <c r="I627" s="8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8"/>
      <c r="AA627" s="8"/>
      <c r="AB627" s="8"/>
      <c r="AC627" s="8"/>
    </row>
    <row r="628" spans="1:29" ht="12.75" customHeight="1">
      <c r="A628" s="8"/>
      <c r="B628" s="8"/>
      <c r="C628" s="8"/>
      <c r="D628" s="8"/>
      <c r="E628" s="8"/>
      <c r="F628" s="8"/>
      <c r="G628" s="8"/>
      <c r="H628" s="8"/>
      <c r="I628" s="8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8"/>
      <c r="AA628" s="8"/>
      <c r="AB628" s="8"/>
      <c r="AC628" s="8"/>
    </row>
    <row r="629" spans="1:29" ht="12.75" customHeight="1">
      <c r="A629" s="8"/>
      <c r="B629" s="8"/>
      <c r="C629" s="8"/>
      <c r="D629" s="8"/>
      <c r="E629" s="8"/>
      <c r="F629" s="8"/>
      <c r="G629" s="8"/>
      <c r="H629" s="8"/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8"/>
      <c r="AA629" s="8"/>
      <c r="AB629" s="8"/>
      <c r="AC629" s="8"/>
    </row>
    <row r="630" spans="1:29" ht="12.75" customHeight="1">
      <c r="A630" s="8"/>
      <c r="B630" s="8"/>
      <c r="C630" s="8"/>
      <c r="D630" s="8"/>
      <c r="E630" s="8"/>
      <c r="F630" s="8"/>
      <c r="G630" s="8"/>
      <c r="H630" s="8"/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  <c r="Z630" s="8"/>
      <c r="AA630" s="8"/>
      <c r="AB630" s="8"/>
      <c r="AC630" s="8"/>
    </row>
    <row r="631" spans="1:29" ht="12.75" customHeight="1">
      <c r="A631" s="8"/>
      <c r="B631" s="8"/>
      <c r="C631" s="8"/>
      <c r="D631" s="8"/>
      <c r="E631" s="8"/>
      <c r="F631" s="8"/>
      <c r="G631" s="8"/>
      <c r="H631" s="8"/>
      <c r="I631" s="8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8"/>
      <c r="AA631" s="8"/>
      <c r="AB631" s="8"/>
      <c r="AC631" s="8"/>
    </row>
    <row r="632" spans="1:29" ht="12.75" customHeight="1">
      <c r="A632" s="8"/>
      <c r="B632" s="8"/>
      <c r="C632" s="8"/>
      <c r="D632" s="8"/>
      <c r="E632" s="8"/>
      <c r="F632" s="8"/>
      <c r="G632" s="8"/>
      <c r="H632" s="8"/>
      <c r="I632" s="8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  <c r="Z632" s="8"/>
      <c r="AA632" s="8"/>
      <c r="AB632" s="8"/>
      <c r="AC632" s="8"/>
    </row>
    <row r="633" spans="1:29" ht="12.75" customHeight="1">
      <c r="A633" s="8"/>
      <c r="B633" s="8"/>
      <c r="C633" s="8"/>
      <c r="D633" s="8"/>
      <c r="E633" s="8"/>
      <c r="F633" s="8"/>
      <c r="G633" s="8"/>
      <c r="H633" s="8"/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8"/>
      <c r="AA633" s="8"/>
      <c r="AB633" s="8"/>
      <c r="AC633" s="8"/>
    </row>
    <row r="634" spans="1:29" ht="12.75" customHeight="1">
      <c r="A634" s="8"/>
      <c r="B634" s="8"/>
      <c r="C634" s="8"/>
      <c r="D634" s="8"/>
      <c r="E634" s="8"/>
      <c r="F634" s="8"/>
      <c r="G634" s="8"/>
      <c r="H634" s="8"/>
      <c r="I634" s="8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8"/>
      <c r="AA634" s="8"/>
      <c r="AB634" s="8"/>
      <c r="AC634" s="8"/>
    </row>
    <row r="635" spans="1:29" ht="12.75" customHeight="1">
      <c r="A635" s="8"/>
      <c r="B635" s="8"/>
      <c r="C635" s="8"/>
      <c r="D635" s="8"/>
      <c r="E635" s="8"/>
      <c r="F635" s="8"/>
      <c r="G635" s="8"/>
      <c r="H635" s="8"/>
      <c r="I635" s="8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  <c r="Z635" s="8"/>
      <c r="AA635" s="8"/>
      <c r="AB635" s="8"/>
      <c r="AC635" s="8"/>
    </row>
    <row r="636" spans="1:29" ht="12.75" customHeight="1">
      <c r="A636" s="8"/>
      <c r="B636" s="8"/>
      <c r="C636" s="8"/>
      <c r="D636" s="8"/>
      <c r="E636" s="8"/>
      <c r="F636" s="8"/>
      <c r="G636" s="8"/>
      <c r="H636" s="8"/>
      <c r="I636" s="8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8"/>
      <c r="AA636" s="8"/>
      <c r="AB636" s="8"/>
      <c r="AC636" s="8"/>
    </row>
    <row r="637" spans="1:29" ht="12.75" customHeight="1">
      <c r="A637" s="8"/>
      <c r="B637" s="8"/>
      <c r="C637" s="8"/>
      <c r="D637" s="8"/>
      <c r="E637" s="8"/>
      <c r="F637" s="8"/>
      <c r="G637" s="8"/>
      <c r="H637" s="8"/>
      <c r="I637" s="8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8"/>
      <c r="AA637" s="8"/>
      <c r="AB637" s="8"/>
      <c r="AC637" s="8"/>
    </row>
    <row r="638" spans="1:29" ht="12.75" customHeight="1">
      <c r="A638" s="8"/>
      <c r="B638" s="8"/>
      <c r="C638" s="8"/>
      <c r="D638" s="8"/>
      <c r="E638" s="8"/>
      <c r="F638" s="8"/>
      <c r="G638" s="8"/>
      <c r="H638" s="8"/>
      <c r="I638" s="8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  <c r="Z638" s="8"/>
      <c r="AA638" s="8"/>
      <c r="AB638" s="8"/>
      <c r="AC638" s="8"/>
    </row>
    <row r="639" spans="1:29" ht="12.75" customHeight="1">
      <c r="A639" s="8"/>
      <c r="B639" s="8"/>
      <c r="C639" s="8"/>
      <c r="D639" s="8"/>
      <c r="E639" s="8"/>
      <c r="F639" s="8"/>
      <c r="G639" s="8"/>
      <c r="H639" s="8"/>
      <c r="I639" s="8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8"/>
      <c r="AA639" s="8"/>
      <c r="AB639" s="8"/>
      <c r="AC639" s="8"/>
    </row>
    <row r="640" spans="1:29" ht="12.75" customHeight="1">
      <c r="A640" s="8"/>
      <c r="B640" s="8"/>
      <c r="C640" s="8"/>
      <c r="D640" s="8"/>
      <c r="E640" s="8"/>
      <c r="F640" s="8"/>
      <c r="G640" s="8"/>
      <c r="H640" s="8"/>
      <c r="I640" s="8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  <c r="Z640" s="8"/>
      <c r="AA640" s="8"/>
      <c r="AB640" s="8"/>
      <c r="AC640" s="8"/>
    </row>
    <row r="641" spans="1:29" ht="12.75" customHeight="1">
      <c r="A641" s="8"/>
      <c r="B641" s="8"/>
      <c r="C641" s="8"/>
      <c r="D641" s="8"/>
      <c r="E641" s="8"/>
      <c r="F641" s="8"/>
      <c r="G641" s="8"/>
      <c r="H641" s="8"/>
      <c r="I641" s="8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8"/>
      <c r="AA641" s="8"/>
      <c r="AB641" s="8"/>
      <c r="AC641" s="8"/>
    </row>
    <row r="642" spans="1:29" ht="12.75" customHeight="1">
      <c r="A642" s="8"/>
      <c r="B642" s="8"/>
      <c r="C642" s="8"/>
      <c r="D642" s="8"/>
      <c r="E642" s="8"/>
      <c r="F642" s="8"/>
      <c r="G642" s="8"/>
      <c r="H642" s="8"/>
      <c r="I642" s="8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  <c r="Z642" s="8"/>
      <c r="AA642" s="8"/>
      <c r="AB642" s="8"/>
      <c r="AC642" s="8"/>
    </row>
    <row r="643" spans="1:29" ht="12.75" customHeight="1">
      <c r="A643" s="8"/>
      <c r="B643" s="8"/>
      <c r="C643" s="8"/>
      <c r="D643" s="8"/>
      <c r="E643" s="8"/>
      <c r="F643" s="8"/>
      <c r="G643" s="8"/>
      <c r="H643" s="8"/>
      <c r="I643" s="8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8"/>
      <c r="AA643" s="8"/>
      <c r="AB643" s="8"/>
      <c r="AC643" s="8"/>
    </row>
    <row r="644" spans="1:29" ht="12.75" customHeight="1">
      <c r="A644" s="8"/>
      <c r="B644" s="8"/>
      <c r="C644" s="8"/>
      <c r="D644" s="8"/>
      <c r="E644" s="8"/>
      <c r="F644" s="8"/>
      <c r="G644" s="8"/>
      <c r="H644" s="8"/>
      <c r="I644" s="8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  <c r="Z644" s="8"/>
      <c r="AA644" s="8"/>
      <c r="AB644" s="8"/>
      <c r="AC644" s="8"/>
    </row>
    <row r="645" spans="1:29" ht="12.75" customHeight="1">
      <c r="A645" s="8"/>
      <c r="B645" s="8"/>
      <c r="C645" s="8"/>
      <c r="D645" s="8"/>
      <c r="E645" s="8"/>
      <c r="F645" s="8"/>
      <c r="G645" s="8"/>
      <c r="H645" s="8"/>
      <c r="I645" s="8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  <c r="Z645" s="8"/>
      <c r="AA645" s="8"/>
      <c r="AB645" s="8"/>
      <c r="AC645" s="8"/>
    </row>
    <row r="646" spans="1:29" ht="12.75" customHeight="1">
      <c r="A646" s="8"/>
      <c r="B646" s="8"/>
      <c r="C646" s="8"/>
      <c r="D646" s="8"/>
      <c r="E646" s="8"/>
      <c r="F646" s="8"/>
      <c r="G646" s="8"/>
      <c r="H646" s="8"/>
      <c r="I646" s="8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  <c r="Z646" s="8"/>
      <c r="AA646" s="8"/>
      <c r="AB646" s="8"/>
      <c r="AC646" s="8"/>
    </row>
    <row r="647" spans="1:29" ht="12.75" customHeight="1">
      <c r="A647" s="8"/>
      <c r="B647" s="8"/>
      <c r="C647" s="8"/>
      <c r="D647" s="8"/>
      <c r="E647" s="8"/>
      <c r="F647" s="8"/>
      <c r="G647" s="8"/>
      <c r="H647" s="8"/>
      <c r="I647" s="8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  <c r="Z647" s="8"/>
      <c r="AA647" s="8"/>
      <c r="AB647" s="8"/>
      <c r="AC647" s="8"/>
    </row>
    <row r="648" spans="1:29" ht="12.75" customHeight="1">
      <c r="A648" s="8"/>
      <c r="B648" s="8"/>
      <c r="C648" s="8"/>
      <c r="D648" s="8"/>
      <c r="E648" s="8"/>
      <c r="F648" s="8"/>
      <c r="G648" s="8"/>
      <c r="H648" s="8"/>
      <c r="I648" s="8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8"/>
      <c r="AA648" s="8"/>
      <c r="AB648" s="8"/>
      <c r="AC648" s="8"/>
    </row>
    <row r="649" spans="1:29" ht="12.75" customHeight="1">
      <c r="A649" s="8"/>
      <c r="B649" s="8"/>
      <c r="C649" s="8"/>
      <c r="D649" s="8"/>
      <c r="E649" s="8"/>
      <c r="F649" s="8"/>
      <c r="G649" s="8"/>
      <c r="H649" s="8"/>
      <c r="I649" s="8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8"/>
      <c r="AA649" s="8"/>
      <c r="AB649" s="8"/>
      <c r="AC649" s="8"/>
    </row>
    <row r="650" spans="1:29" ht="12.75" customHeight="1">
      <c r="A650" s="8"/>
      <c r="B650" s="8"/>
      <c r="C650" s="8"/>
      <c r="D650" s="8"/>
      <c r="E650" s="8"/>
      <c r="F650" s="8"/>
      <c r="G650" s="8"/>
      <c r="H650" s="8"/>
      <c r="I650" s="8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  <c r="Z650" s="8"/>
      <c r="AA650" s="8"/>
      <c r="AB650" s="8"/>
      <c r="AC650" s="8"/>
    </row>
    <row r="651" spans="1:29" ht="12.75" customHeight="1">
      <c r="A651" s="8"/>
      <c r="B651" s="8"/>
      <c r="C651" s="8"/>
      <c r="D651" s="8"/>
      <c r="E651" s="8"/>
      <c r="F651" s="8"/>
      <c r="G651" s="8"/>
      <c r="H651" s="8"/>
      <c r="I651" s="8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8"/>
      <c r="AA651" s="8"/>
      <c r="AB651" s="8"/>
      <c r="AC651" s="8"/>
    </row>
    <row r="652" spans="1:29" ht="12.75" customHeight="1">
      <c r="A652" s="8"/>
      <c r="B652" s="8"/>
      <c r="C652" s="8"/>
      <c r="D652" s="8"/>
      <c r="E652" s="8"/>
      <c r="F652" s="8"/>
      <c r="G652" s="8"/>
      <c r="H652" s="8"/>
      <c r="I652" s="8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  <c r="Z652" s="8"/>
      <c r="AA652" s="8"/>
      <c r="AB652" s="8"/>
      <c r="AC652" s="8"/>
    </row>
    <row r="653" spans="1:29" ht="12.75" customHeight="1">
      <c r="A653" s="8"/>
      <c r="B653" s="8"/>
      <c r="C653" s="8"/>
      <c r="D653" s="8"/>
      <c r="E653" s="8"/>
      <c r="F653" s="8"/>
      <c r="G653" s="8"/>
      <c r="H653" s="8"/>
      <c r="I653" s="8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8"/>
      <c r="AA653" s="8"/>
      <c r="AB653" s="8"/>
      <c r="AC653" s="8"/>
    </row>
    <row r="654" spans="1:29" ht="12.75" customHeight="1">
      <c r="A654" s="8"/>
      <c r="B654" s="8"/>
      <c r="C654" s="8"/>
      <c r="D654" s="8"/>
      <c r="E654" s="8"/>
      <c r="F654" s="8"/>
      <c r="G654" s="8"/>
      <c r="H654" s="8"/>
      <c r="I654" s="8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  <c r="Z654" s="8"/>
      <c r="AA654" s="8"/>
      <c r="AB654" s="8"/>
      <c r="AC654" s="8"/>
    </row>
    <row r="655" spans="1:29" ht="12.75" customHeight="1">
      <c r="A655" s="8"/>
      <c r="B655" s="8"/>
      <c r="C655" s="8"/>
      <c r="D655" s="8"/>
      <c r="E655" s="8"/>
      <c r="F655" s="8"/>
      <c r="G655" s="8"/>
      <c r="H655" s="8"/>
      <c r="I655" s="8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8"/>
      <c r="AA655" s="8"/>
      <c r="AB655" s="8"/>
      <c r="AC655" s="8"/>
    </row>
    <row r="656" spans="1:29" ht="12.75" customHeight="1">
      <c r="A656" s="8"/>
      <c r="B656" s="8"/>
      <c r="C656" s="8"/>
      <c r="D656" s="8"/>
      <c r="E656" s="8"/>
      <c r="F656" s="8"/>
      <c r="G656" s="8"/>
      <c r="H656" s="8"/>
      <c r="I656" s="8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8"/>
      <c r="AA656" s="8"/>
      <c r="AB656" s="8"/>
      <c r="AC656" s="8"/>
    </row>
    <row r="657" spans="1:29" ht="12.75" customHeight="1">
      <c r="A657" s="8"/>
      <c r="B657" s="8"/>
      <c r="C657" s="8"/>
      <c r="D657" s="8"/>
      <c r="E657" s="8"/>
      <c r="F657" s="8"/>
      <c r="G657" s="8"/>
      <c r="H657" s="8"/>
      <c r="I657" s="8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8"/>
      <c r="AA657" s="8"/>
      <c r="AB657" s="8"/>
      <c r="AC657" s="8"/>
    </row>
    <row r="658" spans="1:29" ht="12.75" customHeight="1">
      <c r="A658" s="8"/>
      <c r="B658" s="8"/>
      <c r="C658" s="8"/>
      <c r="D658" s="8"/>
      <c r="E658" s="8"/>
      <c r="F658" s="8"/>
      <c r="G658" s="8"/>
      <c r="H658" s="8"/>
      <c r="I658" s="8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  <c r="Z658" s="8"/>
      <c r="AA658" s="8"/>
      <c r="AB658" s="8"/>
      <c r="AC658" s="8"/>
    </row>
    <row r="659" spans="1:29" ht="12.75" customHeight="1">
      <c r="A659" s="8"/>
      <c r="B659" s="8"/>
      <c r="C659" s="8"/>
      <c r="D659" s="8"/>
      <c r="E659" s="8"/>
      <c r="F659" s="8"/>
      <c r="G659" s="8"/>
      <c r="H659" s="8"/>
      <c r="I659" s="8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  <c r="Z659" s="8"/>
      <c r="AA659" s="8"/>
      <c r="AB659" s="8"/>
      <c r="AC659" s="8"/>
    </row>
    <row r="660" spans="1:29" ht="12.75" customHeight="1">
      <c r="A660" s="8"/>
      <c r="B660" s="8"/>
      <c r="C660" s="8"/>
      <c r="D660" s="8"/>
      <c r="E660" s="8"/>
      <c r="F660" s="8"/>
      <c r="G660" s="8"/>
      <c r="H660" s="8"/>
      <c r="I660" s="8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  <c r="Z660" s="8"/>
      <c r="AA660" s="8"/>
      <c r="AB660" s="8"/>
      <c r="AC660" s="8"/>
    </row>
    <row r="661" spans="1:29" ht="12.75" customHeight="1">
      <c r="A661" s="8"/>
      <c r="B661" s="8"/>
      <c r="C661" s="8"/>
      <c r="D661" s="8"/>
      <c r="E661" s="8"/>
      <c r="F661" s="8"/>
      <c r="G661" s="8"/>
      <c r="H661" s="8"/>
      <c r="I661" s="8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8"/>
      <c r="AA661" s="8"/>
      <c r="AB661" s="8"/>
      <c r="AC661" s="8"/>
    </row>
    <row r="662" spans="1:29" ht="12.75" customHeight="1">
      <c r="A662" s="8"/>
      <c r="B662" s="8"/>
      <c r="C662" s="8"/>
      <c r="D662" s="8"/>
      <c r="E662" s="8"/>
      <c r="F662" s="8"/>
      <c r="G662" s="8"/>
      <c r="H662" s="8"/>
      <c r="I662" s="8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  <c r="Z662" s="8"/>
      <c r="AA662" s="8"/>
      <c r="AB662" s="8"/>
      <c r="AC662" s="8"/>
    </row>
    <row r="663" spans="1:29" ht="12.75" customHeight="1">
      <c r="A663" s="8"/>
      <c r="B663" s="8"/>
      <c r="C663" s="8"/>
      <c r="D663" s="8"/>
      <c r="E663" s="8"/>
      <c r="F663" s="8"/>
      <c r="G663" s="8"/>
      <c r="H663" s="8"/>
      <c r="I663" s="8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  <c r="Z663" s="8"/>
      <c r="AA663" s="8"/>
      <c r="AB663" s="8"/>
      <c r="AC663" s="8"/>
    </row>
    <row r="664" spans="1:29" ht="12.75" customHeight="1">
      <c r="A664" s="8"/>
      <c r="B664" s="8"/>
      <c r="C664" s="8"/>
      <c r="D664" s="8"/>
      <c r="E664" s="8"/>
      <c r="F664" s="8"/>
      <c r="G664" s="8"/>
      <c r="H664" s="8"/>
      <c r="I664" s="8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  <c r="Z664" s="8"/>
      <c r="AA664" s="8"/>
      <c r="AB664" s="8"/>
      <c r="AC664" s="8"/>
    </row>
    <row r="665" spans="1:29" ht="12.75" customHeight="1">
      <c r="A665" s="8"/>
      <c r="B665" s="8"/>
      <c r="C665" s="8"/>
      <c r="D665" s="8"/>
      <c r="E665" s="8"/>
      <c r="F665" s="8"/>
      <c r="G665" s="8"/>
      <c r="H665" s="8"/>
      <c r="I665" s="8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  <c r="Z665" s="8"/>
      <c r="AA665" s="8"/>
      <c r="AB665" s="8"/>
      <c r="AC665" s="8"/>
    </row>
    <row r="666" spans="1:29" ht="12.75" customHeight="1">
      <c r="A666" s="8"/>
      <c r="B666" s="8"/>
      <c r="C666" s="8"/>
      <c r="D666" s="8"/>
      <c r="E666" s="8"/>
      <c r="F666" s="8"/>
      <c r="G666" s="8"/>
      <c r="H666" s="8"/>
      <c r="I666" s="8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  <c r="Z666" s="8"/>
      <c r="AA666" s="8"/>
      <c r="AB666" s="8"/>
      <c r="AC666" s="8"/>
    </row>
    <row r="667" spans="1:29" ht="12.75" customHeight="1">
      <c r="A667" s="8"/>
      <c r="B667" s="8"/>
      <c r="C667" s="8"/>
      <c r="D667" s="8"/>
      <c r="E667" s="8"/>
      <c r="F667" s="8"/>
      <c r="G667" s="8"/>
      <c r="H667" s="8"/>
      <c r="I667" s="8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  <c r="Z667" s="8"/>
      <c r="AA667" s="8"/>
      <c r="AB667" s="8"/>
      <c r="AC667" s="8"/>
    </row>
    <row r="668" spans="1:29" ht="12.75" customHeight="1">
      <c r="A668" s="8"/>
      <c r="B668" s="8"/>
      <c r="C668" s="8"/>
      <c r="D668" s="8"/>
      <c r="E668" s="8"/>
      <c r="F668" s="8"/>
      <c r="G668" s="8"/>
      <c r="H668" s="8"/>
      <c r="I668" s="8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  <c r="Z668" s="8"/>
      <c r="AA668" s="8"/>
      <c r="AB668" s="8"/>
      <c r="AC668" s="8"/>
    </row>
    <row r="669" spans="1:29" ht="12.75" customHeight="1">
      <c r="A669" s="8"/>
      <c r="B669" s="8"/>
      <c r="C669" s="8"/>
      <c r="D669" s="8"/>
      <c r="E669" s="8"/>
      <c r="F669" s="8"/>
      <c r="G669" s="8"/>
      <c r="H669" s="8"/>
      <c r="I669" s="8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  <c r="Z669" s="8"/>
      <c r="AA669" s="8"/>
      <c r="AB669" s="8"/>
      <c r="AC669" s="8"/>
    </row>
    <row r="670" spans="1:29" ht="12.75" customHeight="1">
      <c r="A670" s="8"/>
      <c r="B670" s="8"/>
      <c r="C670" s="8"/>
      <c r="D670" s="8"/>
      <c r="E670" s="8"/>
      <c r="F670" s="8"/>
      <c r="G670" s="8"/>
      <c r="H670" s="8"/>
      <c r="I670" s="8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  <c r="Z670" s="8"/>
      <c r="AA670" s="8"/>
      <c r="AB670" s="8"/>
      <c r="AC670" s="8"/>
    </row>
    <row r="671" spans="1:29" ht="12.75" customHeight="1">
      <c r="A671" s="8"/>
      <c r="B671" s="8"/>
      <c r="C671" s="8"/>
      <c r="D671" s="8"/>
      <c r="E671" s="8"/>
      <c r="F671" s="8"/>
      <c r="G671" s="8"/>
      <c r="H671" s="8"/>
      <c r="I671" s="8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  <c r="Z671" s="8"/>
      <c r="AA671" s="8"/>
      <c r="AB671" s="8"/>
      <c r="AC671" s="8"/>
    </row>
    <row r="672" spans="1:29" ht="12.75" customHeight="1">
      <c r="A672" s="8"/>
      <c r="B672" s="8"/>
      <c r="C672" s="8"/>
      <c r="D672" s="8"/>
      <c r="E672" s="8"/>
      <c r="F672" s="8"/>
      <c r="G672" s="8"/>
      <c r="H672" s="8"/>
      <c r="I672" s="8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  <c r="Z672" s="8"/>
      <c r="AA672" s="8"/>
      <c r="AB672" s="8"/>
      <c r="AC672" s="8"/>
    </row>
    <row r="673" spans="1:29" ht="12.75" customHeight="1">
      <c r="A673" s="8"/>
      <c r="B673" s="8"/>
      <c r="C673" s="8"/>
      <c r="D673" s="8"/>
      <c r="E673" s="8"/>
      <c r="F673" s="8"/>
      <c r="G673" s="8"/>
      <c r="H673" s="8"/>
      <c r="I673" s="8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  <c r="Z673" s="8"/>
      <c r="AA673" s="8"/>
      <c r="AB673" s="8"/>
      <c r="AC673" s="8"/>
    </row>
    <row r="674" spans="1:29" ht="12.75" customHeight="1">
      <c r="A674" s="8"/>
      <c r="B674" s="8"/>
      <c r="C674" s="8"/>
      <c r="D674" s="8"/>
      <c r="E674" s="8"/>
      <c r="F674" s="8"/>
      <c r="G674" s="8"/>
      <c r="H674" s="8"/>
      <c r="I674" s="8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  <c r="Z674" s="8"/>
      <c r="AA674" s="8"/>
      <c r="AB674" s="8"/>
      <c r="AC674" s="8"/>
    </row>
    <row r="675" spans="1:29" ht="12.75" customHeight="1">
      <c r="A675" s="8"/>
      <c r="B675" s="8"/>
      <c r="C675" s="8"/>
      <c r="D675" s="8"/>
      <c r="E675" s="8"/>
      <c r="F675" s="8"/>
      <c r="G675" s="8"/>
      <c r="H675" s="8"/>
      <c r="I675" s="8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  <c r="Z675" s="8"/>
      <c r="AA675" s="8"/>
      <c r="AB675" s="8"/>
      <c r="AC675" s="8"/>
    </row>
    <row r="676" spans="1:29" ht="12.75" customHeight="1">
      <c r="A676" s="8"/>
      <c r="B676" s="8"/>
      <c r="C676" s="8"/>
      <c r="D676" s="8"/>
      <c r="E676" s="8"/>
      <c r="F676" s="8"/>
      <c r="G676" s="8"/>
      <c r="H676" s="8"/>
      <c r="I676" s="8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  <c r="Z676" s="8"/>
      <c r="AA676" s="8"/>
      <c r="AB676" s="8"/>
      <c r="AC676" s="8"/>
    </row>
    <row r="677" spans="1:29" ht="12.75" customHeight="1">
      <c r="A677" s="8"/>
      <c r="B677" s="8"/>
      <c r="C677" s="8"/>
      <c r="D677" s="8"/>
      <c r="E677" s="8"/>
      <c r="F677" s="8"/>
      <c r="G677" s="8"/>
      <c r="H677" s="8"/>
      <c r="I677" s="8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  <c r="Z677" s="8"/>
      <c r="AA677" s="8"/>
      <c r="AB677" s="8"/>
      <c r="AC677" s="8"/>
    </row>
    <row r="678" spans="1:29" ht="12.75" customHeight="1">
      <c r="A678" s="8"/>
      <c r="B678" s="8"/>
      <c r="C678" s="8"/>
      <c r="D678" s="8"/>
      <c r="E678" s="8"/>
      <c r="F678" s="8"/>
      <c r="G678" s="8"/>
      <c r="H678" s="8"/>
      <c r="I678" s="8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  <c r="Z678" s="8"/>
      <c r="AA678" s="8"/>
      <c r="AB678" s="8"/>
      <c r="AC678" s="8"/>
    </row>
    <row r="679" spans="1:29" ht="12.75" customHeight="1">
      <c r="A679" s="8"/>
      <c r="B679" s="8"/>
      <c r="C679" s="8"/>
      <c r="D679" s="8"/>
      <c r="E679" s="8"/>
      <c r="F679" s="8"/>
      <c r="G679" s="8"/>
      <c r="H679" s="8"/>
      <c r="I679" s="8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  <c r="Z679" s="8"/>
      <c r="AA679" s="8"/>
      <c r="AB679" s="8"/>
      <c r="AC679" s="8"/>
    </row>
    <row r="680" spans="1:29" ht="12.75" customHeight="1">
      <c r="A680" s="8"/>
      <c r="B680" s="8"/>
      <c r="C680" s="8"/>
      <c r="D680" s="8"/>
      <c r="E680" s="8"/>
      <c r="F680" s="8"/>
      <c r="G680" s="8"/>
      <c r="H680" s="8"/>
      <c r="I680" s="8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  <c r="Z680" s="8"/>
      <c r="AA680" s="8"/>
      <c r="AB680" s="8"/>
      <c r="AC680" s="8"/>
    </row>
    <row r="681" spans="1:29" ht="12.75" customHeight="1">
      <c r="A681" s="8"/>
      <c r="B681" s="8"/>
      <c r="C681" s="8"/>
      <c r="D681" s="8"/>
      <c r="E681" s="8"/>
      <c r="F681" s="8"/>
      <c r="G681" s="8"/>
      <c r="H681" s="8"/>
      <c r="I681" s="8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  <c r="Z681" s="8"/>
      <c r="AA681" s="8"/>
      <c r="AB681" s="8"/>
      <c r="AC681" s="8"/>
    </row>
    <row r="682" spans="1:29" ht="12.75" customHeight="1">
      <c r="A682" s="8"/>
      <c r="B682" s="8"/>
      <c r="C682" s="8"/>
      <c r="D682" s="8"/>
      <c r="E682" s="8"/>
      <c r="F682" s="8"/>
      <c r="G682" s="8"/>
      <c r="H682" s="8"/>
      <c r="I682" s="8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  <c r="Z682" s="8"/>
      <c r="AA682" s="8"/>
      <c r="AB682" s="8"/>
      <c r="AC682" s="8"/>
    </row>
    <row r="683" spans="1:29" ht="12.75" customHeight="1">
      <c r="A683" s="8"/>
      <c r="B683" s="8"/>
      <c r="C683" s="8"/>
      <c r="D683" s="8"/>
      <c r="E683" s="8"/>
      <c r="F683" s="8"/>
      <c r="G683" s="8"/>
      <c r="H683" s="8"/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  <c r="Z683" s="8"/>
      <c r="AA683" s="8"/>
      <c r="AB683" s="8"/>
      <c r="AC683" s="8"/>
    </row>
    <row r="684" spans="1:29" ht="12.75" customHeight="1">
      <c r="A684" s="8"/>
      <c r="B684" s="8"/>
      <c r="C684" s="8"/>
      <c r="D684" s="8"/>
      <c r="E684" s="8"/>
      <c r="F684" s="8"/>
      <c r="G684" s="8"/>
      <c r="H684" s="8"/>
      <c r="I684" s="8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  <c r="Z684" s="8"/>
      <c r="AA684" s="8"/>
      <c r="AB684" s="8"/>
      <c r="AC684" s="8"/>
    </row>
    <row r="685" spans="1:29" ht="12.75" customHeight="1">
      <c r="A685" s="8"/>
      <c r="B685" s="8"/>
      <c r="C685" s="8"/>
      <c r="D685" s="8"/>
      <c r="E685" s="8"/>
      <c r="F685" s="8"/>
      <c r="G685" s="8"/>
      <c r="H685" s="8"/>
      <c r="I685" s="8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  <c r="Z685" s="8"/>
      <c r="AA685" s="8"/>
      <c r="AB685" s="8"/>
      <c r="AC685" s="8"/>
    </row>
    <row r="686" spans="1:29" ht="12.75" customHeight="1">
      <c r="A686" s="8"/>
      <c r="B686" s="8"/>
      <c r="C686" s="8"/>
      <c r="D686" s="8"/>
      <c r="E686" s="8"/>
      <c r="F686" s="8"/>
      <c r="G686" s="8"/>
      <c r="H686" s="8"/>
      <c r="I686" s="8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  <c r="Z686" s="8"/>
      <c r="AA686" s="8"/>
      <c r="AB686" s="8"/>
      <c r="AC686" s="8"/>
    </row>
    <row r="687" spans="1:29" ht="12.75" customHeight="1">
      <c r="A687" s="8"/>
      <c r="B687" s="8"/>
      <c r="C687" s="8"/>
      <c r="D687" s="8"/>
      <c r="E687" s="8"/>
      <c r="F687" s="8"/>
      <c r="G687" s="8"/>
      <c r="H687" s="8"/>
      <c r="I687" s="8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  <c r="Z687" s="8"/>
      <c r="AA687" s="8"/>
      <c r="AB687" s="8"/>
      <c r="AC687" s="8"/>
    </row>
    <row r="688" spans="1:29" ht="12.75" customHeight="1">
      <c r="A688" s="8"/>
      <c r="B688" s="8"/>
      <c r="C688" s="8"/>
      <c r="D688" s="8"/>
      <c r="E688" s="8"/>
      <c r="F688" s="8"/>
      <c r="G688" s="8"/>
      <c r="H688" s="8"/>
      <c r="I688" s="8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  <c r="Z688" s="8"/>
      <c r="AA688" s="8"/>
      <c r="AB688" s="8"/>
      <c r="AC688" s="8"/>
    </row>
    <row r="689" spans="1:29" ht="12.75" customHeight="1">
      <c r="A689" s="8"/>
      <c r="B689" s="8"/>
      <c r="C689" s="8"/>
      <c r="D689" s="8"/>
      <c r="E689" s="8"/>
      <c r="F689" s="8"/>
      <c r="G689" s="8"/>
      <c r="H689" s="8"/>
      <c r="I689" s="8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  <c r="Z689" s="8"/>
      <c r="AA689" s="8"/>
      <c r="AB689" s="8"/>
      <c r="AC689" s="8"/>
    </row>
    <row r="690" spans="1:29" ht="12.75" customHeight="1">
      <c r="A690" s="8"/>
      <c r="B690" s="8"/>
      <c r="C690" s="8"/>
      <c r="D690" s="8"/>
      <c r="E690" s="8"/>
      <c r="F690" s="8"/>
      <c r="G690" s="8"/>
      <c r="H690" s="8"/>
      <c r="I690" s="8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  <c r="Z690" s="8"/>
      <c r="AA690" s="8"/>
      <c r="AB690" s="8"/>
      <c r="AC690" s="8"/>
    </row>
    <row r="691" spans="1:29" ht="12.75" customHeight="1">
      <c r="A691" s="8"/>
      <c r="B691" s="8"/>
      <c r="C691" s="8"/>
      <c r="D691" s="8"/>
      <c r="E691" s="8"/>
      <c r="F691" s="8"/>
      <c r="G691" s="8"/>
      <c r="H691" s="8"/>
      <c r="I691" s="8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  <c r="Z691" s="8"/>
      <c r="AA691" s="8"/>
      <c r="AB691" s="8"/>
      <c r="AC691" s="8"/>
    </row>
    <row r="692" spans="1:29" ht="12.75" customHeight="1">
      <c r="A692" s="8"/>
      <c r="B692" s="8"/>
      <c r="C692" s="8"/>
      <c r="D692" s="8"/>
      <c r="E692" s="8"/>
      <c r="F692" s="8"/>
      <c r="G692" s="8"/>
      <c r="H692" s="8"/>
      <c r="I692" s="8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  <c r="Z692" s="8"/>
      <c r="AA692" s="8"/>
      <c r="AB692" s="8"/>
      <c r="AC692" s="8"/>
    </row>
    <row r="693" spans="1:29" ht="12.75" customHeight="1">
      <c r="A693" s="8"/>
      <c r="B693" s="8"/>
      <c r="C693" s="8"/>
      <c r="D693" s="8"/>
      <c r="E693" s="8"/>
      <c r="F693" s="8"/>
      <c r="G693" s="8"/>
      <c r="H693" s="8"/>
      <c r="I693" s="8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  <c r="Z693" s="8"/>
      <c r="AA693" s="8"/>
      <c r="AB693" s="8"/>
      <c r="AC693" s="8"/>
    </row>
    <row r="694" spans="1:29" ht="12.75" customHeight="1">
      <c r="A694" s="8"/>
      <c r="B694" s="8"/>
      <c r="C694" s="8"/>
      <c r="D694" s="8"/>
      <c r="E694" s="8"/>
      <c r="F694" s="8"/>
      <c r="G694" s="8"/>
      <c r="H694" s="8"/>
      <c r="I694" s="8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  <c r="Z694" s="8"/>
      <c r="AA694" s="8"/>
      <c r="AB694" s="8"/>
      <c r="AC694" s="8"/>
    </row>
    <row r="695" spans="1:29" ht="12.75" customHeight="1">
      <c r="A695" s="8"/>
      <c r="B695" s="8"/>
      <c r="C695" s="8"/>
      <c r="D695" s="8"/>
      <c r="E695" s="8"/>
      <c r="F695" s="8"/>
      <c r="G695" s="8"/>
      <c r="H695" s="8"/>
      <c r="I695" s="8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  <c r="Z695" s="8"/>
      <c r="AA695" s="8"/>
      <c r="AB695" s="8"/>
      <c r="AC695" s="8"/>
    </row>
    <row r="696" spans="1:29" ht="12.75" customHeight="1">
      <c r="A696" s="8"/>
      <c r="B696" s="8"/>
      <c r="C696" s="8"/>
      <c r="D696" s="8"/>
      <c r="E696" s="8"/>
      <c r="F696" s="8"/>
      <c r="G696" s="8"/>
      <c r="H696" s="8"/>
      <c r="I696" s="8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  <c r="Z696" s="8"/>
      <c r="AA696" s="8"/>
      <c r="AB696" s="8"/>
      <c r="AC696" s="8"/>
    </row>
    <row r="697" spans="1:29" ht="12.75" customHeight="1">
      <c r="A697" s="8"/>
      <c r="B697" s="8"/>
      <c r="C697" s="8"/>
      <c r="D697" s="8"/>
      <c r="E697" s="8"/>
      <c r="F697" s="8"/>
      <c r="G697" s="8"/>
      <c r="H697" s="8"/>
      <c r="I697" s="8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  <c r="Z697" s="8"/>
      <c r="AA697" s="8"/>
      <c r="AB697" s="8"/>
      <c r="AC697" s="8"/>
    </row>
    <row r="698" spans="1:29" ht="12.75" customHeight="1">
      <c r="A698" s="8"/>
      <c r="B698" s="8"/>
      <c r="C698" s="8"/>
      <c r="D698" s="8"/>
      <c r="E698" s="8"/>
      <c r="F698" s="8"/>
      <c r="G698" s="8"/>
      <c r="H698" s="8"/>
      <c r="I698" s="8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  <c r="Z698" s="8"/>
      <c r="AA698" s="8"/>
      <c r="AB698" s="8"/>
      <c r="AC698" s="8"/>
    </row>
    <row r="699" spans="1:29" ht="12.75" customHeight="1">
      <c r="A699" s="8"/>
      <c r="B699" s="8"/>
      <c r="C699" s="8"/>
      <c r="D699" s="8"/>
      <c r="E699" s="8"/>
      <c r="F699" s="8"/>
      <c r="G699" s="8"/>
      <c r="H699" s="8"/>
      <c r="I699" s="8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  <c r="Z699" s="8"/>
      <c r="AA699" s="8"/>
      <c r="AB699" s="8"/>
      <c r="AC699" s="8"/>
    </row>
    <row r="700" spans="1:29" ht="12.75" customHeight="1">
      <c r="A700" s="8"/>
      <c r="B700" s="8"/>
      <c r="C700" s="8"/>
      <c r="D700" s="8"/>
      <c r="E700" s="8"/>
      <c r="F700" s="8"/>
      <c r="G700" s="8"/>
      <c r="H700" s="8"/>
      <c r="I700" s="8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  <c r="Z700" s="8"/>
      <c r="AA700" s="8"/>
      <c r="AB700" s="8"/>
      <c r="AC700" s="8"/>
    </row>
    <row r="701" spans="1:29" ht="12.75" customHeight="1">
      <c r="A701" s="8"/>
      <c r="B701" s="8"/>
      <c r="C701" s="8"/>
      <c r="D701" s="8"/>
      <c r="E701" s="8"/>
      <c r="F701" s="8"/>
      <c r="G701" s="8"/>
      <c r="H701" s="8"/>
      <c r="I701" s="8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  <c r="Z701" s="8"/>
      <c r="AA701" s="8"/>
      <c r="AB701" s="8"/>
      <c r="AC701" s="8"/>
    </row>
    <row r="702" spans="1:29" ht="12.75" customHeight="1">
      <c r="A702" s="8"/>
      <c r="B702" s="8"/>
      <c r="C702" s="8"/>
      <c r="D702" s="8"/>
      <c r="E702" s="8"/>
      <c r="F702" s="8"/>
      <c r="G702" s="8"/>
      <c r="H702" s="8"/>
      <c r="I702" s="8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  <c r="Z702" s="8"/>
      <c r="AA702" s="8"/>
      <c r="AB702" s="8"/>
      <c r="AC702" s="8"/>
    </row>
    <row r="703" spans="1:29" ht="12.75" customHeight="1">
      <c r="A703" s="8"/>
      <c r="B703" s="8"/>
      <c r="C703" s="8"/>
      <c r="D703" s="8"/>
      <c r="E703" s="8"/>
      <c r="F703" s="8"/>
      <c r="G703" s="8"/>
      <c r="H703" s="8"/>
      <c r="I703" s="8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  <c r="Z703" s="8"/>
      <c r="AA703" s="8"/>
      <c r="AB703" s="8"/>
      <c r="AC703" s="8"/>
    </row>
    <row r="704" spans="1:29" ht="12.75" customHeight="1">
      <c r="A704" s="8"/>
      <c r="B704" s="8"/>
      <c r="C704" s="8"/>
      <c r="D704" s="8"/>
      <c r="E704" s="8"/>
      <c r="F704" s="8"/>
      <c r="G704" s="8"/>
      <c r="H704" s="8"/>
      <c r="I704" s="8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  <c r="Z704" s="8"/>
      <c r="AA704" s="8"/>
      <c r="AB704" s="8"/>
      <c r="AC704" s="8"/>
    </row>
    <row r="705" spans="1:29" ht="12.75" customHeight="1">
      <c r="A705" s="8"/>
      <c r="B705" s="8"/>
      <c r="C705" s="8"/>
      <c r="D705" s="8"/>
      <c r="E705" s="8"/>
      <c r="F705" s="8"/>
      <c r="G705" s="8"/>
      <c r="H705" s="8"/>
      <c r="I705" s="8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  <c r="Z705" s="8"/>
      <c r="AA705" s="8"/>
      <c r="AB705" s="8"/>
      <c r="AC705" s="8"/>
    </row>
    <row r="706" spans="1:29" ht="12.75" customHeight="1">
      <c r="A706" s="8"/>
      <c r="B706" s="8"/>
      <c r="C706" s="8"/>
      <c r="D706" s="8"/>
      <c r="E706" s="8"/>
      <c r="F706" s="8"/>
      <c r="G706" s="8"/>
      <c r="H706" s="8"/>
      <c r="I706" s="8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  <c r="Z706" s="8"/>
      <c r="AA706" s="8"/>
      <c r="AB706" s="8"/>
      <c r="AC706" s="8"/>
    </row>
    <row r="707" spans="1:29" ht="12.75" customHeight="1">
      <c r="A707" s="8"/>
      <c r="B707" s="8"/>
      <c r="C707" s="8"/>
      <c r="D707" s="8"/>
      <c r="E707" s="8"/>
      <c r="F707" s="8"/>
      <c r="G707" s="8"/>
      <c r="H707" s="8"/>
      <c r="I707" s="8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  <c r="Z707" s="8"/>
      <c r="AA707" s="8"/>
      <c r="AB707" s="8"/>
      <c r="AC707" s="8"/>
    </row>
    <row r="708" spans="1:29" ht="12.75" customHeight="1">
      <c r="A708" s="8"/>
      <c r="B708" s="8"/>
      <c r="C708" s="8"/>
      <c r="D708" s="8"/>
      <c r="E708" s="8"/>
      <c r="F708" s="8"/>
      <c r="G708" s="8"/>
      <c r="H708" s="8"/>
      <c r="I708" s="8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  <c r="Z708" s="8"/>
      <c r="AA708" s="8"/>
      <c r="AB708" s="8"/>
      <c r="AC708" s="8"/>
    </row>
    <row r="709" spans="1:29" ht="12.75" customHeight="1">
      <c r="A709" s="8"/>
      <c r="B709" s="8"/>
      <c r="C709" s="8"/>
      <c r="D709" s="8"/>
      <c r="E709" s="8"/>
      <c r="F709" s="8"/>
      <c r="G709" s="8"/>
      <c r="H709" s="8"/>
      <c r="I709" s="8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  <c r="Z709" s="8"/>
      <c r="AA709" s="8"/>
      <c r="AB709" s="8"/>
      <c r="AC709" s="8"/>
    </row>
    <row r="710" spans="1:29" ht="12.75" customHeight="1">
      <c r="A710" s="8"/>
      <c r="B710" s="8"/>
      <c r="C710" s="8"/>
      <c r="D710" s="8"/>
      <c r="E710" s="8"/>
      <c r="F710" s="8"/>
      <c r="G710" s="8"/>
      <c r="H710" s="8"/>
      <c r="I710" s="8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  <c r="Z710" s="8"/>
      <c r="AA710" s="8"/>
      <c r="AB710" s="8"/>
      <c r="AC710" s="8"/>
    </row>
    <row r="711" spans="1:29" ht="12.75" customHeight="1">
      <c r="A711" s="8"/>
      <c r="B711" s="8"/>
      <c r="C711" s="8"/>
      <c r="D711" s="8"/>
      <c r="E711" s="8"/>
      <c r="F711" s="8"/>
      <c r="G711" s="8"/>
      <c r="H711" s="8"/>
      <c r="I711" s="8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  <c r="Z711" s="8"/>
      <c r="AA711" s="8"/>
      <c r="AB711" s="8"/>
      <c r="AC711" s="8"/>
    </row>
    <row r="712" spans="1:29" ht="12.75" customHeight="1">
      <c r="A712" s="8"/>
      <c r="B712" s="8"/>
      <c r="C712" s="8"/>
      <c r="D712" s="8"/>
      <c r="E712" s="8"/>
      <c r="F712" s="8"/>
      <c r="G712" s="8"/>
      <c r="H712" s="8"/>
      <c r="I712" s="8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  <c r="Z712" s="8"/>
      <c r="AA712" s="8"/>
      <c r="AB712" s="8"/>
      <c r="AC712" s="8"/>
    </row>
    <row r="713" spans="1:29" ht="12.75" customHeight="1">
      <c r="A713" s="8"/>
      <c r="B713" s="8"/>
      <c r="C713" s="8"/>
      <c r="D713" s="8"/>
      <c r="E713" s="8"/>
      <c r="F713" s="8"/>
      <c r="G713" s="8"/>
      <c r="H713" s="8"/>
      <c r="I713" s="8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  <c r="Z713" s="8"/>
      <c r="AA713" s="8"/>
      <c r="AB713" s="8"/>
      <c r="AC713" s="8"/>
    </row>
    <row r="714" spans="1:29" ht="12.75" customHeight="1">
      <c r="A714" s="8"/>
      <c r="B714" s="8"/>
      <c r="C714" s="8"/>
      <c r="D714" s="8"/>
      <c r="E714" s="8"/>
      <c r="F714" s="8"/>
      <c r="G714" s="8"/>
      <c r="H714" s="8"/>
      <c r="I714" s="8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  <c r="Z714" s="8"/>
      <c r="AA714" s="8"/>
      <c r="AB714" s="8"/>
      <c r="AC714" s="8"/>
    </row>
    <row r="715" spans="1:29" ht="12.75" customHeight="1">
      <c r="A715" s="8"/>
      <c r="B715" s="8"/>
      <c r="C715" s="8"/>
      <c r="D715" s="8"/>
      <c r="E715" s="8"/>
      <c r="F715" s="8"/>
      <c r="G715" s="8"/>
      <c r="H715" s="8"/>
      <c r="I715" s="8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  <c r="Z715" s="8"/>
      <c r="AA715" s="8"/>
      <c r="AB715" s="8"/>
      <c r="AC715" s="8"/>
    </row>
    <row r="716" spans="1:29" ht="12.75" customHeight="1">
      <c r="A716" s="8"/>
      <c r="B716" s="8"/>
      <c r="C716" s="8"/>
      <c r="D716" s="8"/>
      <c r="E716" s="8"/>
      <c r="F716" s="8"/>
      <c r="G716" s="8"/>
      <c r="H716" s="8"/>
      <c r="I716" s="8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  <c r="Z716" s="8"/>
      <c r="AA716" s="8"/>
      <c r="AB716" s="8"/>
      <c r="AC716" s="8"/>
    </row>
    <row r="717" spans="1:29" ht="12.75" customHeight="1">
      <c r="A717" s="8"/>
      <c r="B717" s="8"/>
      <c r="C717" s="8"/>
      <c r="D717" s="8"/>
      <c r="E717" s="8"/>
      <c r="F717" s="8"/>
      <c r="G717" s="8"/>
      <c r="H717" s="8"/>
      <c r="I717" s="8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  <c r="Z717" s="8"/>
      <c r="AA717" s="8"/>
      <c r="AB717" s="8"/>
      <c r="AC717" s="8"/>
    </row>
    <row r="718" spans="1:29" ht="12.75" customHeight="1">
      <c r="A718" s="8"/>
      <c r="B718" s="8"/>
      <c r="C718" s="8"/>
      <c r="D718" s="8"/>
      <c r="E718" s="8"/>
      <c r="F718" s="8"/>
      <c r="G718" s="8"/>
      <c r="H718" s="8"/>
      <c r="I718" s="8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  <c r="Z718" s="8"/>
      <c r="AA718" s="8"/>
      <c r="AB718" s="8"/>
      <c r="AC718" s="8"/>
    </row>
    <row r="719" spans="1:29" ht="12.75" customHeight="1">
      <c r="A719" s="8"/>
      <c r="B719" s="8"/>
      <c r="C719" s="8"/>
      <c r="D719" s="8"/>
      <c r="E719" s="8"/>
      <c r="F719" s="8"/>
      <c r="G719" s="8"/>
      <c r="H719" s="8"/>
      <c r="I719" s="8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  <c r="Z719" s="8"/>
      <c r="AA719" s="8"/>
      <c r="AB719" s="8"/>
      <c r="AC719" s="8"/>
    </row>
    <row r="720" spans="1:29" ht="12.75" customHeight="1">
      <c r="A720" s="8"/>
      <c r="B720" s="8"/>
      <c r="C720" s="8"/>
      <c r="D720" s="8"/>
      <c r="E720" s="8"/>
      <c r="F720" s="8"/>
      <c r="G720" s="8"/>
      <c r="H720" s="8"/>
      <c r="I720" s="8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  <c r="Z720" s="8"/>
      <c r="AA720" s="8"/>
      <c r="AB720" s="8"/>
      <c r="AC720" s="8"/>
    </row>
    <row r="721" spans="1:29" ht="12.75" customHeight="1">
      <c r="A721" s="8"/>
      <c r="B721" s="8"/>
      <c r="C721" s="8"/>
      <c r="D721" s="8"/>
      <c r="E721" s="8"/>
      <c r="F721" s="8"/>
      <c r="G721" s="8"/>
      <c r="H721" s="8"/>
      <c r="I721" s="8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  <c r="Z721" s="8"/>
      <c r="AA721" s="8"/>
      <c r="AB721" s="8"/>
      <c r="AC721" s="8"/>
    </row>
    <row r="722" spans="1:29" ht="12.75" customHeight="1">
      <c r="A722" s="8"/>
      <c r="B722" s="8"/>
      <c r="C722" s="8"/>
      <c r="D722" s="8"/>
      <c r="E722" s="8"/>
      <c r="F722" s="8"/>
      <c r="G722" s="8"/>
      <c r="H722" s="8"/>
      <c r="I722" s="8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  <c r="Z722" s="8"/>
      <c r="AA722" s="8"/>
      <c r="AB722" s="8"/>
      <c r="AC722" s="8"/>
    </row>
    <row r="723" spans="1:29" ht="12.75" customHeight="1">
      <c r="A723" s="8"/>
      <c r="B723" s="8"/>
      <c r="C723" s="8"/>
      <c r="D723" s="8"/>
      <c r="E723" s="8"/>
      <c r="F723" s="8"/>
      <c r="G723" s="8"/>
      <c r="H723" s="8"/>
      <c r="I723" s="8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  <c r="Z723" s="8"/>
      <c r="AA723" s="8"/>
      <c r="AB723" s="8"/>
      <c r="AC723" s="8"/>
    </row>
    <row r="724" spans="1:29" ht="12.75" customHeight="1">
      <c r="A724" s="8"/>
      <c r="B724" s="8"/>
      <c r="C724" s="8"/>
      <c r="D724" s="8"/>
      <c r="E724" s="8"/>
      <c r="F724" s="8"/>
      <c r="G724" s="8"/>
      <c r="H724" s="8"/>
      <c r="I724" s="8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  <c r="Z724" s="8"/>
      <c r="AA724" s="8"/>
      <c r="AB724" s="8"/>
      <c r="AC724" s="8"/>
    </row>
    <row r="725" spans="1:29" ht="12.75" customHeight="1">
      <c r="A725" s="8"/>
      <c r="B725" s="8"/>
      <c r="C725" s="8"/>
      <c r="D725" s="8"/>
      <c r="E725" s="8"/>
      <c r="F725" s="8"/>
      <c r="G725" s="8"/>
      <c r="H725" s="8"/>
      <c r="I725" s="8"/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  <c r="Z725" s="8"/>
      <c r="AA725" s="8"/>
      <c r="AB725" s="8"/>
      <c r="AC725" s="8"/>
    </row>
    <row r="726" spans="1:29" ht="12.75" customHeight="1">
      <c r="A726" s="8"/>
      <c r="B726" s="8"/>
      <c r="C726" s="8"/>
      <c r="D726" s="8"/>
      <c r="E726" s="8"/>
      <c r="F726" s="8"/>
      <c r="G726" s="8"/>
      <c r="H726" s="8"/>
      <c r="I726" s="8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  <c r="Z726" s="8"/>
      <c r="AA726" s="8"/>
      <c r="AB726" s="8"/>
      <c r="AC726" s="8"/>
    </row>
    <row r="727" spans="1:29" ht="12.75" customHeight="1">
      <c r="A727" s="8"/>
      <c r="B727" s="8"/>
      <c r="C727" s="8"/>
      <c r="D727" s="8"/>
      <c r="E727" s="8"/>
      <c r="F727" s="8"/>
      <c r="G727" s="8"/>
      <c r="H727" s="8"/>
      <c r="I727" s="8"/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  <c r="Z727" s="8"/>
      <c r="AA727" s="8"/>
      <c r="AB727" s="8"/>
      <c r="AC727" s="8"/>
    </row>
    <row r="728" spans="1:29" ht="12.75" customHeight="1">
      <c r="A728" s="8"/>
      <c r="B728" s="8"/>
      <c r="C728" s="8"/>
      <c r="D728" s="8"/>
      <c r="E728" s="8"/>
      <c r="F728" s="8"/>
      <c r="G728" s="8"/>
      <c r="H728" s="8"/>
      <c r="I728" s="8"/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  <c r="Z728" s="8"/>
      <c r="AA728" s="8"/>
      <c r="AB728" s="8"/>
      <c r="AC728" s="8"/>
    </row>
    <row r="729" spans="1:29" ht="12.75" customHeight="1">
      <c r="A729" s="8"/>
      <c r="B729" s="8"/>
      <c r="C729" s="8"/>
      <c r="D729" s="8"/>
      <c r="E729" s="8"/>
      <c r="F729" s="8"/>
      <c r="G729" s="8"/>
      <c r="H729" s="8"/>
      <c r="I729" s="8"/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  <c r="Z729" s="8"/>
      <c r="AA729" s="8"/>
      <c r="AB729" s="8"/>
      <c r="AC729" s="8"/>
    </row>
    <row r="730" spans="1:29" ht="12.75" customHeight="1">
      <c r="A730" s="8"/>
      <c r="B730" s="8"/>
      <c r="C730" s="8"/>
      <c r="D730" s="8"/>
      <c r="E730" s="8"/>
      <c r="F730" s="8"/>
      <c r="G730" s="8"/>
      <c r="H730" s="8"/>
      <c r="I730" s="8"/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  <c r="Z730" s="8"/>
      <c r="AA730" s="8"/>
      <c r="AB730" s="8"/>
      <c r="AC730" s="8"/>
    </row>
    <row r="731" spans="1:29" ht="12.75" customHeight="1">
      <c r="A731" s="8"/>
      <c r="B731" s="8"/>
      <c r="C731" s="8"/>
      <c r="D731" s="8"/>
      <c r="E731" s="8"/>
      <c r="F731" s="8"/>
      <c r="G731" s="8"/>
      <c r="H731" s="8"/>
      <c r="I731" s="8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  <c r="Z731" s="8"/>
      <c r="AA731" s="8"/>
      <c r="AB731" s="8"/>
      <c r="AC731" s="8"/>
    </row>
    <row r="732" spans="1:29" ht="12.75" customHeight="1">
      <c r="A732" s="8"/>
      <c r="B732" s="8"/>
      <c r="C732" s="8"/>
      <c r="D732" s="8"/>
      <c r="E732" s="8"/>
      <c r="F732" s="8"/>
      <c r="G732" s="8"/>
      <c r="H732" s="8"/>
      <c r="I732" s="8"/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  <c r="Z732" s="8"/>
      <c r="AA732" s="8"/>
      <c r="AB732" s="8"/>
      <c r="AC732" s="8"/>
    </row>
    <row r="733" spans="1:29" ht="12.75" customHeight="1">
      <c r="A733" s="8"/>
      <c r="B733" s="8"/>
      <c r="C733" s="8"/>
      <c r="D733" s="8"/>
      <c r="E733" s="8"/>
      <c r="F733" s="8"/>
      <c r="G733" s="8"/>
      <c r="H733" s="8"/>
      <c r="I733" s="8"/>
      <c r="J733" s="8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  <c r="Z733" s="8"/>
      <c r="AA733" s="8"/>
      <c r="AB733" s="8"/>
      <c r="AC733" s="8"/>
    </row>
    <row r="734" spans="1:29" ht="12.75" customHeight="1">
      <c r="A734" s="8"/>
      <c r="B734" s="8"/>
      <c r="C734" s="8"/>
      <c r="D734" s="8"/>
      <c r="E734" s="8"/>
      <c r="F734" s="8"/>
      <c r="G734" s="8"/>
      <c r="H734" s="8"/>
      <c r="I734" s="8"/>
      <c r="J734" s="8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  <c r="Z734" s="8"/>
      <c r="AA734" s="8"/>
      <c r="AB734" s="8"/>
      <c r="AC734" s="8"/>
    </row>
    <row r="735" spans="1:29" ht="12.75" customHeight="1">
      <c r="A735" s="8"/>
      <c r="B735" s="8"/>
      <c r="C735" s="8"/>
      <c r="D735" s="8"/>
      <c r="E735" s="8"/>
      <c r="F735" s="8"/>
      <c r="G735" s="8"/>
      <c r="H735" s="8"/>
      <c r="I735" s="8"/>
      <c r="J735" s="8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  <c r="Z735" s="8"/>
      <c r="AA735" s="8"/>
      <c r="AB735" s="8"/>
      <c r="AC735" s="8"/>
    </row>
    <row r="736" spans="1:29" ht="12.75" customHeight="1">
      <c r="A736" s="8"/>
      <c r="B736" s="8"/>
      <c r="C736" s="8"/>
      <c r="D736" s="8"/>
      <c r="E736" s="8"/>
      <c r="F736" s="8"/>
      <c r="G736" s="8"/>
      <c r="H736" s="8"/>
      <c r="I736" s="8"/>
      <c r="J736" s="8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  <c r="Z736" s="8"/>
      <c r="AA736" s="8"/>
      <c r="AB736" s="8"/>
      <c r="AC736" s="8"/>
    </row>
    <row r="737" spans="1:29" ht="12.75" customHeight="1">
      <c r="A737" s="8"/>
      <c r="B737" s="8"/>
      <c r="C737" s="8"/>
      <c r="D737" s="8"/>
      <c r="E737" s="8"/>
      <c r="F737" s="8"/>
      <c r="G737" s="8"/>
      <c r="H737" s="8"/>
      <c r="I737" s="8"/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  <c r="Z737" s="8"/>
      <c r="AA737" s="8"/>
      <c r="AB737" s="8"/>
      <c r="AC737" s="8"/>
    </row>
    <row r="738" spans="1:29" ht="12.75" customHeight="1">
      <c r="A738" s="8"/>
      <c r="B738" s="8"/>
      <c r="C738" s="8"/>
      <c r="D738" s="8"/>
      <c r="E738" s="8"/>
      <c r="F738" s="8"/>
      <c r="G738" s="8"/>
      <c r="H738" s="8"/>
      <c r="I738" s="8"/>
      <c r="J738" s="8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  <c r="Z738" s="8"/>
      <c r="AA738" s="8"/>
      <c r="AB738" s="8"/>
      <c r="AC738" s="8"/>
    </row>
    <row r="739" spans="1:29" ht="12.75" customHeight="1">
      <c r="A739" s="8"/>
      <c r="B739" s="8"/>
      <c r="C739" s="8"/>
      <c r="D739" s="8"/>
      <c r="E739" s="8"/>
      <c r="F739" s="8"/>
      <c r="G739" s="8"/>
      <c r="H739" s="8"/>
      <c r="I739" s="8"/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  <c r="Z739" s="8"/>
      <c r="AA739" s="8"/>
      <c r="AB739" s="8"/>
      <c r="AC739" s="8"/>
    </row>
    <row r="740" spans="1:29" ht="12.75" customHeight="1">
      <c r="A740" s="8"/>
      <c r="B740" s="8"/>
      <c r="C740" s="8"/>
      <c r="D740" s="8"/>
      <c r="E740" s="8"/>
      <c r="F740" s="8"/>
      <c r="G740" s="8"/>
      <c r="H740" s="8"/>
      <c r="I740" s="8"/>
      <c r="J740" s="8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  <c r="Z740" s="8"/>
      <c r="AA740" s="8"/>
      <c r="AB740" s="8"/>
      <c r="AC740" s="8"/>
    </row>
    <row r="741" spans="1:29" ht="12.75" customHeight="1">
      <c r="A741" s="8"/>
      <c r="B741" s="8"/>
      <c r="C741" s="8"/>
      <c r="D741" s="8"/>
      <c r="E741" s="8"/>
      <c r="F741" s="8"/>
      <c r="G741" s="8"/>
      <c r="H741" s="8"/>
      <c r="I741" s="8"/>
      <c r="J741" s="8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  <c r="Z741" s="8"/>
      <c r="AA741" s="8"/>
      <c r="AB741" s="8"/>
      <c r="AC741" s="8"/>
    </row>
    <row r="742" spans="1:29" ht="12.75" customHeight="1">
      <c r="A742" s="8"/>
      <c r="B742" s="8"/>
      <c r="C742" s="8"/>
      <c r="D742" s="8"/>
      <c r="E742" s="8"/>
      <c r="F742" s="8"/>
      <c r="G742" s="8"/>
      <c r="H742" s="8"/>
      <c r="I742" s="8"/>
      <c r="J742" s="8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  <c r="Z742" s="8"/>
      <c r="AA742" s="8"/>
      <c r="AB742" s="8"/>
      <c r="AC742" s="8"/>
    </row>
    <row r="743" spans="1:29" ht="12.75" customHeight="1">
      <c r="A743" s="8"/>
      <c r="B743" s="8"/>
      <c r="C743" s="8"/>
      <c r="D743" s="8"/>
      <c r="E743" s="8"/>
      <c r="F743" s="8"/>
      <c r="G743" s="8"/>
      <c r="H743" s="8"/>
      <c r="I743" s="8"/>
      <c r="J743" s="8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  <c r="Z743" s="8"/>
      <c r="AA743" s="8"/>
      <c r="AB743" s="8"/>
      <c r="AC743" s="8"/>
    </row>
    <row r="744" spans="1:29" ht="12.75" customHeight="1">
      <c r="A744" s="8"/>
      <c r="B744" s="8"/>
      <c r="C744" s="8"/>
      <c r="D744" s="8"/>
      <c r="E744" s="8"/>
      <c r="F744" s="8"/>
      <c r="G744" s="8"/>
      <c r="H744" s="8"/>
      <c r="I744" s="8"/>
      <c r="J744" s="8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  <c r="Z744" s="8"/>
      <c r="AA744" s="8"/>
      <c r="AB744" s="8"/>
      <c r="AC744" s="8"/>
    </row>
    <row r="745" spans="1:29" ht="12.75" customHeight="1">
      <c r="A745" s="8"/>
      <c r="B745" s="8"/>
      <c r="C745" s="8"/>
      <c r="D745" s="8"/>
      <c r="E745" s="8"/>
      <c r="F745" s="8"/>
      <c r="G745" s="8"/>
      <c r="H745" s="8"/>
      <c r="I745" s="8"/>
      <c r="J745" s="8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  <c r="Z745" s="8"/>
      <c r="AA745" s="8"/>
      <c r="AB745" s="8"/>
      <c r="AC745" s="8"/>
    </row>
    <row r="746" spans="1:29" ht="12.75" customHeight="1">
      <c r="A746" s="8"/>
      <c r="B746" s="8"/>
      <c r="C746" s="8"/>
      <c r="D746" s="8"/>
      <c r="E746" s="8"/>
      <c r="F746" s="8"/>
      <c r="G746" s="8"/>
      <c r="H746" s="8"/>
      <c r="I746" s="8"/>
      <c r="J746" s="8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  <c r="Z746" s="8"/>
      <c r="AA746" s="8"/>
      <c r="AB746" s="8"/>
      <c r="AC746" s="8"/>
    </row>
    <row r="747" spans="1:29" ht="12.75" customHeight="1">
      <c r="A747" s="8"/>
      <c r="B747" s="8"/>
      <c r="C747" s="8"/>
      <c r="D747" s="8"/>
      <c r="E747" s="8"/>
      <c r="F747" s="8"/>
      <c r="G747" s="8"/>
      <c r="H747" s="8"/>
      <c r="I747" s="8"/>
      <c r="J747" s="8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  <c r="Z747" s="8"/>
      <c r="AA747" s="8"/>
      <c r="AB747" s="8"/>
      <c r="AC747" s="8"/>
    </row>
    <row r="748" spans="1:29" ht="12.75" customHeight="1">
      <c r="A748" s="8"/>
      <c r="B748" s="8"/>
      <c r="C748" s="8"/>
      <c r="D748" s="8"/>
      <c r="E748" s="8"/>
      <c r="F748" s="8"/>
      <c r="G748" s="8"/>
      <c r="H748" s="8"/>
      <c r="I748" s="8"/>
      <c r="J748" s="8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  <c r="Z748" s="8"/>
      <c r="AA748" s="8"/>
      <c r="AB748" s="8"/>
      <c r="AC748" s="8"/>
    </row>
    <row r="749" spans="1:29" ht="12.75" customHeight="1">
      <c r="A749" s="8"/>
      <c r="B749" s="8"/>
      <c r="C749" s="8"/>
      <c r="D749" s="8"/>
      <c r="E749" s="8"/>
      <c r="F749" s="8"/>
      <c r="G749" s="8"/>
      <c r="H749" s="8"/>
      <c r="I749" s="8"/>
      <c r="J749" s="8"/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  <c r="Z749" s="8"/>
      <c r="AA749" s="8"/>
      <c r="AB749" s="8"/>
      <c r="AC749" s="8"/>
    </row>
    <row r="750" spans="1:29" ht="12.75" customHeight="1">
      <c r="A750" s="8"/>
      <c r="B750" s="8"/>
      <c r="C750" s="8"/>
      <c r="D750" s="8"/>
      <c r="E750" s="8"/>
      <c r="F750" s="8"/>
      <c r="G750" s="8"/>
      <c r="H750" s="8"/>
      <c r="I750" s="8"/>
      <c r="J750" s="8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  <c r="Z750" s="8"/>
      <c r="AA750" s="8"/>
      <c r="AB750" s="8"/>
      <c r="AC750" s="8"/>
    </row>
    <row r="751" spans="1:29" ht="12.75" customHeight="1">
      <c r="A751" s="8"/>
      <c r="B751" s="8"/>
      <c r="C751" s="8"/>
      <c r="D751" s="8"/>
      <c r="E751" s="8"/>
      <c r="F751" s="8"/>
      <c r="G751" s="8"/>
      <c r="H751" s="8"/>
      <c r="I751" s="8"/>
      <c r="J751" s="8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  <c r="Z751" s="8"/>
      <c r="AA751" s="8"/>
      <c r="AB751" s="8"/>
      <c r="AC751" s="8"/>
    </row>
    <row r="752" spans="1:29" ht="12.75" customHeight="1">
      <c r="A752" s="8"/>
      <c r="B752" s="8"/>
      <c r="C752" s="8"/>
      <c r="D752" s="8"/>
      <c r="E752" s="8"/>
      <c r="F752" s="8"/>
      <c r="G752" s="8"/>
      <c r="H752" s="8"/>
      <c r="I752" s="8"/>
      <c r="J752" s="8"/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  <c r="Z752" s="8"/>
      <c r="AA752" s="8"/>
      <c r="AB752" s="8"/>
      <c r="AC752" s="8"/>
    </row>
    <row r="753" spans="1:29" ht="12.75" customHeight="1">
      <c r="A753" s="8"/>
      <c r="B753" s="8"/>
      <c r="C753" s="8"/>
      <c r="D753" s="8"/>
      <c r="E753" s="8"/>
      <c r="F753" s="8"/>
      <c r="G753" s="8"/>
      <c r="H753" s="8"/>
      <c r="I753" s="8"/>
      <c r="J753" s="8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  <c r="Z753" s="8"/>
      <c r="AA753" s="8"/>
      <c r="AB753" s="8"/>
      <c r="AC753" s="8"/>
    </row>
    <row r="754" spans="1:29" ht="12.75" customHeight="1">
      <c r="A754" s="8"/>
      <c r="B754" s="8"/>
      <c r="C754" s="8"/>
      <c r="D754" s="8"/>
      <c r="E754" s="8"/>
      <c r="F754" s="8"/>
      <c r="G754" s="8"/>
      <c r="H754" s="8"/>
      <c r="I754" s="8"/>
      <c r="J754" s="8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  <c r="Z754" s="8"/>
      <c r="AA754" s="8"/>
      <c r="AB754" s="8"/>
      <c r="AC754" s="8"/>
    </row>
    <row r="755" spans="1:29" ht="12.75" customHeight="1">
      <c r="A755" s="8"/>
      <c r="B755" s="8"/>
      <c r="C755" s="8"/>
      <c r="D755" s="8"/>
      <c r="E755" s="8"/>
      <c r="F755" s="8"/>
      <c r="G755" s="8"/>
      <c r="H755" s="8"/>
      <c r="I755" s="8"/>
      <c r="J755" s="8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  <c r="Z755" s="8"/>
      <c r="AA755" s="8"/>
      <c r="AB755" s="8"/>
      <c r="AC755" s="8"/>
    </row>
    <row r="756" spans="1:29" ht="12.75" customHeight="1">
      <c r="A756" s="8"/>
      <c r="B756" s="8"/>
      <c r="C756" s="8"/>
      <c r="D756" s="8"/>
      <c r="E756" s="8"/>
      <c r="F756" s="8"/>
      <c r="G756" s="8"/>
      <c r="H756" s="8"/>
      <c r="I756" s="8"/>
      <c r="J756" s="8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  <c r="Z756" s="8"/>
      <c r="AA756" s="8"/>
      <c r="AB756" s="8"/>
      <c r="AC756" s="8"/>
    </row>
    <row r="757" spans="1:29" ht="12.75" customHeight="1">
      <c r="A757" s="8"/>
      <c r="B757" s="8"/>
      <c r="C757" s="8"/>
      <c r="D757" s="8"/>
      <c r="E757" s="8"/>
      <c r="F757" s="8"/>
      <c r="G757" s="8"/>
      <c r="H757" s="8"/>
      <c r="I757" s="8"/>
      <c r="J757" s="8"/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  <c r="Z757" s="8"/>
      <c r="AA757" s="8"/>
      <c r="AB757" s="8"/>
      <c r="AC757" s="8"/>
    </row>
    <row r="758" spans="1:29" ht="12.75" customHeight="1">
      <c r="A758" s="8"/>
      <c r="B758" s="8"/>
      <c r="C758" s="8"/>
      <c r="D758" s="8"/>
      <c r="E758" s="8"/>
      <c r="F758" s="8"/>
      <c r="G758" s="8"/>
      <c r="H758" s="8"/>
      <c r="I758" s="8"/>
      <c r="J758" s="8"/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  <c r="Z758" s="8"/>
      <c r="AA758" s="8"/>
      <c r="AB758" s="8"/>
      <c r="AC758" s="8"/>
    </row>
    <row r="759" spans="1:29" ht="12.75" customHeight="1">
      <c r="A759" s="8"/>
      <c r="B759" s="8"/>
      <c r="C759" s="8"/>
      <c r="D759" s="8"/>
      <c r="E759" s="8"/>
      <c r="F759" s="8"/>
      <c r="G759" s="8"/>
      <c r="H759" s="8"/>
      <c r="I759" s="8"/>
      <c r="J759" s="8"/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  <c r="Z759" s="8"/>
      <c r="AA759" s="8"/>
      <c r="AB759" s="8"/>
      <c r="AC759" s="8"/>
    </row>
    <row r="760" spans="1:29" ht="12.75" customHeight="1">
      <c r="A760" s="8"/>
      <c r="B760" s="8"/>
      <c r="C760" s="8"/>
      <c r="D760" s="8"/>
      <c r="E760" s="8"/>
      <c r="F760" s="8"/>
      <c r="G760" s="8"/>
      <c r="H760" s="8"/>
      <c r="I760" s="8"/>
      <c r="J760" s="8"/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  <c r="Z760" s="8"/>
      <c r="AA760" s="8"/>
      <c r="AB760" s="8"/>
      <c r="AC760" s="8"/>
    </row>
    <row r="761" spans="1:29" ht="12.75" customHeight="1">
      <c r="A761" s="8"/>
      <c r="B761" s="8"/>
      <c r="C761" s="8"/>
      <c r="D761" s="8"/>
      <c r="E761" s="8"/>
      <c r="F761" s="8"/>
      <c r="G761" s="8"/>
      <c r="H761" s="8"/>
      <c r="I761" s="8"/>
      <c r="J761" s="8"/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  <c r="Z761" s="8"/>
      <c r="AA761" s="8"/>
      <c r="AB761" s="8"/>
      <c r="AC761" s="8"/>
    </row>
    <row r="762" spans="1:29" ht="12.75" customHeight="1">
      <c r="A762" s="8"/>
      <c r="B762" s="8"/>
      <c r="C762" s="8"/>
      <c r="D762" s="8"/>
      <c r="E762" s="8"/>
      <c r="F762" s="8"/>
      <c r="G762" s="8"/>
      <c r="H762" s="8"/>
      <c r="I762" s="8"/>
      <c r="J762" s="8"/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  <c r="Z762" s="8"/>
      <c r="AA762" s="8"/>
      <c r="AB762" s="8"/>
      <c r="AC762" s="8"/>
    </row>
    <row r="763" spans="1:29" ht="12.75" customHeight="1">
      <c r="A763" s="8"/>
      <c r="B763" s="8"/>
      <c r="C763" s="8"/>
      <c r="D763" s="8"/>
      <c r="E763" s="8"/>
      <c r="F763" s="8"/>
      <c r="G763" s="8"/>
      <c r="H763" s="8"/>
      <c r="I763" s="8"/>
      <c r="J763" s="8"/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  <c r="Z763" s="8"/>
      <c r="AA763" s="8"/>
      <c r="AB763" s="8"/>
      <c r="AC763" s="8"/>
    </row>
    <row r="764" spans="1:29" ht="12.75" customHeight="1">
      <c r="A764" s="8"/>
      <c r="B764" s="8"/>
      <c r="C764" s="8"/>
      <c r="D764" s="8"/>
      <c r="E764" s="8"/>
      <c r="F764" s="8"/>
      <c r="G764" s="8"/>
      <c r="H764" s="8"/>
      <c r="I764" s="8"/>
      <c r="J764" s="8"/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  <c r="Z764" s="8"/>
      <c r="AA764" s="8"/>
      <c r="AB764" s="8"/>
      <c r="AC764" s="8"/>
    </row>
    <row r="765" spans="1:29" ht="12.75" customHeight="1">
      <c r="A765" s="8"/>
      <c r="B765" s="8"/>
      <c r="C765" s="8"/>
      <c r="D765" s="8"/>
      <c r="E765" s="8"/>
      <c r="F765" s="8"/>
      <c r="G765" s="8"/>
      <c r="H765" s="8"/>
      <c r="I765" s="8"/>
      <c r="J765" s="8"/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  <c r="Z765" s="8"/>
      <c r="AA765" s="8"/>
      <c r="AB765" s="8"/>
      <c r="AC765" s="8"/>
    </row>
    <row r="766" spans="1:29" ht="12.75" customHeight="1">
      <c r="A766" s="8"/>
      <c r="B766" s="8"/>
      <c r="C766" s="8"/>
      <c r="D766" s="8"/>
      <c r="E766" s="8"/>
      <c r="F766" s="8"/>
      <c r="G766" s="8"/>
      <c r="H766" s="8"/>
      <c r="I766" s="8"/>
      <c r="J766" s="8"/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  <c r="Z766" s="8"/>
      <c r="AA766" s="8"/>
      <c r="AB766" s="8"/>
      <c r="AC766" s="8"/>
    </row>
    <row r="767" spans="1:29" ht="12.75" customHeight="1">
      <c r="A767" s="8"/>
      <c r="B767" s="8"/>
      <c r="C767" s="8"/>
      <c r="D767" s="8"/>
      <c r="E767" s="8"/>
      <c r="F767" s="8"/>
      <c r="G767" s="8"/>
      <c r="H767" s="8"/>
      <c r="I767" s="8"/>
      <c r="J767" s="8"/>
      <c r="K767" s="8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  <c r="Z767" s="8"/>
      <c r="AA767" s="8"/>
      <c r="AB767" s="8"/>
      <c r="AC767" s="8"/>
    </row>
    <row r="768" spans="1:29" ht="12.75" customHeight="1">
      <c r="A768" s="8"/>
      <c r="B768" s="8"/>
      <c r="C768" s="8"/>
      <c r="D768" s="8"/>
      <c r="E768" s="8"/>
      <c r="F768" s="8"/>
      <c r="G768" s="8"/>
      <c r="H768" s="8"/>
      <c r="I768" s="8"/>
      <c r="J768" s="8"/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  <c r="Z768" s="8"/>
      <c r="AA768" s="8"/>
      <c r="AB768" s="8"/>
      <c r="AC768" s="8"/>
    </row>
    <row r="769" spans="1:29" ht="12.75" customHeight="1">
      <c r="A769" s="8"/>
      <c r="B769" s="8"/>
      <c r="C769" s="8"/>
      <c r="D769" s="8"/>
      <c r="E769" s="8"/>
      <c r="F769" s="8"/>
      <c r="G769" s="8"/>
      <c r="H769" s="8"/>
      <c r="I769" s="8"/>
      <c r="J769" s="8"/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  <c r="Z769" s="8"/>
      <c r="AA769" s="8"/>
      <c r="AB769" s="8"/>
      <c r="AC769" s="8"/>
    </row>
    <row r="770" spans="1:29" ht="12.75" customHeight="1">
      <c r="A770" s="8"/>
      <c r="B770" s="8"/>
      <c r="C770" s="8"/>
      <c r="D770" s="8"/>
      <c r="E770" s="8"/>
      <c r="F770" s="8"/>
      <c r="G770" s="8"/>
      <c r="H770" s="8"/>
      <c r="I770" s="8"/>
      <c r="J770" s="8"/>
      <c r="K770" s="8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  <c r="Z770" s="8"/>
      <c r="AA770" s="8"/>
      <c r="AB770" s="8"/>
      <c r="AC770" s="8"/>
    </row>
    <row r="771" spans="1:29" ht="12.75" customHeight="1">
      <c r="A771" s="8"/>
      <c r="B771" s="8"/>
      <c r="C771" s="8"/>
      <c r="D771" s="8"/>
      <c r="E771" s="8"/>
      <c r="F771" s="8"/>
      <c r="G771" s="8"/>
      <c r="H771" s="8"/>
      <c r="I771" s="8"/>
      <c r="J771" s="8"/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  <c r="Z771" s="8"/>
      <c r="AA771" s="8"/>
      <c r="AB771" s="8"/>
      <c r="AC771" s="8"/>
    </row>
    <row r="772" spans="1:29" ht="12.75" customHeight="1">
      <c r="A772" s="8"/>
      <c r="B772" s="8"/>
      <c r="C772" s="8"/>
      <c r="D772" s="8"/>
      <c r="E772" s="8"/>
      <c r="F772" s="8"/>
      <c r="G772" s="8"/>
      <c r="H772" s="8"/>
      <c r="I772" s="8"/>
      <c r="J772" s="8"/>
      <c r="K772" s="8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  <c r="Z772" s="8"/>
      <c r="AA772" s="8"/>
      <c r="AB772" s="8"/>
      <c r="AC772" s="8"/>
    </row>
    <row r="773" spans="1:29" ht="12.75" customHeight="1">
      <c r="A773" s="8"/>
      <c r="B773" s="8"/>
      <c r="C773" s="8"/>
      <c r="D773" s="8"/>
      <c r="E773" s="8"/>
      <c r="F773" s="8"/>
      <c r="G773" s="8"/>
      <c r="H773" s="8"/>
      <c r="I773" s="8"/>
      <c r="J773" s="8"/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  <c r="Z773" s="8"/>
      <c r="AA773" s="8"/>
      <c r="AB773" s="8"/>
      <c r="AC773" s="8"/>
    </row>
    <row r="774" spans="1:29" ht="12.75" customHeight="1">
      <c r="A774" s="8"/>
      <c r="B774" s="8"/>
      <c r="C774" s="8"/>
      <c r="D774" s="8"/>
      <c r="E774" s="8"/>
      <c r="F774" s="8"/>
      <c r="G774" s="8"/>
      <c r="H774" s="8"/>
      <c r="I774" s="8"/>
      <c r="J774" s="8"/>
      <c r="K774" s="8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  <c r="Z774" s="8"/>
      <c r="AA774" s="8"/>
      <c r="AB774" s="8"/>
      <c r="AC774" s="8"/>
    </row>
    <row r="775" spans="1:29" ht="12.75" customHeight="1">
      <c r="A775" s="8"/>
      <c r="B775" s="8"/>
      <c r="C775" s="8"/>
      <c r="D775" s="8"/>
      <c r="E775" s="8"/>
      <c r="F775" s="8"/>
      <c r="G775" s="8"/>
      <c r="H775" s="8"/>
      <c r="I775" s="8"/>
      <c r="J775" s="8"/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  <c r="Z775" s="8"/>
      <c r="AA775" s="8"/>
      <c r="AB775" s="8"/>
      <c r="AC775" s="8"/>
    </row>
    <row r="776" spans="1:29" ht="12.75" customHeight="1">
      <c r="A776" s="8"/>
      <c r="B776" s="8"/>
      <c r="C776" s="8"/>
      <c r="D776" s="8"/>
      <c r="E776" s="8"/>
      <c r="F776" s="8"/>
      <c r="G776" s="8"/>
      <c r="H776" s="8"/>
      <c r="I776" s="8"/>
      <c r="J776" s="8"/>
      <c r="K776" s="8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  <c r="Z776" s="8"/>
      <c r="AA776" s="8"/>
      <c r="AB776" s="8"/>
      <c r="AC776" s="8"/>
    </row>
    <row r="777" spans="1:29" ht="12.75" customHeight="1">
      <c r="A777" s="8"/>
      <c r="B777" s="8"/>
      <c r="C777" s="8"/>
      <c r="D777" s="8"/>
      <c r="E777" s="8"/>
      <c r="F777" s="8"/>
      <c r="G777" s="8"/>
      <c r="H777" s="8"/>
      <c r="I777" s="8"/>
      <c r="J777" s="8"/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  <c r="Z777" s="8"/>
      <c r="AA777" s="8"/>
      <c r="AB777" s="8"/>
      <c r="AC777" s="8"/>
    </row>
    <row r="778" spans="1:29" ht="12.75" customHeight="1">
      <c r="A778" s="8"/>
      <c r="B778" s="8"/>
      <c r="C778" s="8"/>
      <c r="D778" s="8"/>
      <c r="E778" s="8"/>
      <c r="F778" s="8"/>
      <c r="G778" s="8"/>
      <c r="H778" s="8"/>
      <c r="I778" s="8"/>
      <c r="J778" s="8"/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  <c r="Z778" s="8"/>
      <c r="AA778" s="8"/>
      <c r="AB778" s="8"/>
      <c r="AC778" s="8"/>
    </row>
    <row r="779" spans="1:29" ht="12.75" customHeight="1">
      <c r="A779" s="8"/>
      <c r="B779" s="8"/>
      <c r="C779" s="8"/>
      <c r="D779" s="8"/>
      <c r="E779" s="8"/>
      <c r="F779" s="8"/>
      <c r="G779" s="8"/>
      <c r="H779" s="8"/>
      <c r="I779" s="8"/>
      <c r="J779" s="8"/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  <c r="Z779" s="8"/>
      <c r="AA779" s="8"/>
      <c r="AB779" s="8"/>
      <c r="AC779" s="8"/>
    </row>
    <row r="780" spans="1:29" ht="12.75" customHeight="1">
      <c r="A780" s="8"/>
      <c r="B780" s="8"/>
      <c r="C780" s="8"/>
      <c r="D780" s="8"/>
      <c r="E780" s="8"/>
      <c r="F780" s="8"/>
      <c r="G780" s="8"/>
      <c r="H780" s="8"/>
      <c r="I780" s="8"/>
      <c r="J780" s="8"/>
      <c r="K780" s="8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  <c r="Z780" s="8"/>
      <c r="AA780" s="8"/>
      <c r="AB780" s="8"/>
      <c r="AC780" s="8"/>
    </row>
    <row r="781" spans="1:29" ht="12.75" customHeight="1">
      <c r="A781" s="8"/>
      <c r="B781" s="8"/>
      <c r="C781" s="8"/>
      <c r="D781" s="8"/>
      <c r="E781" s="8"/>
      <c r="F781" s="8"/>
      <c r="G781" s="8"/>
      <c r="H781" s="8"/>
      <c r="I781" s="8"/>
      <c r="J781" s="8"/>
      <c r="K781" s="8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  <c r="Z781" s="8"/>
      <c r="AA781" s="8"/>
      <c r="AB781" s="8"/>
      <c r="AC781" s="8"/>
    </row>
    <row r="782" spans="1:29" ht="12.75" customHeight="1">
      <c r="A782" s="8"/>
      <c r="B782" s="8"/>
      <c r="C782" s="8"/>
      <c r="D782" s="8"/>
      <c r="E782" s="8"/>
      <c r="F782" s="8"/>
      <c r="G782" s="8"/>
      <c r="H782" s="8"/>
      <c r="I782" s="8"/>
      <c r="J782" s="8"/>
      <c r="K782" s="8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  <c r="Z782" s="8"/>
      <c r="AA782" s="8"/>
      <c r="AB782" s="8"/>
      <c r="AC782" s="8"/>
    </row>
    <row r="783" spans="1:29" ht="12.75" customHeight="1">
      <c r="A783" s="8"/>
      <c r="B783" s="8"/>
      <c r="C783" s="8"/>
      <c r="D783" s="8"/>
      <c r="E783" s="8"/>
      <c r="F783" s="8"/>
      <c r="G783" s="8"/>
      <c r="H783" s="8"/>
      <c r="I783" s="8"/>
      <c r="J783" s="8"/>
      <c r="K783" s="8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  <c r="Z783" s="8"/>
      <c r="AA783" s="8"/>
      <c r="AB783" s="8"/>
      <c r="AC783" s="8"/>
    </row>
    <row r="784" spans="1:29" ht="12.75" customHeight="1">
      <c r="A784" s="8"/>
      <c r="B784" s="8"/>
      <c r="C784" s="8"/>
      <c r="D784" s="8"/>
      <c r="E784" s="8"/>
      <c r="F784" s="8"/>
      <c r="G784" s="8"/>
      <c r="H784" s="8"/>
      <c r="I784" s="8"/>
      <c r="J784" s="8"/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  <c r="Z784" s="8"/>
      <c r="AA784" s="8"/>
      <c r="AB784" s="8"/>
      <c r="AC784" s="8"/>
    </row>
    <row r="785" spans="1:29" ht="12.75" customHeight="1">
      <c r="A785" s="8"/>
      <c r="B785" s="8"/>
      <c r="C785" s="8"/>
      <c r="D785" s="8"/>
      <c r="E785" s="8"/>
      <c r="F785" s="8"/>
      <c r="G785" s="8"/>
      <c r="H785" s="8"/>
      <c r="I785" s="8"/>
      <c r="J785" s="8"/>
      <c r="K785" s="8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  <c r="Z785" s="8"/>
      <c r="AA785" s="8"/>
      <c r="AB785" s="8"/>
      <c r="AC785" s="8"/>
    </row>
    <row r="786" spans="1:29" ht="12.75" customHeight="1">
      <c r="A786" s="8"/>
      <c r="B786" s="8"/>
      <c r="C786" s="8"/>
      <c r="D786" s="8"/>
      <c r="E786" s="8"/>
      <c r="F786" s="8"/>
      <c r="G786" s="8"/>
      <c r="H786" s="8"/>
      <c r="I786" s="8"/>
      <c r="J786" s="8"/>
      <c r="K786" s="8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  <c r="Z786" s="8"/>
      <c r="AA786" s="8"/>
      <c r="AB786" s="8"/>
      <c r="AC786" s="8"/>
    </row>
    <row r="787" spans="1:29" ht="12.75" customHeight="1">
      <c r="A787" s="8"/>
      <c r="B787" s="8"/>
      <c r="C787" s="8"/>
      <c r="D787" s="8"/>
      <c r="E787" s="8"/>
      <c r="F787" s="8"/>
      <c r="G787" s="8"/>
      <c r="H787" s="8"/>
      <c r="I787" s="8"/>
      <c r="J787" s="8"/>
      <c r="K787" s="8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  <c r="Z787" s="8"/>
      <c r="AA787" s="8"/>
      <c r="AB787" s="8"/>
      <c r="AC787" s="8"/>
    </row>
    <row r="788" spans="1:29" ht="12.75" customHeight="1">
      <c r="A788" s="8"/>
      <c r="B788" s="8"/>
      <c r="C788" s="8"/>
      <c r="D788" s="8"/>
      <c r="E788" s="8"/>
      <c r="F788" s="8"/>
      <c r="G788" s="8"/>
      <c r="H788" s="8"/>
      <c r="I788" s="8"/>
      <c r="J788" s="8"/>
      <c r="K788" s="8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  <c r="Z788" s="8"/>
      <c r="AA788" s="8"/>
      <c r="AB788" s="8"/>
      <c r="AC788" s="8"/>
    </row>
    <row r="789" spans="1:29" ht="12.75" customHeight="1">
      <c r="A789" s="8"/>
      <c r="B789" s="8"/>
      <c r="C789" s="8"/>
      <c r="D789" s="8"/>
      <c r="E789" s="8"/>
      <c r="F789" s="8"/>
      <c r="G789" s="8"/>
      <c r="H789" s="8"/>
      <c r="I789" s="8"/>
      <c r="J789" s="8"/>
      <c r="K789" s="8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  <c r="Z789" s="8"/>
      <c r="AA789" s="8"/>
      <c r="AB789" s="8"/>
      <c r="AC789" s="8"/>
    </row>
    <row r="790" spans="1:29" ht="12.75" customHeight="1">
      <c r="A790" s="8"/>
      <c r="B790" s="8"/>
      <c r="C790" s="8"/>
      <c r="D790" s="8"/>
      <c r="E790" s="8"/>
      <c r="F790" s="8"/>
      <c r="G790" s="8"/>
      <c r="H790" s="8"/>
      <c r="I790" s="8"/>
      <c r="J790" s="8"/>
      <c r="K790" s="8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  <c r="Z790" s="8"/>
      <c r="AA790" s="8"/>
      <c r="AB790" s="8"/>
      <c r="AC790" s="8"/>
    </row>
    <row r="791" spans="1:29" ht="12.75" customHeight="1">
      <c r="A791" s="8"/>
      <c r="B791" s="8"/>
      <c r="C791" s="8"/>
      <c r="D791" s="8"/>
      <c r="E791" s="8"/>
      <c r="F791" s="8"/>
      <c r="G791" s="8"/>
      <c r="H791" s="8"/>
      <c r="I791" s="8"/>
      <c r="J791" s="8"/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  <c r="Z791" s="8"/>
      <c r="AA791" s="8"/>
      <c r="AB791" s="8"/>
      <c r="AC791" s="8"/>
    </row>
    <row r="792" spans="1:29" ht="12.75" customHeight="1">
      <c r="A792" s="8"/>
      <c r="B792" s="8"/>
      <c r="C792" s="8"/>
      <c r="D792" s="8"/>
      <c r="E792" s="8"/>
      <c r="F792" s="8"/>
      <c r="G792" s="8"/>
      <c r="H792" s="8"/>
      <c r="I792" s="8"/>
      <c r="J792" s="8"/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  <c r="Z792" s="8"/>
      <c r="AA792" s="8"/>
      <c r="AB792" s="8"/>
      <c r="AC792" s="8"/>
    </row>
    <row r="793" spans="1:29" ht="12.75" customHeight="1">
      <c r="A793" s="8"/>
      <c r="B793" s="8"/>
      <c r="C793" s="8"/>
      <c r="D793" s="8"/>
      <c r="E793" s="8"/>
      <c r="F793" s="8"/>
      <c r="G793" s="8"/>
      <c r="H793" s="8"/>
      <c r="I793" s="8"/>
      <c r="J793" s="8"/>
      <c r="K793" s="8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  <c r="Z793" s="8"/>
      <c r="AA793" s="8"/>
      <c r="AB793" s="8"/>
      <c r="AC793" s="8"/>
    </row>
    <row r="794" spans="1:29" ht="12.75" customHeight="1">
      <c r="A794" s="8"/>
      <c r="B794" s="8"/>
      <c r="C794" s="8"/>
      <c r="D794" s="8"/>
      <c r="E794" s="8"/>
      <c r="F794" s="8"/>
      <c r="G794" s="8"/>
      <c r="H794" s="8"/>
      <c r="I794" s="8"/>
      <c r="J794" s="8"/>
      <c r="K794" s="8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  <c r="Z794" s="8"/>
      <c r="AA794" s="8"/>
      <c r="AB794" s="8"/>
      <c r="AC794" s="8"/>
    </row>
    <row r="795" spans="1:29" ht="12.75" customHeight="1">
      <c r="A795" s="8"/>
      <c r="B795" s="8"/>
      <c r="C795" s="8"/>
      <c r="D795" s="8"/>
      <c r="E795" s="8"/>
      <c r="F795" s="8"/>
      <c r="G795" s="8"/>
      <c r="H795" s="8"/>
      <c r="I795" s="8"/>
      <c r="J795" s="8"/>
      <c r="K795" s="8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  <c r="Z795" s="8"/>
      <c r="AA795" s="8"/>
      <c r="AB795" s="8"/>
      <c r="AC795" s="8"/>
    </row>
    <row r="796" spans="1:29" ht="12.75" customHeight="1">
      <c r="A796" s="8"/>
      <c r="B796" s="8"/>
      <c r="C796" s="8"/>
      <c r="D796" s="8"/>
      <c r="E796" s="8"/>
      <c r="F796" s="8"/>
      <c r="G796" s="8"/>
      <c r="H796" s="8"/>
      <c r="I796" s="8"/>
      <c r="J796" s="8"/>
      <c r="K796" s="8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  <c r="Z796" s="8"/>
      <c r="AA796" s="8"/>
      <c r="AB796" s="8"/>
      <c r="AC796" s="8"/>
    </row>
    <row r="797" spans="1:29" ht="12.75" customHeight="1">
      <c r="A797" s="8"/>
      <c r="B797" s="8"/>
      <c r="C797" s="8"/>
      <c r="D797" s="8"/>
      <c r="E797" s="8"/>
      <c r="F797" s="8"/>
      <c r="G797" s="8"/>
      <c r="H797" s="8"/>
      <c r="I797" s="8"/>
      <c r="J797" s="8"/>
      <c r="K797" s="8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  <c r="Z797" s="8"/>
      <c r="AA797" s="8"/>
      <c r="AB797" s="8"/>
      <c r="AC797" s="8"/>
    </row>
    <row r="798" spans="1:29" ht="12.75" customHeight="1">
      <c r="A798" s="8"/>
      <c r="B798" s="8"/>
      <c r="C798" s="8"/>
      <c r="D798" s="8"/>
      <c r="E798" s="8"/>
      <c r="F798" s="8"/>
      <c r="G798" s="8"/>
      <c r="H798" s="8"/>
      <c r="I798" s="8"/>
      <c r="J798" s="8"/>
      <c r="K798" s="8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  <c r="Z798" s="8"/>
      <c r="AA798" s="8"/>
      <c r="AB798" s="8"/>
      <c r="AC798" s="8"/>
    </row>
    <row r="799" spans="1:29" ht="12.75" customHeight="1">
      <c r="A799" s="8"/>
      <c r="B799" s="8"/>
      <c r="C799" s="8"/>
      <c r="D799" s="8"/>
      <c r="E799" s="8"/>
      <c r="F799" s="8"/>
      <c r="G799" s="8"/>
      <c r="H799" s="8"/>
      <c r="I799" s="8"/>
      <c r="J799" s="8"/>
      <c r="K799" s="8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  <c r="Z799" s="8"/>
      <c r="AA799" s="8"/>
      <c r="AB799" s="8"/>
      <c r="AC799" s="8"/>
    </row>
    <row r="800" spans="1:29" ht="12.75" customHeight="1">
      <c r="A800" s="8"/>
      <c r="B800" s="8"/>
      <c r="C800" s="8"/>
      <c r="D800" s="8"/>
      <c r="E800" s="8"/>
      <c r="F800" s="8"/>
      <c r="G800" s="8"/>
      <c r="H800" s="8"/>
      <c r="I800" s="8"/>
      <c r="J800" s="8"/>
      <c r="K800" s="8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  <c r="Z800" s="8"/>
      <c r="AA800" s="8"/>
      <c r="AB800" s="8"/>
      <c r="AC800" s="8"/>
    </row>
    <row r="801" spans="1:29" ht="12.75" customHeight="1">
      <c r="A801" s="8"/>
      <c r="B801" s="8"/>
      <c r="C801" s="8"/>
      <c r="D801" s="8"/>
      <c r="E801" s="8"/>
      <c r="F801" s="8"/>
      <c r="G801" s="8"/>
      <c r="H801" s="8"/>
      <c r="I801" s="8"/>
      <c r="J801" s="8"/>
      <c r="K801" s="8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  <c r="Z801" s="8"/>
      <c r="AA801" s="8"/>
      <c r="AB801" s="8"/>
      <c r="AC801" s="8"/>
    </row>
    <row r="802" spans="1:29" ht="12.75" customHeight="1">
      <c r="A802" s="8"/>
      <c r="B802" s="8"/>
      <c r="C802" s="8"/>
      <c r="D802" s="8"/>
      <c r="E802" s="8"/>
      <c r="F802" s="8"/>
      <c r="G802" s="8"/>
      <c r="H802" s="8"/>
      <c r="I802" s="8"/>
      <c r="J802" s="8"/>
      <c r="K802" s="8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  <c r="Z802" s="8"/>
      <c r="AA802" s="8"/>
      <c r="AB802" s="8"/>
      <c r="AC802" s="8"/>
    </row>
    <row r="803" spans="1:29" ht="12.75" customHeight="1">
      <c r="A803" s="8"/>
      <c r="B803" s="8"/>
      <c r="C803" s="8"/>
      <c r="D803" s="8"/>
      <c r="E803" s="8"/>
      <c r="F803" s="8"/>
      <c r="G803" s="8"/>
      <c r="H803" s="8"/>
      <c r="I803" s="8"/>
      <c r="J803" s="8"/>
      <c r="K803" s="8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  <c r="Z803" s="8"/>
      <c r="AA803" s="8"/>
      <c r="AB803" s="8"/>
      <c r="AC803" s="8"/>
    </row>
    <row r="804" spans="1:29" ht="12.75" customHeight="1">
      <c r="A804" s="8"/>
      <c r="B804" s="8"/>
      <c r="C804" s="8"/>
      <c r="D804" s="8"/>
      <c r="E804" s="8"/>
      <c r="F804" s="8"/>
      <c r="G804" s="8"/>
      <c r="H804" s="8"/>
      <c r="I804" s="8"/>
      <c r="J804" s="8"/>
      <c r="K804" s="8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  <c r="Z804" s="8"/>
      <c r="AA804" s="8"/>
      <c r="AB804" s="8"/>
      <c r="AC804" s="8"/>
    </row>
    <row r="805" spans="1:29" ht="12.75" customHeight="1">
      <c r="A805" s="8"/>
      <c r="B805" s="8"/>
      <c r="C805" s="8"/>
      <c r="D805" s="8"/>
      <c r="E805" s="8"/>
      <c r="F805" s="8"/>
      <c r="G805" s="8"/>
      <c r="H805" s="8"/>
      <c r="I805" s="8"/>
      <c r="J805" s="8"/>
      <c r="K805" s="8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  <c r="Z805" s="8"/>
      <c r="AA805" s="8"/>
      <c r="AB805" s="8"/>
      <c r="AC805" s="8"/>
    </row>
    <row r="806" spans="1:29" ht="12.75" customHeight="1">
      <c r="A806" s="8"/>
      <c r="B806" s="8"/>
      <c r="C806" s="8"/>
      <c r="D806" s="8"/>
      <c r="E806" s="8"/>
      <c r="F806" s="8"/>
      <c r="G806" s="8"/>
      <c r="H806" s="8"/>
      <c r="I806" s="8"/>
      <c r="J806" s="8"/>
      <c r="K806" s="8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  <c r="Z806" s="8"/>
      <c r="AA806" s="8"/>
      <c r="AB806" s="8"/>
      <c r="AC806" s="8"/>
    </row>
    <row r="807" spans="1:29" ht="12.75" customHeight="1">
      <c r="A807" s="8"/>
      <c r="B807" s="8"/>
      <c r="C807" s="8"/>
      <c r="D807" s="8"/>
      <c r="E807" s="8"/>
      <c r="F807" s="8"/>
      <c r="G807" s="8"/>
      <c r="H807" s="8"/>
      <c r="I807" s="8"/>
      <c r="J807" s="8"/>
      <c r="K807" s="8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  <c r="Z807" s="8"/>
      <c r="AA807" s="8"/>
      <c r="AB807" s="8"/>
      <c r="AC807" s="8"/>
    </row>
    <row r="808" spans="1:29" ht="12.75" customHeight="1">
      <c r="A808" s="8"/>
      <c r="B808" s="8"/>
      <c r="C808" s="8"/>
      <c r="D808" s="8"/>
      <c r="E808" s="8"/>
      <c r="F808" s="8"/>
      <c r="G808" s="8"/>
      <c r="H808" s="8"/>
      <c r="I808" s="8"/>
      <c r="J808" s="8"/>
      <c r="K808" s="8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  <c r="Z808" s="8"/>
      <c r="AA808" s="8"/>
      <c r="AB808" s="8"/>
      <c r="AC808" s="8"/>
    </row>
    <row r="809" spans="1:29" ht="12.75" customHeight="1">
      <c r="A809" s="8"/>
      <c r="B809" s="8"/>
      <c r="C809" s="8"/>
      <c r="D809" s="8"/>
      <c r="E809" s="8"/>
      <c r="F809" s="8"/>
      <c r="G809" s="8"/>
      <c r="H809" s="8"/>
      <c r="I809" s="8"/>
      <c r="J809" s="8"/>
      <c r="K809" s="8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  <c r="Z809" s="8"/>
      <c r="AA809" s="8"/>
      <c r="AB809" s="8"/>
      <c r="AC809" s="8"/>
    </row>
    <row r="810" spans="1:29" ht="12.75" customHeight="1">
      <c r="A810" s="8"/>
      <c r="B810" s="8"/>
      <c r="C810" s="8"/>
      <c r="D810" s="8"/>
      <c r="E810" s="8"/>
      <c r="F810" s="8"/>
      <c r="G810" s="8"/>
      <c r="H810" s="8"/>
      <c r="I810" s="8"/>
      <c r="J810" s="8"/>
      <c r="K810" s="8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  <c r="Z810" s="8"/>
      <c r="AA810" s="8"/>
      <c r="AB810" s="8"/>
      <c r="AC810" s="8"/>
    </row>
    <row r="811" spans="1:29" ht="12.75" customHeight="1">
      <c r="A811" s="8"/>
      <c r="B811" s="8"/>
      <c r="C811" s="8"/>
      <c r="D811" s="8"/>
      <c r="E811" s="8"/>
      <c r="F811" s="8"/>
      <c r="G811" s="8"/>
      <c r="H811" s="8"/>
      <c r="I811" s="8"/>
      <c r="J811" s="8"/>
      <c r="K811" s="8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  <c r="Z811" s="8"/>
      <c r="AA811" s="8"/>
      <c r="AB811" s="8"/>
      <c r="AC811" s="8"/>
    </row>
    <row r="812" spans="1:29" ht="12.75" customHeight="1">
      <c r="A812" s="8"/>
      <c r="B812" s="8"/>
      <c r="C812" s="8"/>
      <c r="D812" s="8"/>
      <c r="E812" s="8"/>
      <c r="F812" s="8"/>
      <c r="G812" s="8"/>
      <c r="H812" s="8"/>
      <c r="I812" s="8"/>
      <c r="J812" s="8"/>
      <c r="K812" s="8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  <c r="Z812" s="8"/>
      <c r="AA812" s="8"/>
      <c r="AB812" s="8"/>
      <c r="AC812" s="8"/>
    </row>
    <row r="813" spans="1:29" ht="12.75" customHeight="1">
      <c r="A813" s="8"/>
      <c r="B813" s="8"/>
      <c r="C813" s="8"/>
      <c r="D813" s="8"/>
      <c r="E813" s="8"/>
      <c r="F813" s="8"/>
      <c r="G813" s="8"/>
      <c r="H813" s="8"/>
      <c r="I813" s="8"/>
      <c r="J813" s="8"/>
      <c r="K813" s="8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  <c r="Z813" s="8"/>
      <c r="AA813" s="8"/>
      <c r="AB813" s="8"/>
      <c r="AC813" s="8"/>
    </row>
    <row r="814" spans="1:29" ht="12.75" customHeight="1">
      <c r="A814" s="8"/>
      <c r="B814" s="8"/>
      <c r="C814" s="8"/>
      <c r="D814" s="8"/>
      <c r="E814" s="8"/>
      <c r="F814" s="8"/>
      <c r="G814" s="8"/>
      <c r="H814" s="8"/>
      <c r="I814" s="8"/>
      <c r="J814" s="8"/>
      <c r="K814" s="8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  <c r="Z814" s="8"/>
      <c r="AA814" s="8"/>
      <c r="AB814" s="8"/>
      <c r="AC814" s="8"/>
    </row>
    <row r="815" spans="1:29" ht="12.75" customHeight="1">
      <c r="A815" s="8"/>
      <c r="B815" s="8"/>
      <c r="C815" s="8"/>
      <c r="D815" s="8"/>
      <c r="E815" s="8"/>
      <c r="F815" s="8"/>
      <c r="G815" s="8"/>
      <c r="H815" s="8"/>
      <c r="I815" s="8"/>
      <c r="J815" s="8"/>
      <c r="K815" s="8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  <c r="Z815" s="8"/>
      <c r="AA815" s="8"/>
      <c r="AB815" s="8"/>
      <c r="AC815" s="8"/>
    </row>
    <row r="816" spans="1:29" ht="12.75" customHeight="1">
      <c r="A816" s="8"/>
      <c r="B816" s="8"/>
      <c r="C816" s="8"/>
      <c r="D816" s="8"/>
      <c r="E816" s="8"/>
      <c r="F816" s="8"/>
      <c r="G816" s="8"/>
      <c r="H816" s="8"/>
      <c r="I816" s="8"/>
      <c r="J816" s="8"/>
      <c r="K816" s="8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  <c r="Z816" s="8"/>
      <c r="AA816" s="8"/>
      <c r="AB816" s="8"/>
      <c r="AC816" s="8"/>
    </row>
    <row r="817" spans="1:29" ht="12.75" customHeight="1">
      <c r="A817" s="8"/>
      <c r="B817" s="8"/>
      <c r="C817" s="8"/>
      <c r="D817" s="8"/>
      <c r="E817" s="8"/>
      <c r="F817" s="8"/>
      <c r="G817" s="8"/>
      <c r="H817" s="8"/>
      <c r="I817" s="8"/>
      <c r="J817" s="8"/>
      <c r="K817" s="8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  <c r="Z817" s="8"/>
      <c r="AA817" s="8"/>
      <c r="AB817" s="8"/>
      <c r="AC817" s="8"/>
    </row>
    <row r="818" spans="1:29" ht="12.75" customHeight="1">
      <c r="A818" s="8"/>
      <c r="B818" s="8"/>
      <c r="C818" s="8"/>
      <c r="D818" s="8"/>
      <c r="E818" s="8"/>
      <c r="F818" s="8"/>
      <c r="G818" s="8"/>
      <c r="H818" s="8"/>
      <c r="I818" s="8"/>
      <c r="J818" s="8"/>
      <c r="K818" s="8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  <c r="Z818" s="8"/>
      <c r="AA818" s="8"/>
      <c r="AB818" s="8"/>
      <c r="AC818" s="8"/>
    </row>
    <row r="819" spans="1:29" ht="12.75" customHeight="1">
      <c r="A819" s="8"/>
      <c r="B819" s="8"/>
      <c r="C819" s="8"/>
      <c r="D819" s="8"/>
      <c r="E819" s="8"/>
      <c r="F819" s="8"/>
      <c r="G819" s="8"/>
      <c r="H819" s="8"/>
      <c r="I819" s="8"/>
      <c r="J819" s="8"/>
      <c r="K819" s="8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  <c r="Z819" s="8"/>
      <c r="AA819" s="8"/>
      <c r="AB819" s="8"/>
      <c r="AC819" s="8"/>
    </row>
    <row r="820" spans="1:29" ht="12.75" customHeight="1">
      <c r="A820" s="8"/>
      <c r="B820" s="8"/>
      <c r="C820" s="8"/>
      <c r="D820" s="8"/>
      <c r="E820" s="8"/>
      <c r="F820" s="8"/>
      <c r="G820" s="8"/>
      <c r="H820" s="8"/>
      <c r="I820" s="8"/>
      <c r="J820" s="8"/>
      <c r="K820" s="8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  <c r="Z820" s="8"/>
      <c r="AA820" s="8"/>
      <c r="AB820" s="8"/>
      <c r="AC820" s="8"/>
    </row>
    <row r="821" spans="1:29" ht="12.75" customHeight="1">
      <c r="A821" s="8"/>
      <c r="B821" s="8"/>
      <c r="C821" s="8"/>
      <c r="D821" s="8"/>
      <c r="E821" s="8"/>
      <c r="F821" s="8"/>
      <c r="G821" s="8"/>
      <c r="H821" s="8"/>
      <c r="I821" s="8"/>
      <c r="J821" s="8"/>
      <c r="K821" s="8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  <c r="Z821" s="8"/>
      <c r="AA821" s="8"/>
      <c r="AB821" s="8"/>
      <c r="AC821" s="8"/>
    </row>
    <row r="822" spans="1:29" ht="12.75" customHeight="1">
      <c r="A822" s="8"/>
      <c r="B822" s="8"/>
      <c r="C822" s="8"/>
      <c r="D822" s="8"/>
      <c r="E822" s="8"/>
      <c r="F822" s="8"/>
      <c r="G822" s="8"/>
      <c r="H822" s="8"/>
      <c r="I822" s="8"/>
      <c r="J822" s="8"/>
      <c r="K822" s="8"/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  <c r="Z822" s="8"/>
      <c r="AA822" s="8"/>
      <c r="AB822" s="8"/>
      <c r="AC822" s="8"/>
    </row>
    <row r="823" spans="1:29" ht="12.75" customHeight="1">
      <c r="A823" s="8"/>
      <c r="B823" s="8"/>
      <c r="C823" s="8"/>
      <c r="D823" s="8"/>
      <c r="E823" s="8"/>
      <c r="F823" s="8"/>
      <c r="G823" s="8"/>
      <c r="H823" s="8"/>
      <c r="I823" s="8"/>
      <c r="J823" s="8"/>
      <c r="K823" s="8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  <c r="Z823" s="8"/>
      <c r="AA823" s="8"/>
      <c r="AB823" s="8"/>
      <c r="AC823" s="8"/>
    </row>
    <row r="824" spans="1:29" ht="12.75" customHeight="1">
      <c r="A824" s="8"/>
      <c r="B824" s="8"/>
      <c r="C824" s="8"/>
      <c r="D824" s="8"/>
      <c r="E824" s="8"/>
      <c r="F824" s="8"/>
      <c r="G824" s="8"/>
      <c r="H824" s="8"/>
      <c r="I824" s="8"/>
      <c r="J824" s="8"/>
      <c r="K824" s="8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  <c r="Z824" s="8"/>
      <c r="AA824" s="8"/>
      <c r="AB824" s="8"/>
      <c r="AC824" s="8"/>
    </row>
    <row r="825" spans="1:29" ht="12.75" customHeight="1">
      <c r="A825" s="8"/>
      <c r="B825" s="8"/>
      <c r="C825" s="8"/>
      <c r="D825" s="8"/>
      <c r="E825" s="8"/>
      <c r="F825" s="8"/>
      <c r="G825" s="8"/>
      <c r="H825" s="8"/>
      <c r="I825" s="8"/>
      <c r="J825" s="8"/>
      <c r="K825" s="8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  <c r="Z825" s="8"/>
      <c r="AA825" s="8"/>
      <c r="AB825" s="8"/>
      <c r="AC825" s="8"/>
    </row>
    <row r="826" spans="1:29" ht="12.75" customHeight="1">
      <c r="A826" s="8"/>
      <c r="B826" s="8"/>
      <c r="C826" s="8"/>
      <c r="D826" s="8"/>
      <c r="E826" s="8"/>
      <c r="F826" s="8"/>
      <c r="G826" s="8"/>
      <c r="H826" s="8"/>
      <c r="I826" s="8"/>
      <c r="J826" s="8"/>
      <c r="K826" s="8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  <c r="Z826" s="8"/>
      <c r="AA826" s="8"/>
      <c r="AB826" s="8"/>
      <c r="AC826" s="8"/>
    </row>
    <row r="827" spans="1:29" ht="12.75" customHeight="1">
      <c r="A827" s="8"/>
      <c r="B827" s="8"/>
      <c r="C827" s="8"/>
      <c r="D827" s="8"/>
      <c r="E827" s="8"/>
      <c r="F827" s="8"/>
      <c r="G827" s="8"/>
      <c r="H827" s="8"/>
      <c r="I827" s="8"/>
      <c r="J827" s="8"/>
      <c r="K827" s="8"/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  <c r="Z827" s="8"/>
      <c r="AA827" s="8"/>
      <c r="AB827" s="8"/>
      <c r="AC827" s="8"/>
    </row>
    <row r="828" spans="1:29" ht="12.75" customHeight="1">
      <c r="A828" s="8"/>
      <c r="B828" s="8"/>
      <c r="C828" s="8"/>
      <c r="D828" s="8"/>
      <c r="E828" s="8"/>
      <c r="F828" s="8"/>
      <c r="G828" s="8"/>
      <c r="H828" s="8"/>
      <c r="I828" s="8"/>
      <c r="J828" s="8"/>
      <c r="K828" s="8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  <c r="Z828" s="8"/>
      <c r="AA828" s="8"/>
      <c r="AB828" s="8"/>
      <c r="AC828" s="8"/>
    </row>
    <row r="829" spans="1:29" ht="12.75" customHeight="1">
      <c r="A829" s="8"/>
      <c r="B829" s="8"/>
      <c r="C829" s="8"/>
      <c r="D829" s="8"/>
      <c r="E829" s="8"/>
      <c r="F829" s="8"/>
      <c r="G829" s="8"/>
      <c r="H829" s="8"/>
      <c r="I829" s="8"/>
      <c r="J829" s="8"/>
      <c r="K829" s="8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  <c r="Z829" s="8"/>
      <c r="AA829" s="8"/>
      <c r="AB829" s="8"/>
      <c r="AC829" s="8"/>
    </row>
    <row r="830" spans="1:29" ht="12.75" customHeight="1">
      <c r="A830" s="8"/>
      <c r="B830" s="8"/>
      <c r="C830" s="8"/>
      <c r="D830" s="8"/>
      <c r="E830" s="8"/>
      <c r="F830" s="8"/>
      <c r="G830" s="8"/>
      <c r="H830" s="8"/>
      <c r="I830" s="8"/>
      <c r="J830" s="8"/>
      <c r="K830" s="8"/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8"/>
      <c r="Z830" s="8"/>
      <c r="AA830" s="8"/>
      <c r="AB830" s="8"/>
      <c r="AC830" s="8"/>
    </row>
    <row r="831" spans="1:29" ht="12.75" customHeight="1">
      <c r="A831" s="8"/>
      <c r="B831" s="8"/>
      <c r="C831" s="8"/>
      <c r="D831" s="8"/>
      <c r="E831" s="8"/>
      <c r="F831" s="8"/>
      <c r="G831" s="8"/>
      <c r="H831" s="8"/>
      <c r="I831" s="8"/>
      <c r="J831" s="8"/>
      <c r="K831" s="8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  <c r="Z831" s="8"/>
      <c r="AA831" s="8"/>
      <c r="AB831" s="8"/>
      <c r="AC831" s="8"/>
    </row>
    <row r="832" spans="1:29" ht="12.75" customHeight="1">
      <c r="A832" s="8"/>
      <c r="B832" s="8"/>
      <c r="C832" s="8"/>
      <c r="D832" s="8"/>
      <c r="E832" s="8"/>
      <c r="F832" s="8"/>
      <c r="G832" s="8"/>
      <c r="H832" s="8"/>
      <c r="I832" s="8"/>
      <c r="J832" s="8"/>
      <c r="K832" s="8"/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8"/>
      <c r="Z832" s="8"/>
      <c r="AA832" s="8"/>
      <c r="AB832" s="8"/>
      <c r="AC832" s="8"/>
    </row>
    <row r="833" spans="1:29" ht="12.75" customHeight="1">
      <c r="A833" s="8"/>
      <c r="B833" s="8"/>
      <c r="C833" s="8"/>
      <c r="D833" s="8"/>
      <c r="E833" s="8"/>
      <c r="F833" s="8"/>
      <c r="G833" s="8"/>
      <c r="H833" s="8"/>
      <c r="I833" s="8"/>
      <c r="J833" s="8"/>
      <c r="K833" s="8"/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  <c r="Z833" s="8"/>
      <c r="AA833" s="8"/>
      <c r="AB833" s="8"/>
      <c r="AC833" s="8"/>
    </row>
    <row r="834" spans="1:29" ht="12.75" customHeight="1">
      <c r="A834" s="8"/>
      <c r="B834" s="8"/>
      <c r="C834" s="8"/>
      <c r="D834" s="8"/>
      <c r="E834" s="8"/>
      <c r="F834" s="8"/>
      <c r="G834" s="8"/>
      <c r="H834" s="8"/>
      <c r="I834" s="8"/>
      <c r="J834" s="8"/>
      <c r="K834" s="8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  <c r="Z834" s="8"/>
      <c r="AA834" s="8"/>
      <c r="AB834" s="8"/>
      <c r="AC834" s="8"/>
    </row>
    <row r="835" spans="1:29" ht="12.75" customHeight="1">
      <c r="A835" s="8"/>
      <c r="B835" s="8"/>
      <c r="C835" s="8"/>
      <c r="D835" s="8"/>
      <c r="E835" s="8"/>
      <c r="F835" s="8"/>
      <c r="G835" s="8"/>
      <c r="H835" s="8"/>
      <c r="I835" s="8"/>
      <c r="J835" s="8"/>
      <c r="K835" s="8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  <c r="Z835" s="8"/>
      <c r="AA835" s="8"/>
      <c r="AB835" s="8"/>
      <c r="AC835" s="8"/>
    </row>
    <row r="836" spans="1:29" ht="12.75" customHeight="1">
      <c r="A836" s="8"/>
      <c r="B836" s="8"/>
      <c r="C836" s="8"/>
      <c r="D836" s="8"/>
      <c r="E836" s="8"/>
      <c r="F836" s="8"/>
      <c r="G836" s="8"/>
      <c r="H836" s="8"/>
      <c r="I836" s="8"/>
      <c r="J836" s="8"/>
      <c r="K836" s="8"/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  <c r="Z836" s="8"/>
      <c r="AA836" s="8"/>
      <c r="AB836" s="8"/>
      <c r="AC836" s="8"/>
    </row>
    <row r="837" spans="1:29" ht="12.75" customHeight="1">
      <c r="A837" s="8"/>
      <c r="B837" s="8"/>
      <c r="C837" s="8"/>
      <c r="D837" s="8"/>
      <c r="E837" s="8"/>
      <c r="F837" s="8"/>
      <c r="G837" s="8"/>
      <c r="H837" s="8"/>
      <c r="I837" s="8"/>
      <c r="J837" s="8"/>
      <c r="K837" s="8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  <c r="Z837" s="8"/>
      <c r="AA837" s="8"/>
      <c r="AB837" s="8"/>
      <c r="AC837" s="8"/>
    </row>
    <row r="838" spans="1:29" ht="12.75" customHeight="1">
      <c r="A838" s="8"/>
      <c r="B838" s="8"/>
      <c r="C838" s="8"/>
      <c r="D838" s="8"/>
      <c r="E838" s="8"/>
      <c r="F838" s="8"/>
      <c r="G838" s="8"/>
      <c r="H838" s="8"/>
      <c r="I838" s="8"/>
      <c r="J838" s="8"/>
      <c r="K838" s="8"/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8"/>
      <c r="Z838" s="8"/>
      <c r="AA838" s="8"/>
      <c r="AB838" s="8"/>
      <c r="AC838" s="8"/>
    </row>
    <row r="839" spans="1:29" ht="12.75" customHeight="1">
      <c r="A839" s="8"/>
      <c r="B839" s="8"/>
      <c r="C839" s="8"/>
      <c r="D839" s="8"/>
      <c r="E839" s="8"/>
      <c r="F839" s="8"/>
      <c r="G839" s="8"/>
      <c r="H839" s="8"/>
      <c r="I839" s="8"/>
      <c r="J839" s="8"/>
      <c r="K839" s="8"/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  <c r="Z839" s="8"/>
      <c r="AA839" s="8"/>
      <c r="AB839" s="8"/>
      <c r="AC839" s="8"/>
    </row>
    <row r="840" spans="1:29" ht="12.75" customHeight="1">
      <c r="A840" s="8"/>
      <c r="B840" s="8"/>
      <c r="C840" s="8"/>
      <c r="D840" s="8"/>
      <c r="E840" s="8"/>
      <c r="F840" s="8"/>
      <c r="G840" s="8"/>
      <c r="H840" s="8"/>
      <c r="I840" s="8"/>
      <c r="J840" s="8"/>
      <c r="K840" s="8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  <c r="Z840" s="8"/>
      <c r="AA840" s="8"/>
      <c r="AB840" s="8"/>
      <c r="AC840" s="8"/>
    </row>
    <row r="841" spans="1:29" ht="12.75" customHeight="1">
      <c r="A841" s="8"/>
      <c r="B841" s="8"/>
      <c r="C841" s="8"/>
      <c r="D841" s="8"/>
      <c r="E841" s="8"/>
      <c r="F841" s="8"/>
      <c r="G841" s="8"/>
      <c r="H841" s="8"/>
      <c r="I841" s="8"/>
      <c r="J841" s="8"/>
      <c r="K841" s="8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  <c r="Z841" s="8"/>
      <c r="AA841" s="8"/>
      <c r="AB841" s="8"/>
      <c r="AC841" s="8"/>
    </row>
    <row r="842" spans="1:29" ht="12.75" customHeight="1">
      <c r="A842" s="8"/>
      <c r="B842" s="8"/>
      <c r="C842" s="8"/>
      <c r="D842" s="8"/>
      <c r="E842" s="8"/>
      <c r="F842" s="8"/>
      <c r="G842" s="8"/>
      <c r="H842" s="8"/>
      <c r="I842" s="8"/>
      <c r="J842" s="8"/>
      <c r="K842" s="8"/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8"/>
      <c r="Z842" s="8"/>
      <c r="AA842" s="8"/>
      <c r="AB842" s="8"/>
      <c r="AC842" s="8"/>
    </row>
    <row r="843" spans="1:29" ht="12.75" customHeight="1">
      <c r="A843" s="8"/>
      <c r="B843" s="8"/>
      <c r="C843" s="8"/>
      <c r="D843" s="8"/>
      <c r="E843" s="8"/>
      <c r="F843" s="8"/>
      <c r="G843" s="8"/>
      <c r="H843" s="8"/>
      <c r="I843" s="8"/>
      <c r="J843" s="8"/>
      <c r="K843" s="8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  <c r="Z843" s="8"/>
      <c r="AA843" s="8"/>
      <c r="AB843" s="8"/>
      <c r="AC843" s="8"/>
    </row>
    <row r="844" spans="1:29" ht="12.75" customHeight="1">
      <c r="A844" s="8"/>
      <c r="B844" s="8"/>
      <c r="C844" s="8"/>
      <c r="D844" s="8"/>
      <c r="E844" s="8"/>
      <c r="F844" s="8"/>
      <c r="G844" s="8"/>
      <c r="H844" s="8"/>
      <c r="I844" s="8"/>
      <c r="J844" s="8"/>
      <c r="K844" s="8"/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  <c r="Z844" s="8"/>
      <c r="AA844" s="8"/>
      <c r="AB844" s="8"/>
      <c r="AC844" s="8"/>
    </row>
    <row r="845" spans="1:29" ht="12.75" customHeight="1">
      <c r="A845" s="8"/>
      <c r="B845" s="8"/>
      <c r="C845" s="8"/>
      <c r="D845" s="8"/>
      <c r="E845" s="8"/>
      <c r="F845" s="8"/>
      <c r="G845" s="8"/>
      <c r="H845" s="8"/>
      <c r="I845" s="8"/>
      <c r="J845" s="8"/>
      <c r="K845" s="8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  <c r="Z845" s="8"/>
      <c r="AA845" s="8"/>
      <c r="AB845" s="8"/>
      <c r="AC845" s="8"/>
    </row>
    <row r="846" spans="1:29" ht="12.75" customHeight="1">
      <c r="A846" s="8"/>
      <c r="B846" s="8"/>
      <c r="C846" s="8"/>
      <c r="D846" s="8"/>
      <c r="E846" s="8"/>
      <c r="F846" s="8"/>
      <c r="G846" s="8"/>
      <c r="H846" s="8"/>
      <c r="I846" s="8"/>
      <c r="J846" s="8"/>
      <c r="K846" s="8"/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/>
      <c r="Z846" s="8"/>
      <c r="AA846" s="8"/>
      <c r="AB846" s="8"/>
      <c r="AC846" s="8"/>
    </row>
    <row r="847" spans="1:29" ht="12.75" customHeight="1">
      <c r="A847" s="8"/>
      <c r="B847" s="8"/>
      <c r="C847" s="8"/>
      <c r="D847" s="8"/>
      <c r="E847" s="8"/>
      <c r="F847" s="8"/>
      <c r="G847" s="8"/>
      <c r="H847" s="8"/>
      <c r="I847" s="8"/>
      <c r="J847" s="8"/>
      <c r="K847" s="8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  <c r="Z847" s="8"/>
      <c r="AA847" s="8"/>
      <c r="AB847" s="8"/>
      <c r="AC847" s="8"/>
    </row>
    <row r="848" spans="1:29" ht="12.75" customHeight="1">
      <c r="A848" s="8"/>
      <c r="B848" s="8"/>
      <c r="C848" s="8"/>
      <c r="D848" s="8"/>
      <c r="E848" s="8"/>
      <c r="F848" s="8"/>
      <c r="G848" s="8"/>
      <c r="H848" s="8"/>
      <c r="I848" s="8"/>
      <c r="J848" s="8"/>
      <c r="K848" s="8"/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  <c r="Z848" s="8"/>
      <c r="AA848" s="8"/>
      <c r="AB848" s="8"/>
      <c r="AC848" s="8"/>
    </row>
    <row r="849" spans="1:29" ht="12.75" customHeight="1">
      <c r="A849" s="8"/>
      <c r="B849" s="8"/>
      <c r="C849" s="8"/>
      <c r="D849" s="8"/>
      <c r="E849" s="8"/>
      <c r="F849" s="8"/>
      <c r="G849" s="8"/>
      <c r="H849" s="8"/>
      <c r="I849" s="8"/>
      <c r="J849" s="8"/>
      <c r="K849" s="8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  <c r="Z849" s="8"/>
      <c r="AA849" s="8"/>
      <c r="AB849" s="8"/>
      <c r="AC849" s="8"/>
    </row>
    <row r="850" spans="1:29" ht="12.75" customHeight="1">
      <c r="A850" s="8"/>
      <c r="B850" s="8"/>
      <c r="C850" s="8"/>
      <c r="D850" s="8"/>
      <c r="E850" s="8"/>
      <c r="F850" s="8"/>
      <c r="G850" s="8"/>
      <c r="H850" s="8"/>
      <c r="I850" s="8"/>
      <c r="J850" s="8"/>
      <c r="K850" s="8"/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  <c r="Y850" s="8"/>
      <c r="Z850" s="8"/>
      <c r="AA850" s="8"/>
      <c r="AB850" s="8"/>
      <c r="AC850" s="8"/>
    </row>
    <row r="851" spans="1:29" ht="12.75" customHeight="1">
      <c r="A851" s="8"/>
      <c r="B851" s="8"/>
      <c r="C851" s="8"/>
      <c r="D851" s="8"/>
      <c r="E851" s="8"/>
      <c r="F851" s="8"/>
      <c r="G851" s="8"/>
      <c r="H851" s="8"/>
      <c r="I851" s="8"/>
      <c r="J851" s="8"/>
      <c r="K851" s="8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  <c r="Z851" s="8"/>
      <c r="AA851" s="8"/>
      <c r="AB851" s="8"/>
      <c r="AC851" s="8"/>
    </row>
    <row r="852" spans="1:29" ht="12.75" customHeight="1">
      <c r="A852" s="8"/>
      <c r="B852" s="8"/>
      <c r="C852" s="8"/>
      <c r="D852" s="8"/>
      <c r="E852" s="8"/>
      <c r="F852" s="8"/>
      <c r="G852" s="8"/>
      <c r="H852" s="8"/>
      <c r="I852" s="8"/>
      <c r="J852" s="8"/>
      <c r="K852" s="8"/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  <c r="Y852" s="8"/>
      <c r="Z852" s="8"/>
      <c r="AA852" s="8"/>
      <c r="AB852" s="8"/>
      <c r="AC852" s="8"/>
    </row>
    <row r="853" spans="1:29" ht="12.75" customHeight="1">
      <c r="A853" s="8"/>
      <c r="B853" s="8"/>
      <c r="C853" s="8"/>
      <c r="D853" s="8"/>
      <c r="E853" s="8"/>
      <c r="F853" s="8"/>
      <c r="G853" s="8"/>
      <c r="H853" s="8"/>
      <c r="I853" s="8"/>
      <c r="J853" s="8"/>
      <c r="K853" s="8"/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8"/>
      <c r="Z853" s="8"/>
      <c r="AA853" s="8"/>
      <c r="AB853" s="8"/>
      <c r="AC853" s="8"/>
    </row>
    <row r="854" spans="1:29" ht="12.75" customHeight="1">
      <c r="A854" s="8"/>
      <c r="B854" s="8"/>
      <c r="C854" s="8"/>
      <c r="D854" s="8"/>
      <c r="E854" s="8"/>
      <c r="F854" s="8"/>
      <c r="G854" s="8"/>
      <c r="H854" s="8"/>
      <c r="I854" s="8"/>
      <c r="J854" s="8"/>
      <c r="K854" s="8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  <c r="Z854" s="8"/>
      <c r="AA854" s="8"/>
      <c r="AB854" s="8"/>
      <c r="AC854" s="8"/>
    </row>
    <row r="855" spans="1:29" ht="12.75" customHeight="1">
      <c r="A855" s="8"/>
      <c r="B855" s="8"/>
      <c r="C855" s="8"/>
      <c r="D855" s="8"/>
      <c r="E855" s="8"/>
      <c r="F855" s="8"/>
      <c r="G855" s="8"/>
      <c r="H855" s="8"/>
      <c r="I855" s="8"/>
      <c r="J855" s="8"/>
      <c r="K855" s="8"/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  <c r="Y855" s="8"/>
      <c r="Z855" s="8"/>
      <c r="AA855" s="8"/>
      <c r="AB855" s="8"/>
      <c r="AC855" s="8"/>
    </row>
    <row r="856" spans="1:29" ht="12.75" customHeight="1">
      <c r="A856" s="8"/>
      <c r="B856" s="8"/>
      <c r="C856" s="8"/>
      <c r="D856" s="8"/>
      <c r="E856" s="8"/>
      <c r="F856" s="8"/>
      <c r="G856" s="8"/>
      <c r="H856" s="8"/>
      <c r="I856" s="8"/>
      <c r="J856" s="8"/>
      <c r="K856" s="8"/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  <c r="Z856" s="8"/>
      <c r="AA856" s="8"/>
      <c r="AB856" s="8"/>
      <c r="AC856" s="8"/>
    </row>
    <row r="857" spans="1:29" ht="12.75" customHeight="1">
      <c r="A857" s="8"/>
      <c r="B857" s="8"/>
      <c r="C857" s="8"/>
      <c r="D857" s="8"/>
      <c r="E857" s="8"/>
      <c r="F857" s="8"/>
      <c r="G857" s="8"/>
      <c r="H857" s="8"/>
      <c r="I857" s="8"/>
      <c r="J857" s="8"/>
      <c r="K857" s="8"/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8"/>
      <c r="Z857" s="8"/>
      <c r="AA857" s="8"/>
      <c r="AB857" s="8"/>
      <c r="AC857" s="8"/>
    </row>
    <row r="858" spans="1:29" ht="12.75" customHeight="1">
      <c r="A858" s="8"/>
      <c r="B858" s="8"/>
      <c r="C858" s="8"/>
      <c r="D858" s="8"/>
      <c r="E858" s="8"/>
      <c r="F858" s="8"/>
      <c r="G858" s="8"/>
      <c r="H858" s="8"/>
      <c r="I858" s="8"/>
      <c r="J858" s="8"/>
      <c r="K858" s="8"/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8"/>
      <c r="Z858" s="8"/>
      <c r="AA858" s="8"/>
      <c r="AB858" s="8"/>
      <c r="AC858" s="8"/>
    </row>
    <row r="859" spans="1:29" ht="12.75" customHeight="1">
      <c r="A859" s="8"/>
      <c r="B859" s="8"/>
      <c r="C859" s="8"/>
      <c r="D859" s="8"/>
      <c r="E859" s="8"/>
      <c r="F859" s="8"/>
      <c r="G859" s="8"/>
      <c r="H859" s="8"/>
      <c r="I859" s="8"/>
      <c r="J859" s="8"/>
      <c r="K859" s="8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  <c r="Z859" s="8"/>
      <c r="AA859" s="8"/>
      <c r="AB859" s="8"/>
      <c r="AC859" s="8"/>
    </row>
    <row r="860" spans="1:29" ht="12.75" customHeight="1">
      <c r="A860" s="8"/>
      <c r="B860" s="8"/>
      <c r="C860" s="8"/>
      <c r="D860" s="8"/>
      <c r="E860" s="8"/>
      <c r="F860" s="8"/>
      <c r="G860" s="8"/>
      <c r="H860" s="8"/>
      <c r="I860" s="8"/>
      <c r="J860" s="8"/>
      <c r="K860" s="8"/>
      <c r="L860" s="8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  <c r="Y860" s="8"/>
      <c r="Z860" s="8"/>
      <c r="AA860" s="8"/>
      <c r="AB860" s="8"/>
      <c r="AC860" s="8"/>
    </row>
    <row r="861" spans="1:29" ht="12.75" customHeight="1">
      <c r="A861" s="8"/>
      <c r="B861" s="8"/>
      <c r="C861" s="8"/>
      <c r="D861" s="8"/>
      <c r="E861" s="8"/>
      <c r="F861" s="8"/>
      <c r="G861" s="8"/>
      <c r="H861" s="8"/>
      <c r="I861" s="8"/>
      <c r="J861" s="8"/>
      <c r="K861" s="8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  <c r="Z861" s="8"/>
      <c r="AA861" s="8"/>
      <c r="AB861" s="8"/>
      <c r="AC861" s="8"/>
    </row>
    <row r="862" spans="1:29" ht="12.75" customHeight="1">
      <c r="A862" s="8"/>
      <c r="B862" s="8"/>
      <c r="C862" s="8"/>
      <c r="D862" s="8"/>
      <c r="E862" s="8"/>
      <c r="F862" s="8"/>
      <c r="G862" s="8"/>
      <c r="H862" s="8"/>
      <c r="I862" s="8"/>
      <c r="J862" s="8"/>
      <c r="K862" s="8"/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  <c r="Y862" s="8"/>
      <c r="Z862" s="8"/>
      <c r="AA862" s="8"/>
      <c r="AB862" s="8"/>
      <c r="AC862" s="8"/>
    </row>
    <row r="863" spans="1:29" ht="12.75" customHeight="1">
      <c r="A863" s="8"/>
      <c r="B863" s="8"/>
      <c r="C863" s="8"/>
      <c r="D863" s="8"/>
      <c r="E863" s="8"/>
      <c r="F863" s="8"/>
      <c r="G863" s="8"/>
      <c r="H863" s="8"/>
      <c r="I863" s="8"/>
      <c r="J863" s="8"/>
      <c r="K863" s="8"/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  <c r="Z863" s="8"/>
      <c r="AA863" s="8"/>
      <c r="AB863" s="8"/>
      <c r="AC863" s="8"/>
    </row>
    <row r="864" spans="1:29" ht="12.75" customHeight="1">
      <c r="A864" s="8"/>
      <c r="B864" s="8"/>
      <c r="C864" s="8"/>
      <c r="D864" s="8"/>
      <c r="E864" s="8"/>
      <c r="F864" s="8"/>
      <c r="G864" s="8"/>
      <c r="H864" s="8"/>
      <c r="I864" s="8"/>
      <c r="J864" s="8"/>
      <c r="K864" s="8"/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8"/>
      <c r="Z864" s="8"/>
      <c r="AA864" s="8"/>
      <c r="AB864" s="8"/>
      <c r="AC864" s="8"/>
    </row>
    <row r="865" spans="1:29" ht="12.75" customHeight="1">
      <c r="A865" s="8"/>
      <c r="B865" s="8"/>
      <c r="C865" s="8"/>
      <c r="D865" s="8"/>
      <c r="E865" s="8"/>
      <c r="F865" s="8"/>
      <c r="G865" s="8"/>
      <c r="H865" s="8"/>
      <c r="I865" s="8"/>
      <c r="J865" s="8"/>
      <c r="K865" s="8"/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/>
      <c r="Z865" s="8"/>
      <c r="AA865" s="8"/>
      <c r="AB865" s="8"/>
      <c r="AC865" s="8"/>
    </row>
    <row r="866" spans="1:29" ht="12.75" customHeight="1">
      <c r="A866" s="8"/>
      <c r="B866" s="8"/>
      <c r="C866" s="8"/>
      <c r="D866" s="8"/>
      <c r="E866" s="8"/>
      <c r="F866" s="8"/>
      <c r="G866" s="8"/>
      <c r="H866" s="8"/>
      <c r="I866" s="8"/>
      <c r="J866" s="8"/>
      <c r="K866" s="8"/>
      <c r="L866" s="8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  <c r="Y866" s="8"/>
      <c r="Z866" s="8"/>
      <c r="AA866" s="8"/>
      <c r="AB866" s="8"/>
      <c r="AC866" s="8"/>
    </row>
    <row r="867" spans="1:29" ht="12.75" customHeight="1">
      <c r="A867" s="8"/>
      <c r="B867" s="8"/>
      <c r="C867" s="8"/>
      <c r="D867" s="8"/>
      <c r="E867" s="8"/>
      <c r="F867" s="8"/>
      <c r="G867" s="8"/>
      <c r="H867" s="8"/>
      <c r="I867" s="8"/>
      <c r="J867" s="8"/>
      <c r="K867" s="8"/>
      <c r="L867" s="8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  <c r="Y867" s="8"/>
      <c r="Z867" s="8"/>
      <c r="AA867" s="8"/>
      <c r="AB867" s="8"/>
      <c r="AC867" s="8"/>
    </row>
    <row r="868" spans="1:29" ht="12.75" customHeight="1">
      <c r="A868" s="8"/>
      <c r="B868" s="8"/>
      <c r="C868" s="8"/>
      <c r="D868" s="8"/>
      <c r="E868" s="8"/>
      <c r="F868" s="8"/>
      <c r="G868" s="8"/>
      <c r="H868" s="8"/>
      <c r="I868" s="8"/>
      <c r="J868" s="8"/>
      <c r="K868" s="8"/>
      <c r="L868" s="8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  <c r="Y868" s="8"/>
      <c r="Z868" s="8"/>
      <c r="AA868" s="8"/>
      <c r="AB868" s="8"/>
      <c r="AC868" s="8"/>
    </row>
    <row r="869" spans="1:29" ht="12.75" customHeight="1">
      <c r="A869" s="8"/>
      <c r="B869" s="8"/>
      <c r="C869" s="8"/>
      <c r="D869" s="8"/>
      <c r="E869" s="8"/>
      <c r="F869" s="8"/>
      <c r="G869" s="8"/>
      <c r="H869" s="8"/>
      <c r="I869" s="8"/>
      <c r="J869" s="8"/>
      <c r="K869" s="8"/>
      <c r="L869" s="8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  <c r="Y869" s="8"/>
      <c r="Z869" s="8"/>
      <c r="AA869" s="8"/>
      <c r="AB869" s="8"/>
      <c r="AC869" s="8"/>
    </row>
    <row r="870" spans="1:29" ht="12.75" customHeight="1">
      <c r="A870" s="8"/>
      <c r="B870" s="8"/>
      <c r="C870" s="8"/>
      <c r="D870" s="8"/>
      <c r="E870" s="8"/>
      <c r="F870" s="8"/>
      <c r="G870" s="8"/>
      <c r="H870" s="8"/>
      <c r="I870" s="8"/>
      <c r="J870" s="8"/>
      <c r="K870" s="8"/>
      <c r="L870" s="8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8"/>
      <c r="Y870" s="8"/>
      <c r="Z870" s="8"/>
      <c r="AA870" s="8"/>
      <c r="AB870" s="8"/>
      <c r="AC870" s="8"/>
    </row>
    <row r="871" spans="1:29" ht="12.75" customHeight="1">
      <c r="A871" s="8"/>
      <c r="B871" s="8"/>
      <c r="C871" s="8"/>
      <c r="D871" s="8"/>
      <c r="E871" s="8"/>
      <c r="F871" s="8"/>
      <c r="G871" s="8"/>
      <c r="H871" s="8"/>
      <c r="I871" s="8"/>
      <c r="J871" s="8"/>
      <c r="K871" s="8"/>
      <c r="L871" s="8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  <c r="Y871" s="8"/>
      <c r="Z871" s="8"/>
      <c r="AA871" s="8"/>
      <c r="AB871" s="8"/>
      <c r="AC871" s="8"/>
    </row>
    <row r="872" spans="1:29" ht="12.75" customHeight="1">
      <c r="A872" s="8"/>
      <c r="B872" s="8"/>
      <c r="C872" s="8"/>
      <c r="D872" s="8"/>
      <c r="E872" s="8"/>
      <c r="F872" s="8"/>
      <c r="G872" s="8"/>
      <c r="H872" s="8"/>
      <c r="I872" s="8"/>
      <c r="J872" s="8"/>
      <c r="K872" s="8"/>
      <c r="L872" s="8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8"/>
      <c r="Y872" s="8"/>
      <c r="Z872" s="8"/>
      <c r="AA872" s="8"/>
      <c r="AB872" s="8"/>
      <c r="AC872" s="8"/>
    </row>
    <row r="873" spans="1:29" ht="12.75" customHeight="1">
      <c r="A873" s="8"/>
      <c r="B873" s="8"/>
      <c r="C873" s="8"/>
      <c r="D873" s="8"/>
      <c r="E873" s="8"/>
      <c r="F873" s="8"/>
      <c r="G873" s="8"/>
      <c r="H873" s="8"/>
      <c r="I873" s="8"/>
      <c r="J873" s="8"/>
      <c r="K873" s="8"/>
      <c r="L873" s="8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  <c r="Y873" s="8"/>
      <c r="Z873" s="8"/>
      <c r="AA873" s="8"/>
      <c r="AB873" s="8"/>
      <c r="AC873" s="8"/>
    </row>
    <row r="874" spans="1:29" ht="12.75" customHeight="1">
      <c r="A874" s="8"/>
      <c r="B874" s="8"/>
      <c r="C874" s="8"/>
      <c r="D874" s="8"/>
      <c r="E874" s="8"/>
      <c r="F874" s="8"/>
      <c r="G874" s="8"/>
      <c r="H874" s="8"/>
      <c r="I874" s="8"/>
      <c r="J874" s="8"/>
      <c r="K874" s="8"/>
      <c r="L874" s="8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  <c r="Y874" s="8"/>
      <c r="Z874" s="8"/>
      <c r="AA874" s="8"/>
      <c r="AB874" s="8"/>
      <c r="AC874" s="8"/>
    </row>
    <row r="875" spans="1:29" ht="12.75" customHeight="1">
      <c r="A875" s="8"/>
      <c r="B875" s="8"/>
      <c r="C875" s="8"/>
      <c r="D875" s="8"/>
      <c r="E875" s="8"/>
      <c r="F875" s="8"/>
      <c r="G875" s="8"/>
      <c r="H875" s="8"/>
      <c r="I875" s="8"/>
      <c r="J875" s="8"/>
      <c r="K875" s="8"/>
      <c r="L875" s="8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8"/>
      <c r="Y875" s="8"/>
      <c r="Z875" s="8"/>
      <c r="AA875" s="8"/>
      <c r="AB875" s="8"/>
      <c r="AC875" s="8"/>
    </row>
    <row r="876" spans="1:29" ht="12.75" customHeight="1">
      <c r="A876" s="8"/>
      <c r="B876" s="8"/>
      <c r="C876" s="8"/>
      <c r="D876" s="8"/>
      <c r="E876" s="8"/>
      <c r="F876" s="8"/>
      <c r="G876" s="8"/>
      <c r="H876" s="8"/>
      <c r="I876" s="8"/>
      <c r="J876" s="8"/>
      <c r="K876" s="8"/>
      <c r="L876" s="8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  <c r="Y876" s="8"/>
      <c r="Z876" s="8"/>
      <c r="AA876" s="8"/>
      <c r="AB876" s="8"/>
      <c r="AC876" s="8"/>
    </row>
    <row r="877" spans="1:29" ht="12.75" customHeight="1">
      <c r="A877" s="8"/>
      <c r="B877" s="8"/>
      <c r="C877" s="8"/>
      <c r="D877" s="8"/>
      <c r="E877" s="8"/>
      <c r="F877" s="8"/>
      <c r="G877" s="8"/>
      <c r="H877" s="8"/>
      <c r="I877" s="8"/>
      <c r="J877" s="8"/>
      <c r="K877" s="8"/>
      <c r="L877" s="8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/>
      <c r="Y877" s="8"/>
      <c r="Z877" s="8"/>
      <c r="AA877" s="8"/>
      <c r="AB877" s="8"/>
      <c r="AC877" s="8"/>
    </row>
    <row r="878" spans="1:29" ht="12.75" customHeight="1">
      <c r="A878" s="8"/>
      <c r="B878" s="8"/>
      <c r="C878" s="8"/>
      <c r="D878" s="8"/>
      <c r="E878" s="8"/>
      <c r="F878" s="8"/>
      <c r="G878" s="8"/>
      <c r="H878" s="8"/>
      <c r="I878" s="8"/>
      <c r="J878" s="8"/>
      <c r="K878" s="8"/>
      <c r="L878" s="8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8"/>
      <c r="Y878" s="8"/>
      <c r="Z878" s="8"/>
      <c r="AA878" s="8"/>
      <c r="AB878" s="8"/>
      <c r="AC878" s="8"/>
    </row>
    <row r="879" spans="1:29" ht="12.75" customHeight="1">
      <c r="A879" s="8"/>
      <c r="B879" s="8"/>
      <c r="C879" s="8"/>
      <c r="D879" s="8"/>
      <c r="E879" s="8"/>
      <c r="F879" s="8"/>
      <c r="G879" s="8"/>
      <c r="H879" s="8"/>
      <c r="I879" s="8"/>
      <c r="J879" s="8"/>
      <c r="K879" s="8"/>
      <c r="L879" s="8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  <c r="Y879" s="8"/>
      <c r="Z879" s="8"/>
      <c r="AA879" s="8"/>
      <c r="AB879" s="8"/>
      <c r="AC879" s="8"/>
    </row>
    <row r="880" spans="1:29" ht="12.75" customHeight="1">
      <c r="A880" s="8"/>
      <c r="B880" s="8"/>
      <c r="C880" s="8"/>
      <c r="D880" s="8"/>
      <c r="E880" s="8"/>
      <c r="F880" s="8"/>
      <c r="G880" s="8"/>
      <c r="H880" s="8"/>
      <c r="I880" s="8"/>
      <c r="J880" s="8"/>
      <c r="K880" s="8"/>
      <c r="L880" s="8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 s="8"/>
      <c r="Y880" s="8"/>
      <c r="Z880" s="8"/>
      <c r="AA880" s="8"/>
      <c r="AB880" s="8"/>
      <c r="AC880" s="8"/>
    </row>
    <row r="881" spans="1:29" ht="12.75" customHeight="1">
      <c r="A881" s="8"/>
      <c r="B881" s="8"/>
      <c r="C881" s="8"/>
      <c r="D881" s="8"/>
      <c r="E881" s="8"/>
      <c r="F881" s="8"/>
      <c r="G881" s="8"/>
      <c r="H881" s="8"/>
      <c r="I881" s="8"/>
      <c r="J881" s="8"/>
      <c r="K881" s="8"/>
      <c r="L881" s="8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  <c r="Y881" s="8"/>
      <c r="Z881" s="8"/>
      <c r="AA881" s="8"/>
      <c r="AB881" s="8"/>
      <c r="AC881" s="8"/>
    </row>
    <row r="882" spans="1:29" ht="12.75" customHeight="1">
      <c r="A882" s="8"/>
      <c r="B882" s="8"/>
      <c r="C882" s="8"/>
      <c r="D882" s="8"/>
      <c r="E882" s="8"/>
      <c r="F882" s="8"/>
      <c r="G882" s="8"/>
      <c r="H882" s="8"/>
      <c r="I882" s="8"/>
      <c r="J882" s="8"/>
      <c r="K882" s="8"/>
      <c r="L882" s="8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 s="8"/>
      <c r="Y882" s="8"/>
      <c r="Z882" s="8"/>
      <c r="AA882" s="8"/>
      <c r="AB882" s="8"/>
      <c r="AC882" s="8"/>
    </row>
    <row r="883" spans="1:29" ht="12.75" customHeight="1">
      <c r="A883" s="8"/>
      <c r="B883" s="8"/>
      <c r="C883" s="8"/>
      <c r="D883" s="8"/>
      <c r="E883" s="8"/>
      <c r="F883" s="8"/>
      <c r="G883" s="8"/>
      <c r="H883" s="8"/>
      <c r="I883" s="8"/>
      <c r="J883" s="8"/>
      <c r="K883" s="8"/>
      <c r="L883" s="8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  <c r="Y883" s="8"/>
      <c r="Z883" s="8"/>
      <c r="AA883" s="8"/>
      <c r="AB883" s="8"/>
      <c r="AC883" s="8"/>
    </row>
    <row r="884" spans="1:29" ht="12.75" customHeight="1">
      <c r="A884" s="8"/>
      <c r="B884" s="8"/>
      <c r="C884" s="8"/>
      <c r="D884" s="8"/>
      <c r="E884" s="8"/>
      <c r="F884" s="8"/>
      <c r="G884" s="8"/>
      <c r="H884" s="8"/>
      <c r="I884" s="8"/>
      <c r="J884" s="8"/>
      <c r="K884" s="8"/>
      <c r="L884" s="8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8"/>
      <c r="Y884" s="8"/>
      <c r="Z884" s="8"/>
      <c r="AA884" s="8"/>
      <c r="AB884" s="8"/>
      <c r="AC884" s="8"/>
    </row>
    <row r="885" spans="1:29" ht="12.75" customHeight="1">
      <c r="A885" s="8"/>
      <c r="B885" s="8"/>
      <c r="C885" s="8"/>
      <c r="D885" s="8"/>
      <c r="E885" s="8"/>
      <c r="F885" s="8"/>
      <c r="G885" s="8"/>
      <c r="H885" s="8"/>
      <c r="I885" s="8"/>
      <c r="J885" s="8"/>
      <c r="K885" s="8"/>
      <c r="L885" s="8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 s="8"/>
      <c r="Y885" s="8"/>
      <c r="Z885" s="8"/>
      <c r="AA885" s="8"/>
      <c r="AB885" s="8"/>
      <c r="AC885" s="8"/>
    </row>
    <row r="886" spans="1:29" ht="12.75" customHeight="1">
      <c r="A886" s="8"/>
      <c r="B886" s="8"/>
      <c r="C886" s="8"/>
      <c r="D886" s="8"/>
      <c r="E886" s="8"/>
      <c r="F886" s="8"/>
      <c r="G886" s="8"/>
      <c r="H886" s="8"/>
      <c r="I886" s="8"/>
      <c r="J886" s="8"/>
      <c r="K886" s="8"/>
      <c r="L886" s="8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 s="8"/>
      <c r="Y886" s="8"/>
      <c r="Z886" s="8"/>
      <c r="AA886" s="8"/>
      <c r="AB886" s="8"/>
      <c r="AC886" s="8"/>
    </row>
    <row r="887" spans="1:29" ht="12.75" customHeight="1">
      <c r="A887" s="8"/>
      <c r="B887" s="8"/>
      <c r="C887" s="8"/>
      <c r="D887" s="8"/>
      <c r="E887" s="8"/>
      <c r="F887" s="8"/>
      <c r="G887" s="8"/>
      <c r="H887" s="8"/>
      <c r="I887" s="8"/>
      <c r="J887" s="8"/>
      <c r="K887" s="8"/>
      <c r="L887" s="8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  <c r="X887" s="8"/>
      <c r="Y887" s="8"/>
      <c r="Z887" s="8"/>
      <c r="AA887" s="8"/>
      <c r="AB887" s="8"/>
      <c r="AC887" s="8"/>
    </row>
    <row r="888" spans="1:29" ht="12.75" customHeight="1">
      <c r="A888" s="8"/>
      <c r="B888" s="8"/>
      <c r="C888" s="8"/>
      <c r="D888" s="8"/>
      <c r="E888" s="8"/>
      <c r="F888" s="8"/>
      <c r="G888" s="8"/>
      <c r="H888" s="8"/>
      <c r="I888" s="8"/>
      <c r="J888" s="8"/>
      <c r="K888" s="8"/>
      <c r="L888" s="8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  <c r="X888" s="8"/>
      <c r="Y888" s="8"/>
      <c r="Z888" s="8"/>
      <c r="AA888" s="8"/>
      <c r="AB888" s="8"/>
      <c r="AC888" s="8"/>
    </row>
    <row r="889" spans="1:29" ht="12.75" customHeight="1">
      <c r="A889" s="8"/>
      <c r="B889" s="8"/>
      <c r="C889" s="8"/>
      <c r="D889" s="8"/>
      <c r="E889" s="8"/>
      <c r="F889" s="8"/>
      <c r="G889" s="8"/>
      <c r="H889" s="8"/>
      <c r="I889" s="8"/>
      <c r="J889" s="8"/>
      <c r="K889" s="8"/>
      <c r="L889" s="8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  <c r="X889" s="8"/>
      <c r="Y889" s="8"/>
      <c r="Z889" s="8"/>
      <c r="AA889" s="8"/>
      <c r="AB889" s="8"/>
      <c r="AC889" s="8"/>
    </row>
    <row r="890" spans="1:29" ht="12.75" customHeight="1">
      <c r="A890" s="8"/>
      <c r="B890" s="8"/>
      <c r="C890" s="8"/>
      <c r="D890" s="8"/>
      <c r="E890" s="8"/>
      <c r="F890" s="8"/>
      <c r="G890" s="8"/>
      <c r="H890" s="8"/>
      <c r="I890" s="8"/>
      <c r="J890" s="8"/>
      <c r="K890" s="8"/>
      <c r="L890" s="8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  <c r="X890" s="8"/>
      <c r="Y890" s="8"/>
      <c r="Z890" s="8"/>
      <c r="AA890" s="8"/>
      <c r="AB890" s="8"/>
      <c r="AC890" s="8"/>
    </row>
    <row r="891" spans="1:29" ht="12.75" customHeight="1">
      <c r="A891" s="8"/>
      <c r="B891" s="8"/>
      <c r="C891" s="8"/>
      <c r="D891" s="8"/>
      <c r="E891" s="8"/>
      <c r="F891" s="8"/>
      <c r="G891" s="8"/>
      <c r="H891" s="8"/>
      <c r="I891" s="8"/>
      <c r="J891" s="8"/>
      <c r="K891" s="8"/>
      <c r="L891" s="8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  <c r="X891" s="8"/>
      <c r="Y891" s="8"/>
      <c r="Z891" s="8"/>
      <c r="AA891" s="8"/>
      <c r="AB891" s="8"/>
      <c r="AC891" s="8"/>
    </row>
    <row r="892" spans="1:29" ht="12.75" customHeight="1">
      <c r="A892" s="8"/>
      <c r="B892" s="8"/>
      <c r="C892" s="8"/>
      <c r="D892" s="8"/>
      <c r="E892" s="8"/>
      <c r="F892" s="8"/>
      <c r="G892" s="8"/>
      <c r="H892" s="8"/>
      <c r="I892" s="8"/>
      <c r="J892" s="8"/>
      <c r="K892" s="8"/>
      <c r="L892" s="8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  <c r="X892" s="8"/>
      <c r="Y892" s="8"/>
      <c r="Z892" s="8"/>
      <c r="AA892" s="8"/>
      <c r="AB892" s="8"/>
      <c r="AC892" s="8"/>
    </row>
    <row r="893" spans="1:29" ht="12.75" customHeight="1">
      <c r="A893" s="8"/>
      <c r="B893" s="8"/>
      <c r="C893" s="8"/>
      <c r="D893" s="8"/>
      <c r="E893" s="8"/>
      <c r="F893" s="8"/>
      <c r="G893" s="8"/>
      <c r="H893" s="8"/>
      <c r="I893" s="8"/>
      <c r="J893" s="8"/>
      <c r="K893" s="8"/>
      <c r="L893" s="8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  <c r="X893" s="8"/>
      <c r="Y893" s="8"/>
      <c r="Z893" s="8"/>
      <c r="AA893" s="8"/>
      <c r="AB893" s="8"/>
      <c r="AC893" s="8"/>
    </row>
    <row r="894" spans="1:29" ht="12.75" customHeight="1">
      <c r="A894" s="8"/>
      <c r="B894" s="8"/>
      <c r="C894" s="8"/>
      <c r="D894" s="8"/>
      <c r="E894" s="8"/>
      <c r="F894" s="8"/>
      <c r="G894" s="8"/>
      <c r="H894" s="8"/>
      <c r="I894" s="8"/>
      <c r="J894" s="8"/>
      <c r="K894" s="8"/>
      <c r="L894" s="8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  <c r="X894" s="8"/>
      <c r="Y894" s="8"/>
      <c r="Z894" s="8"/>
      <c r="AA894" s="8"/>
      <c r="AB894" s="8"/>
      <c r="AC894" s="8"/>
    </row>
    <row r="895" spans="1:29" ht="12.75" customHeight="1">
      <c r="A895" s="8"/>
      <c r="B895" s="8"/>
      <c r="C895" s="8"/>
      <c r="D895" s="8"/>
      <c r="E895" s="8"/>
      <c r="F895" s="8"/>
      <c r="G895" s="8"/>
      <c r="H895" s="8"/>
      <c r="I895" s="8"/>
      <c r="J895" s="8"/>
      <c r="K895" s="8"/>
      <c r="L895" s="8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  <c r="X895" s="8"/>
      <c r="Y895" s="8"/>
      <c r="Z895" s="8"/>
      <c r="AA895" s="8"/>
      <c r="AB895" s="8"/>
      <c r="AC895" s="8"/>
    </row>
    <row r="896" spans="1:29" ht="12.75" customHeight="1">
      <c r="A896" s="8"/>
      <c r="B896" s="8"/>
      <c r="C896" s="8"/>
      <c r="D896" s="8"/>
      <c r="E896" s="8"/>
      <c r="F896" s="8"/>
      <c r="G896" s="8"/>
      <c r="H896" s="8"/>
      <c r="I896" s="8"/>
      <c r="J896" s="8"/>
      <c r="K896" s="8"/>
      <c r="L896" s="8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  <c r="X896" s="8"/>
      <c r="Y896" s="8"/>
      <c r="Z896" s="8"/>
      <c r="AA896" s="8"/>
      <c r="AB896" s="8"/>
      <c r="AC896" s="8"/>
    </row>
    <row r="897" spans="1:29" ht="12.75" customHeight="1">
      <c r="A897" s="8"/>
      <c r="B897" s="8"/>
      <c r="C897" s="8"/>
      <c r="D897" s="8"/>
      <c r="E897" s="8"/>
      <c r="F897" s="8"/>
      <c r="G897" s="8"/>
      <c r="H897" s="8"/>
      <c r="I897" s="8"/>
      <c r="J897" s="8"/>
      <c r="K897" s="8"/>
      <c r="L897" s="8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  <c r="X897" s="8"/>
      <c r="Y897" s="8"/>
      <c r="Z897" s="8"/>
      <c r="AA897" s="8"/>
      <c r="AB897" s="8"/>
      <c r="AC897" s="8"/>
    </row>
    <row r="898" spans="1:29" ht="12.75" customHeight="1">
      <c r="A898" s="8"/>
      <c r="B898" s="8"/>
      <c r="C898" s="8"/>
      <c r="D898" s="8"/>
      <c r="E898" s="8"/>
      <c r="F898" s="8"/>
      <c r="G898" s="8"/>
      <c r="H898" s="8"/>
      <c r="I898" s="8"/>
      <c r="J898" s="8"/>
      <c r="K898" s="8"/>
      <c r="L898" s="8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  <c r="X898" s="8"/>
      <c r="Y898" s="8"/>
      <c r="Z898" s="8"/>
      <c r="AA898" s="8"/>
      <c r="AB898" s="8"/>
      <c r="AC898" s="8"/>
    </row>
    <row r="899" spans="1:29" ht="12.75" customHeight="1">
      <c r="A899" s="8"/>
      <c r="B899" s="8"/>
      <c r="C899" s="8"/>
      <c r="D899" s="8"/>
      <c r="E899" s="8"/>
      <c r="F899" s="8"/>
      <c r="G899" s="8"/>
      <c r="H899" s="8"/>
      <c r="I899" s="8"/>
      <c r="J899" s="8"/>
      <c r="K899" s="8"/>
      <c r="L899" s="8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  <c r="X899" s="8"/>
      <c r="Y899" s="8"/>
      <c r="Z899" s="8"/>
      <c r="AA899" s="8"/>
      <c r="AB899" s="8"/>
      <c r="AC899" s="8"/>
    </row>
    <row r="900" spans="1:29" ht="12.75" customHeight="1">
      <c r="A900" s="8"/>
      <c r="B900" s="8"/>
      <c r="C900" s="8"/>
      <c r="D900" s="8"/>
      <c r="E900" s="8"/>
      <c r="F900" s="8"/>
      <c r="G900" s="8"/>
      <c r="H900" s="8"/>
      <c r="I900" s="8"/>
      <c r="J900" s="8"/>
      <c r="K900" s="8"/>
      <c r="L900" s="8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  <c r="X900" s="8"/>
      <c r="Y900" s="8"/>
      <c r="Z900" s="8"/>
      <c r="AA900" s="8"/>
      <c r="AB900" s="8"/>
      <c r="AC900" s="8"/>
    </row>
    <row r="901" spans="1:29" ht="12.75" customHeight="1">
      <c r="A901" s="8"/>
      <c r="B901" s="8"/>
      <c r="C901" s="8"/>
      <c r="D901" s="8"/>
      <c r="E901" s="8"/>
      <c r="F901" s="8"/>
      <c r="G901" s="8"/>
      <c r="H901" s="8"/>
      <c r="I901" s="8"/>
      <c r="J901" s="8"/>
      <c r="K901" s="8"/>
      <c r="L901" s="8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  <c r="X901" s="8"/>
      <c r="Y901" s="8"/>
      <c r="Z901" s="8"/>
      <c r="AA901" s="8"/>
      <c r="AB901" s="8"/>
      <c r="AC901" s="8"/>
    </row>
    <row r="902" spans="1:29" ht="12.75" customHeight="1">
      <c r="A902" s="8"/>
      <c r="B902" s="8"/>
      <c r="C902" s="8"/>
      <c r="D902" s="8"/>
      <c r="E902" s="8"/>
      <c r="F902" s="8"/>
      <c r="G902" s="8"/>
      <c r="H902" s="8"/>
      <c r="I902" s="8"/>
      <c r="J902" s="8"/>
      <c r="K902" s="8"/>
      <c r="L902" s="8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8"/>
      <c r="X902" s="8"/>
      <c r="Y902" s="8"/>
      <c r="Z902" s="8"/>
      <c r="AA902" s="8"/>
      <c r="AB902" s="8"/>
      <c r="AC902" s="8"/>
    </row>
    <row r="903" spans="1:29" ht="12.75" customHeight="1">
      <c r="A903" s="8"/>
      <c r="B903" s="8"/>
      <c r="C903" s="8"/>
      <c r="D903" s="8"/>
      <c r="E903" s="8"/>
      <c r="F903" s="8"/>
      <c r="G903" s="8"/>
      <c r="H903" s="8"/>
      <c r="I903" s="8"/>
      <c r="J903" s="8"/>
      <c r="K903" s="8"/>
      <c r="L903" s="8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  <c r="X903" s="8"/>
      <c r="Y903" s="8"/>
      <c r="Z903" s="8"/>
      <c r="AA903" s="8"/>
      <c r="AB903" s="8"/>
      <c r="AC903" s="8"/>
    </row>
    <row r="904" spans="1:29" ht="12.75" customHeight="1">
      <c r="A904" s="8"/>
      <c r="B904" s="8"/>
      <c r="C904" s="8"/>
      <c r="D904" s="8"/>
      <c r="E904" s="8"/>
      <c r="F904" s="8"/>
      <c r="G904" s="8"/>
      <c r="H904" s="8"/>
      <c r="I904" s="8"/>
      <c r="J904" s="8"/>
      <c r="K904" s="8"/>
      <c r="L904" s="8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8"/>
      <c r="X904" s="8"/>
      <c r="Y904" s="8"/>
      <c r="Z904" s="8"/>
      <c r="AA904" s="8"/>
      <c r="AB904" s="8"/>
      <c r="AC904" s="8"/>
    </row>
    <row r="905" spans="1:29" ht="12.75" customHeight="1">
      <c r="A905" s="8"/>
      <c r="B905" s="8"/>
      <c r="C905" s="8"/>
      <c r="D905" s="8"/>
      <c r="E905" s="8"/>
      <c r="F905" s="8"/>
      <c r="G905" s="8"/>
      <c r="H905" s="8"/>
      <c r="I905" s="8"/>
      <c r="J905" s="8"/>
      <c r="K905" s="8"/>
      <c r="L905" s="8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8"/>
      <c r="X905" s="8"/>
      <c r="Y905" s="8"/>
      <c r="Z905" s="8"/>
      <c r="AA905" s="8"/>
      <c r="AB905" s="8"/>
      <c r="AC905" s="8"/>
    </row>
    <row r="906" spans="1:29" ht="12.75" customHeight="1">
      <c r="A906" s="8"/>
      <c r="B906" s="8"/>
      <c r="C906" s="8"/>
      <c r="D906" s="8"/>
      <c r="E906" s="8"/>
      <c r="F906" s="8"/>
      <c r="G906" s="8"/>
      <c r="H906" s="8"/>
      <c r="I906" s="8"/>
      <c r="J906" s="8"/>
      <c r="K906" s="8"/>
      <c r="L906" s="8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8"/>
      <c r="X906" s="8"/>
      <c r="Y906" s="8"/>
      <c r="Z906" s="8"/>
      <c r="AA906" s="8"/>
      <c r="AB906" s="8"/>
      <c r="AC906" s="8"/>
    </row>
    <row r="907" spans="1:29" ht="12.75" customHeight="1">
      <c r="A907" s="8"/>
      <c r="B907" s="8"/>
      <c r="C907" s="8"/>
      <c r="D907" s="8"/>
      <c r="E907" s="8"/>
      <c r="F907" s="8"/>
      <c r="G907" s="8"/>
      <c r="H907" s="8"/>
      <c r="I907" s="8"/>
      <c r="J907" s="8"/>
      <c r="K907" s="8"/>
      <c r="L907" s="8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  <c r="X907" s="8"/>
      <c r="Y907" s="8"/>
      <c r="Z907" s="8"/>
      <c r="AA907" s="8"/>
      <c r="AB907" s="8"/>
      <c r="AC907" s="8"/>
    </row>
    <row r="908" spans="1:29" ht="12.75" customHeight="1">
      <c r="A908" s="8"/>
      <c r="B908" s="8"/>
      <c r="C908" s="8"/>
      <c r="D908" s="8"/>
      <c r="E908" s="8"/>
      <c r="F908" s="8"/>
      <c r="G908" s="8"/>
      <c r="H908" s="8"/>
      <c r="I908" s="8"/>
      <c r="J908" s="8"/>
      <c r="K908" s="8"/>
      <c r="L908" s="8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8"/>
      <c r="X908" s="8"/>
      <c r="Y908" s="8"/>
      <c r="Z908" s="8"/>
      <c r="AA908" s="8"/>
      <c r="AB908" s="8"/>
      <c r="AC908" s="8"/>
    </row>
    <row r="909" spans="1:29" ht="12.75" customHeight="1">
      <c r="A909" s="8"/>
      <c r="B909" s="8"/>
      <c r="C909" s="8"/>
      <c r="D909" s="8"/>
      <c r="E909" s="8"/>
      <c r="F909" s="8"/>
      <c r="G909" s="8"/>
      <c r="H909" s="8"/>
      <c r="I909" s="8"/>
      <c r="J909" s="8"/>
      <c r="K909" s="8"/>
      <c r="L909" s="8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8"/>
      <c r="X909" s="8"/>
      <c r="Y909" s="8"/>
      <c r="Z909" s="8"/>
      <c r="AA909" s="8"/>
      <c r="AB909" s="8"/>
      <c r="AC909" s="8"/>
    </row>
    <row r="910" spans="1:29" ht="12.75" customHeight="1">
      <c r="A910" s="8"/>
      <c r="B910" s="8"/>
      <c r="C910" s="8"/>
      <c r="D910" s="8"/>
      <c r="E910" s="8"/>
      <c r="F910" s="8"/>
      <c r="G910" s="8"/>
      <c r="H910" s="8"/>
      <c r="I910" s="8"/>
      <c r="J910" s="8"/>
      <c r="K910" s="8"/>
      <c r="L910" s="8"/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8"/>
      <c r="X910" s="8"/>
      <c r="Y910" s="8"/>
      <c r="Z910" s="8"/>
      <c r="AA910" s="8"/>
      <c r="AB910" s="8"/>
      <c r="AC910" s="8"/>
    </row>
    <row r="911" spans="1:29" ht="12.75" customHeight="1">
      <c r="A911" s="8"/>
      <c r="B911" s="8"/>
      <c r="C911" s="8"/>
      <c r="D911" s="8"/>
      <c r="E911" s="8"/>
      <c r="F911" s="8"/>
      <c r="G911" s="8"/>
      <c r="H911" s="8"/>
      <c r="I911" s="8"/>
      <c r="J911" s="8"/>
      <c r="K911" s="8"/>
      <c r="L911" s="8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8"/>
      <c r="X911" s="8"/>
      <c r="Y911" s="8"/>
      <c r="Z911" s="8"/>
      <c r="AA911" s="8"/>
      <c r="AB911" s="8"/>
      <c r="AC911" s="8"/>
    </row>
    <row r="912" spans="1:29" ht="12.75" customHeight="1">
      <c r="A912" s="8"/>
      <c r="B912" s="8"/>
      <c r="C912" s="8"/>
      <c r="D912" s="8"/>
      <c r="E912" s="8"/>
      <c r="F912" s="8"/>
      <c r="G912" s="8"/>
      <c r="H912" s="8"/>
      <c r="I912" s="8"/>
      <c r="J912" s="8"/>
      <c r="K912" s="8"/>
      <c r="L912" s="8"/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8"/>
      <c r="X912" s="8"/>
      <c r="Y912" s="8"/>
      <c r="Z912" s="8"/>
      <c r="AA912" s="8"/>
      <c r="AB912" s="8"/>
      <c r="AC912" s="8"/>
    </row>
    <row r="913" spans="1:29" ht="12.75" customHeight="1">
      <c r="A913" s="8"/>
      <c r="B913" s="8"/>
      <c r="C913" s="8"/>
      <c r="D913" s="8"/>
      <c r="E913" s="8"/>
      <c r="F913" s="8"/>
      <c r="G913" s="8"/>
      <c r="H913" s="8"/>
      <c r="I913" s="8"/>
      <c r="J913" s="8"/>
      <c r="K913" s="8"/>
      <c r="L913" s="8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8"/>
      <c r="X913" s="8"/>
      <c r="Y913" s="8"/>
      <c r="Z913" s="8"/>
      <c r="AA913" s="8"/>
      <c r="AB913" s="8"/>
      <c r="AC913" s="8"/>
    </row>
    <row r="914" spans="1:29" ht="12.75" customHeight="1">
      <c r="A914" s="8"/>
      <c r="B914" s="8"/>
      <c r="C914" s="8"/>
      <c r="D914" s="8"/>
      <c r="E914" s="8"/>
      <c r="F914" s="8"/>
      <c r="G914" s="8"/>
      <c r="H914" s="8"/>
      <c r="I914" s="8"/>
      <c r="J914" s="8"/>
      <c r="K914" s="8"/>
      <c r="L914" s="8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8"/>
      <c r="X914" s="8"/>
      <c r="Y914" s="8"/>
      <c r="Z914" s="8"/>
      <c r="AA914" s="8"/>
      <c r="AB914" s="8"/>
      <c r="AC914" s="8"/>
    </row>
    <row r="915" spans="1:29" ht="12.75" customHeight="1">
      <c r="A915" s="8"/>
      <c r="B915" s="8"/>
      <c r="C915" s="8"/>
      <c r="D915" s="8"/>
      <c r="E915" s="8"/>
      <c r="F915" s="8"/>
      <c r="G915" s="8"/>
      <c r="H915" s="8"/>
      <c r="I915" s="8"/>
      <c r="J915" s="8"/>
      <c r="K915" s="8"/>
      <c r="L915" s="8"/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8"/>
      <c r="X915" s="8"/>
      <c r="Y915" s="8"/>
      <c r="Z915" s="8"/>
      <c r="AA915" s="8"/>
      <c r="AB915" s="8"/>
      <c r="AC915" s="8"/>
    </row>
    <row r="916" spans="1:29" ht="12.75" customHeight="1">
      <c r="A916" s="8"/>
      <c r="B916" s="8"/>
      <c r="C916" s="8"/>
      <c r="D916" s="8"/>
      <c r="E916" s="8"/>
      <c r="F916" s="8"/>
      <c r="G916" s="8"/>
      <c r="H916" s="8"/>
      <c r="I916" s="8"/>
      <c r="J916" s="8"/>
      <c r="K916" s="8"/>
      <c r="L916" s="8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8"/>
      <c r="X916" s="8"/>
      <c r="Y916" s="8"/>
      <c r="Z916" s="8"/>
      <c r="AA916" s="8"/>
      <c r="AB916" s="8"/>
      <c r="AC916" s="8"/>
    </row>
    <row r="917" spans="1:29" ht="12.75" customHeight="1">
      <c r="A917" s="8"/>
      <c r="B917" s="8"/>
      <c r="C917" s="8"/>
      <c r="D917" s="8"/>
      <c r="E917" s="8"/>
      <c r="F917" s="8"/>
      <c r="G917" s="8"/>
      <c r="H917" s="8"/>
      <c r="I917" s="8"/>
      <c r="J917" s="8"/>
      <c r="K917" s="8"/>
      <c r="L917" s="8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8"/>
      <c r="X917" s="8"/>
      <c r="Y917" s="8"/>
      <c r="Z917" s="8"/>
      <c r="AA917" s="8"/>
      <c r="AB917" s="8"/>
      <c r="AC917" s="8"/>
    </row>
    <row r="918" spans="1:29" ht="12.75" customHeight="1">
      <c r="A918" s="8"/>
      <c r="B918" s="8"/>
      <c r="C918" s="8"/>
      <c r="D918" s="8"/>
      <c r="E918" s="8"/>
      <c r="F918" s="8"/>
      <c r="G918" s="8"/>
      <c r="H918" s="8"/>
      <c r="I918" s="8"/>
      <c r="J918" s="8"/>
      <c r="K918" s="8"/>
      <c r="L918" s="8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8"/>
      <c r="X918" s="8"/>
      <c r="Y918" s="8"/>
      <c r="Z918" s="8"/>
      <c r="AA918" s="8"/>
      <c r="AB918" s="8"/>
      <c r="AC918" s="8"/>
    </row>
    <row r="919" spans="1:29" ht="12.75" customHeight="1">
      <c r="A919" s="8"/>
      <c r="B919" s="8"/>
      <c r="C919" s="8"/>
      <c r="D919" s="8"/>
      <c r="E919" s="8"/>
      <c r="F919" s="8"/>
      <c r="G919" s="8"/>
      <c r="H919" s="8"/>
      <c r="I919" s="8"/>
      <c r="J919" s="8"/>
      <c r="K919" s="8"/>
      <c r="L919" s="8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8"/>
      <c r="X919" s="8"/>
      <c r="Y919" s="8"/>
      <c r="Z919" s="8"/>
      <c r="AA919" s="8"/>
      <c r="AB919" s="8"/>
      <c r="AC919" s="8"/>
    </row>
    <row r="920" spans="1:29" ht="12.75" customHeight="1">
      <c r="A920" s="8"/>
      <c r="B920" s="8"/>
      <c r="C920" s="8"/>
      <c r="D920" s="8"/>
      <c r="E920" s="8"/>
      <c r="F920" s="8"/>
      <c r="G920" s="8"/>
      <c r="H920" s="8"/>
      <c r="I920" s="8"/>
      <c r="J920" s="8"/>
      <c r="K920" s="8"/>
      <c r="L920" s="8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8"/>
      <c r="X920" s="8"/>
      <c r="Y920" s="8"/>
      <c r="Z920" s="8"/>
      <c r="AA920" s="8"/>
      <c r="AB920" s="8"/>
      <c r="AC920" s="8"/>
    </row>
    <row r="921" spans="1:29" ht="12.75" customHeight="1">
      <c r="A921" s="8"/>
      <c r="B921" s="8"/>
      <c r="C921" s="8"/>
      <c r="D921" s="8"/>
      <c r="E921" s="8"/>
      <c r="F921" s="8"/>
      <c r="G921" s="8"/>
      <c r="H921" s="8"/>
      <c r="I921" s="8"/>
      <c r="J921" s="8"/>
      <c r="K921" s="8"/>
      <c r="L921" s="8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8"/>
      <c r="X921" s="8"/>
      <c r="Y921" s="8"/>
      <c r="Z921" s="8"/>
      <c r="AA921" s="8"/>
      <c r="AB921" s="8"/>
      <c r="AC921" s="8"/>
    </row>
    <row r="922" spans="1:29" ht="12.75" customHeight="1">
      <c r="A922" s="8"/>
      <c r="B922" s="8"/>
      <c r="C922" s="8"/>
      <c r="D922" s="8"/>
      <c r="E922" s="8"/>
      <c r="F922" s="8"/>
      <c r="G922" s="8"/>
      <c r="H922" s="8"/>
      <c r="I922" s="8"/>
      <c r="J922" s="8"/>
      <c r="K922" s="8"/>
      <c r="L922" s="8"/>
      <c r="M922" s="8"/>
      <c r="N922" s="8"/>
      <c r="O922" s="8"/>
      <c r="P922" s="8"/>
      <c r="Q922" s="8"/>
      <c r="R922" s="8"/>
      <c r="S922" s="8"/>
      <c r="T922" s="8"/>
      <c r="U922" s="8"/>
      <c r="V922" s="8"/>
      <c r="W922" s="8"/>
      <c r="X922" s="8"/>
      <c r="Y922" s="8"/>
      <c r="Z922" s="8"/>
      <c r="AA922" s="8"/>
      <c r="AB922" s="8"/>
      <c r="AC922" s="8"/>
    </row>
    <row r="923" spans="1:29" ht="12.75" customHeight="1">
      <c r="A923" s="8"/>
      <c r="B923" s="8"/>
      <c r="C923" s="8"/>
      <c r="D923" s="8"/>
      <c r="E923" s="8"/>
      <c r="F923" s="8"/>
      <c r="G923" s="8"/>
      <c r="H923" s="8"/>
      <c r="I923" s="8"/>
      <c r="J923" s="8"/>
      <c r="K923" s="8"/>
      <c r="L923" s="8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8"/>
      <c r="X923" s="8"/>
      <c r="Y923" s="8"/>
      <c r="Z923" s="8"/>
      <c r="AA923" s="8"/>
      <c r="AB923" s="8"/>
      <c r="AC923" s="8"/>
    </row>
    <row r="924" spans="1:29" ht="12.75" customHeight="1">
      <c r="A924" s="8"/>
      <c r="B924" s="8"/>
      <c r="C924" s="8"/>
      <c r="D924" s="8"/>
      <c r="E924" s="8"/>
      <c r="F924" s="8"/>
      <c r="G924" s="8"/>
      <c r="H924" s="8"/>
      <c r="I924" s="8"/>
      <c r="J924" s="8"/>
      <c r="K924" s="8"/>
      <c r="L924" s="8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8"/>
      <c r="X924" s="8"/>
      <c r="Y924" s="8"/>
      <c r="Z924" s="8"/>
      <c r="AA924" s="8"/>
      <c r="AB924" s="8"/>
      <c r="AC924" s="8"/>
    </row>
    <row r="925" spans="1:29" ht="12.75" customHeight="1">
      <c r="A925" s="8"/>
      <c r="B925" s="8"/>
      <c r="C925" s="8"/>
      <c r="D925" s="8"/>
      <c r="E925" s="8"/>
      <c r="F925" s="8"/>
      <c r="G925" s="8"/>
      <c r="H925" s="8"/>
      <c r="I925" s="8"/>
      <c r="J925" s="8"/>
      <c r="K925" s="8"/>
      <c r="L925" s="8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8"/>
      <c r="X925" s="8"/>
      <c r="Y925" s="8"/>
      <c r="Z925" s="8"/>
      <c r="AA925" s="8"/>
      <c r="AB925" s="8"/>
      <c r="AC925" s="8"/>
    </row>
    <row r="926" spans="1:29" ht="12.75" customHeight="1">
      <c r="A926" s="8"/>
      <c r="B926" s="8"/>
      <c r="C926" s="8"/>
      <c r="D926" s="8"/>
      <c r="E926" s="8"/>
      <c r="F926" s="8"/>
      <c r="G926" s="8"/>
      <c r="H926" s="8"/>
      <c r="I926" s="8"/>
      <c r="J926" s="8"/>
      <c r="K926" s="8"/>
      <c r="L926" s="8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8"/>
      <c r="X926" s="8"/>
      <c r="Y926" s="8"/>
      <c r="Z926" s="8"/>
      <c r="AA926" s="8"/>
      <c r="AB926" s="8"/>
      <c r="AC926" s="8"/>
    </row>
    <row r="927" spans="1:29" ht="12.75" customHeight="1">
      <c r="A927" s="8"/>
      <c r="B927" s="8"/>
      <c r="C927" s="8"/>
      <c r="D927" s="8"/>
      <c r="E927" s="8"/>
      <c r="F927" s="8"/>
      <c r="G927" s="8"/>
      <c r="H927" s="8"/>
      <c r="I927" s="8"/>
      <c r="J927" s="8"/>
      <c r="K927" s="8"/>
      <c r="L927" s="8"/>
      <c r="M927" s="8"/>
      <c r="N927" s="8"/>
      <c r="O927" s="8"/>
      <c r="P927" s="8"/>
      <c r="Q927" s="8"/>
      <c r="R927" s="8"/>
      <c r="S927" s="8"/>
      <c r="T927" s="8"/>
      <c r="U927" s="8"/>
      <c r="V927" s="8"/>
      <c r="W927" s="8"/>
      <c r="X927" s="8"/>
      <c r="Y927" s="8"/>
      <c r="Z927" s="8"/>
      <c r="AA927" s="8"/>
      <c r="AB927" s="8"/>
      <c r="AC927" s="8"/>
    </row>
    <row r="928" spans="1:29" ht="12.75" customHeight="1">
      <c r="A928" s="8"/>
      <c r="B928" s="8"/>
      <c r="C928" s="8"/>
      <c r="D928" s="8"/>
      <c r="E928" s="8"/>
      <c r="F928" s="8"/>
      <c r="G928" s="8"/>
      <c r="H928" s="8"/>
      <c r="I928" s="8"/>
      <c r="J928" s="8"/>
      <c r="K928" s="8"/>
      <c r="L928" s="8"/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8"/>
      <c r="X928" s="8"/>
      <c r="Y928" s="8"/>
      <c r="Z928" s="8"/>
      <c r="AA928" s="8"/>
      <c r="AB928" s="8"/>
      <c r="AC928" s="8"/>
    </row>
    <row r="929" spans="1:29" ht="12.75" customHeight="1">
      <c r="A929" s="8"/>
      <c r="B929" s="8"/>
      <c r="C929" s="8"/>
      <c r="D929" s="8"/>
      <c r="E929" s="8"/>
      <c r="F929" s="8"/>
      <c r="G929" s="8"/>
      <c r="H929" s="8"/>
      <c r="I929" s="8"/>
      <c r="J929" s="8"/>
      <c r="K929" s="8"/>
      <c r="L929" s="8"/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8"/>
      <c r="X929" s="8"/>
      <c r="Y929" s="8"/>
      <c r="Z929" s="8"/>
      <c r="AA929" s="8"/>
      <c r="AB929" s="8"/>
      <c r="AC929" s="8"/>
    </row>
    <row r="930" spans="1:29" ht="12.75" customHeight="1">
      <c r="A930" s="8"/>
      <c r="B930" s="8"/>
      <c r="C930" s="8"/>
      <c r="D930" s="8"/>
      <c r="E930" s="8"/>
      <c r="F930" s="8"/>
      <c r="G930" s="8"/>
      <c r="H930" s="8"/>
      <c r="I930" s="8"/>
      <c r="J930" s="8"/>
      <c r="K930" s="8"/>
      <c r="L930" s="8"/>
      <c r="M930" s="8"/>
      <c r="N930" s="8"/>
      <c r="O930" s="8"/>
      <c r="P930" s="8"/>
      <c r="Q930" s="8"/>
      <c r="R930" s="8"/>
      <c r="S930" s="8"/>
      <c r="T930" s="8"/>
      <c r="U930" s="8"/>
      <c r="V930" s="8"/>
      <c r="W930" s="8"/>
      <c r="X930" s="8"/>
      <c r="Y930" s="8"/>
      <c r="Z930" s="8"/>
      <c r="AA930" s="8"/>
      <c r="AB930" s="8"/>
      <c r="AC930" s="8"/>
    </row>
    <row r="931" spans="1:29" ht="12.75" customHeight="1">
      <c r="A931" s="8"/>
      <c r="B931" s="8"/>
      <c r="C931" s="8"/>
      <c r="D931" s="8"/>
      <c r="E931" s="8"/>
      <c r="F931" s="8"/>
      <c r="G931" s="8"/>
      <c r="H931" s="8"/>
      <c r="I931" s="8"/>
      <c r="J931" s="8"/>
      <c r="K931" s="8"/>
      <c r="L931" s="8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8"/>
      <c r="X931" s="8"/>
      <c r="Y931" s="8"/>
      <c r="Z931" s="8"/>
      <c r="AA931" s="8"/>
      <c r="AB931" s="8"/>
      <c r="AC931" s="8"/>
    </row>
    <row r="932" spans="1:29" ht="12.75" customHeight="1">
      <c r="A932" s="8"/>
      <c r="B932" s="8"/>
      <c r="C932" s="8"/>
      <c r="D932" s="8"/>
      <c r="E932" s="8"/>
      <c r="F932" s="8"/>
      <c r="G932" s="8"/>
      <c r="H932" s="8"/>
      <c r="I932" s="8"/>
      <c r="J932" s="8"/>
      <c r="K932" s="8"/>
      <c r="L932" s="8"/>
      <c r="M932" s="8"/>
      <c r="N932" s="8"/>
      <c r="O932" s="8"/>
      <c r="P932" s="8"/>
      <c r="Q932" s="8"/>
      <c r="R932" s="8"/>
      <c r="S932" s="8"/>
      <c r="T932" s="8"/>
      <c r="U932" s="8"/>
      <c r="V932" s="8"/>
      <c r="W932" s="8"/>
      <c r="X932" s="8"/>
      <c r="Y932" s="8"/>
      <c r="Z932" s="8"/>
      <c r="AA932" s="8"/>
      <c r="AB932" s="8"/>
      <c r="AC932" s="8"/>
    </row>
    <row r="933" spans="1:29" ht="12.75" customHeight="1">
      <c r="A933" s="8"/>
      <c r="B933" s="8"/>
      <c r="C933" s="8"/>
      <c r="D933" s="8"/>
      <c r="E933" s="8"/>
      <c r="F933" s="8"/>
      <c r="G933" s="8"/>
      <c r="H933" s="8"/>
      <c r="I933" s="8"/>
      <c r="J933" s="8"/>
      <c r="K933" s="8"/>
      <c r="L933" s="8"/>
      <c r="M933" s="8"/>
      <c r="N933" s="8"/>
      <c r="O933" s="8"/>
      <c r="P933" s="8"/>
      <c r="Q933" s="8"/>
      <c r="R933" s="8"/>
      <c r="S933" s="8"/>
      <c r="T933" s="8"/>
      <c r="U933" s="8"/>
      <c r="V933" s="8"/>
      <c r="W933" s="8"/>
      <c r="X933" s="8"/>
      <c r="Y933" s="8"/>
      <c r="Z933" s="8"/>
      <c r="AA933" s="8"/>
      <c r="AB933" s="8"/>
      <c r="AC933" s="8"/>
    </row>
    <row r="934" spans="1:29" ht="12.75" customHeight="1">
      <c r="A934" s="8"/>
      <c r="B934" s="8"/>
      <c r="C934" s="8"/>
      <c r="D934" s="8"/>
      <c r="E934" s="8"/>
      <c r="F934" s="8"/>
      <c r="G934" s="8"/>
      <c r="H934" s="8"/>
      <c r="I934" s="8"/>
      <c r="J934" s="8"/>
      <c r="K934" s="8"/>
      <c r="L934" s="8"/>
      <c r="M934" s="8"/>
      <c r="N934" s="8"/>
      <c r="O934" s="8"/>
      <c r="P934" s="8"/>
      <c r="Q934" s="8"/>
      <c r="R934" s="8"/>
      <c r="S934" s="8"/>
      <c r="T934" s="8"/>
      <c r="U934" s="8"/>
      <c r="V934" s="8"/>
      <c r="W934" s="8"/>
      <c r="X934" s="8"/>
      <c r="Y934" s="8"/>
      <c r="Z934" s="8"/>
      <c r="AA934" s="8"/>
      <c r="AB934" s="8"/>
      <c r="AC934" s="8"/>
    </row>
    <row r="935" spans="1:29" ht="12.75" customHeight="1">
      <c r="A935" s="8"/>
      <c r="B935" s="8"/>
      <c r="C935" s="8"/>
      <c r="D935" s="8"/>
      <c r="E935" s="8"/>
      <c r="F935" s="8"/>
      <c r="G935" s="8"/>
      <c r="H935" s="8"/>
      <c r="I935" s="8"/>
      <c r="J935" s="8"/>
      <c r="K935" s="8"/>
      <c r="L935" s="8"/>
      <c r="M935" s="8"/>
      <c r="N935" s="8"/>
      <c r="O935" s="8"/>
      <c r="P935" s="8"/>
      <c r="Q935" s="8"/>
      <c r="R935" s="8"/>
      <c r="S935" s="8"/>
      <c r="T935" s="8"/>
      <c r="U935" s="8"/>
      <c r="V935" s="8"/>
      <c r="W935" s="8"/>
      <c r="X935" s="8"/>
      <c r="Y935" s="8"/>
      <c r="Z935" s="8"/>
      <c r="AA935" s="8"/>
      <c r="AB935" s="8"/>
      <c r="AC935" s="8"/>
    </row>
    <row r="936" spans="1:29" ht="12.75" customHeight="1">
      <c r="A936" s="8"/>
      <c r="B936" s="8"/>
      <c r="C936" s="8"/>
      <c r="D936" s="8"/>
      <c r="E936" s="8"/>
      <c r="F936" s="8"/>
      <c r="G936" s="8"/>
      <c r="H936" s="8"/>
      <c r="I936" s="8"/>
      <c r="J936" s="8"/>
      <c r="K936" s="8"/>
      <c r="L936" s="8"/>
      <c r="M936" s="8"/>
      <c r="N936" s="8"/>
      <c r="O936" s="8"/>
      <c r="P936" s="8"/>
      <c r="Q936" s="8"/>
      <c r="R936" s="8"/>
      <c r="S936" s="8"/>
      <c r="T936" s="8"/>
      <c r="U936" s="8"/>
      <c r="V936" s="8"/>
      <c r="W936" s="8"/>
      <c r="X936" s="8"/>
      <c r="Y936" s="8"/>
      <c r="Z936" s="8"/>
      <c r="AA936" s="8"/>
      <c r="AB936" s="8"/>
      <c r="AC936" s="8"/>
    </row>
    <row r="937" spans="1:29" ht="12.75" customHeight="1">
      <c r="A937" s="8"/>
      <c r="B937" s="8"/>
      <c r="C937" s="8"/>
      <c r="D937" s="8"/>
      <c r="E937" s="8"/>
      <c r="F937" s="8"/>
      <c r="G937" s="8"/>
      <c r="H937" s="8"/>
      <c r="I937" s="8"/>
      <c r="J937" s="8"/>
      <c r="K937" s="8"/>
      <c r="L937" s="8"/>
      <c r="M937" s="8"/>
      <c r="N937" s="8"/>
      <c r="O937" s="8"/>
      <c r="P937" s="8"/>
      <c r="Q937" s="8"/>
      <c r="R937" s="8"/>
      <c r="S937" s="8"/>
      <c r="T937" s="8"/>
      <c r="U937" s="8"/>
      <c r="V937" s="8"/>
      <c r="W937" s="8"/>
      <c r="X937" s="8"/>
      <c r="Y937" s="8"/>
      <c r="Z937" s="8"/>
      <c r="AA937" s="8"/>
      <c r="AB937" s="8"/>
      <c r="AC937" s="8"/>
    </row>
    <row r="938" spans="1:29" ht="12.75" customHeight="1">
      <c r="A938" s="8"/>
      <c r="B938" s="8"/>
      <c r="C938" s="8"/>
      <c r="D938" s="8"/>
      <c r="E938" s="8"/>
      <c r="F938" s="8"/>
      <c r="G938" s="8"/>
      <c r="H938" s="8"/>
      <c r="I938" s="8"/>
      <c r="J938" s="8"/>
      <c r="K938" s="8"/>
      <c r="L938" s="8"/>
      <c r="M938" s="8"/>
      <c r="N938" s="8"/>
      <c r="O938" s="8"/>
      <c r="P938" s="8"/>
      <c r="Q938" s="8"/>
      <c r="R938" s="8"/>
      <c r="S938" s="8"/>
      <c r="T938" s="8"/>
      <c r="U938" s="8"/>
      <c r="V938" s="8"/>
      <c r="W938" s="8"/>
      <c r="X938" s="8"/>
      <c r="Y938" s="8"/>
      <c r="Z938" s="8"/>
      <c r="AA938" s="8"/>
      <c r="AB938" s="8"/>
      <c r="AC938" s="8"/>
    </row>
    <row r="939" spans="1:29" ht="12.75" customHeight="1">
      <c r="A939" s="8"/>
      <c r="B939" s="8"/>
      <c r="C939" s="8"/>
      <c r="D939" s="8"/>
      <c r="E939" s="8"/>
      <c r="F939" s="8"/>
      <c r="G939" s="8"/>
      <c r="H939" s="8"/>
      <c r="I939" s="8"/>
      <c r="J939" s="8"/>
      <c r="K939" s="8"/>
      <c r="L939" s="8"/>
      <c r="M939" s="8"/>
      <c r="N939" s="8"/>
      <c r="O939" s="8"/>
      <c r="P939" s="8"/>
      <c r="Q939" s="8"/>
      <c r="R939" s="8"/>
      <c r="S939" s="8"/>
      <c r="T939" s="8"/>
      <c r="U939" s="8"/>
      <c r="V939" s="8"/>
      <c r="W939" s="8"/>
      <c r="X939" s="8"/>
      <c r="Y939" s="8"/>
      <c r="Z939" s="8"/>
      <c r="AA939" s="8"/>
      <c r="AB939" s="8"/>
      <c r="AC939" s="8"/>
    </row>
    <row r="940" spans="1:29" ht="12.75" customHeight="1">
      <c r="A940" s="8"/>
      <c r="B940" s="8"/>
      <c r="C940" s="8"/>
      <c r="D940" s="8"/>
      <c r="E940" s="8"/>
      <c r="F940" s="8"/>
      <c r="G940" s="8"/>
      <c r="H940" s="8"/>
      <c r="I940" s="8"/>
      <c r="J940" s="8"/>
      <c r="K940" s="8"/>
      <c r="L940" s="8"/>
      <c r="M940" s="8"/>
      <c r="N940" s="8"/>
      <c r="O940" s="8"/>
      <c r="P940" s="8"/>
      <c r="Q940" s="8"/>
      <c r="R940" s="8"/>
      <c r="S940" s="8"/>
      <c r="T940" s="8"/>
      <c r="U940" s="8"/>
      <c r="V940" s="8"/>
      <c r="W940" s="8"/>
      <c r="X940" s="8"/>
      <c r="Y940" s="8"/>
      <c r="Z940" s="8"/>
      <c r="AA940" s="8"/>
      <c r="AB940" s="8"/>
      <c r="AC940" s="8"/>
    </row>
    <row r="941" spans="1:29" ht="12.75" customHeight="1">
      <c r="A941" s="8"/>
      <c r="B941" s="8"/>
      <c r="C941" s="8"/>
      <c r="D941" s="8"/>
      <c r="E941" s="8"/>
      <c r="F941" s="8"/>
      <c r="G941" s="8"/>
      <c r="H941" s="8"/>
      <c r="I941" s="8"/>
      <c r="J941" s="8"/>
      <c r="K941" s="8"/>
      <c r="L941" s="8"/>
      <c r="M941" s="8"/>
      <c r="N941" s="8"/>
      <c r="O941" s="8"/>
      <c r="P941" s="8"/>
      <c r="Q941" s="8"/>
      <c r="R941" s="8"/>
      <c r="S941" s="8"/>
      <c r="T941" s="8"/>
      <c r="U941" s="8"/>
      <c r="V941" s="8"/>
      <c r="W941" s="8"/>
      <c r="X941" s="8"/>
      <c r="Y941" s="8"/>
      <c r="Z941" s="8"/>
      <c r="AA941" s="8"/>
      <c r="AB941" s="8"/>
      <c r="AC941" s="8"/>
    </row>
    <row r="942" spans="1:29" ht="12.75" customHeight="1">
      <c r="A942" s="8"/>
      <c r="B942" s="8"/>
      <c r="C942" s="8"/>
      <c r="D942" s="8"/>
      <c r="E942" s="8"/>
      <c r="F942" s="8"/>
      <c r="G942" s="8"/>
      <c r="H942" s="8"/>
      <c r="I942" s="8"/>
      <c r="J942" s="8"/>
      <c r="K942" s="8"/>
      <c r="L942" s="8"/>
      <c r="M942" s="8"/>
      <c r="N942" s="8"/>
      <c r="O942" s="8"/>
      <c r="P942" s="8"/>
      <c r="Q942" s="8"/>
      <c r="R942" s="8"/>
      <c r="S942" s="8"/>
      <c r="T942" s="8"/>
      <c r="U942" s="8"/>
      <c r="V942" s="8"/>
      <c r="W942" s="8"/>
      <c r="X942" s="8"/>
      <c r="Y942" s="8"/>
      <c r="Z942" s="8"/>
      <c r="AA942" s="8"/>
      <c r="AB942" s="8"/>
      <c r="AC942" s="8"/>
    </row>
    <row r="943" spans="1:29" ht="12.75" customHeight="1">
      <c r="A943" s="8"/>
      <c r="B943" s="8"/>
      <c r="C943" s="8"/>
      <c r="D943" s="8"/>
      <c r="E943" s="8"/>
      <c r="F943" s="8"/>
      <c r="G943" s="8"/>
      <c r="H943" s="8"/>
      <c r="I943" s="8"/>
      <c r="J943" s="8"/>
      <c r="K943" s="8"/>
      <c r="L943" s="8"/>
      <c r="M943" s="8"/>
      <c r="N943" s="8"/>
      <c r="O943" s="8"/>
      <c r="P943" s="8"/>
      <c r="Q943" s="8"/>
      <c r="R943" s="8"/>
      <c r="S943" s="8"/>
      <c r="T943" s="8"/>
      <c r="U943" s="8"/>
      <c r="V943" s="8"/>
      <c r="W943" s="8"/>
      <c r="X943" s="8"/>
      <c r="Y943" s="8"/>
      <c r="Z943" s="8"/>
      <c r="AA943" s="8"/>
      <c r="AB943" s="8"/>
      <c r="AC943" s="8"/>
    </row>
    <row r="944" spans="1:29" ht="12.75" customHeight="1">
      <c r="A944" s="8"/>
      <c r="B944" s="8"/>
      <c r="C944" s="8"/>
      <c r="D944" s="8"/>
      <c r="E944" s="8"/>
      <c r="F944" s="8"/>
      <c r="G944" s="8"/>
      <c r="H944" s="8"/>
      <c r="I944" s="8"/>
      <c r="J944" s="8"/>
      <c r="K944" s="8"/>
      <c r="L944" s="8"/>
      <c r="M944" s="8"/>
      <c r="N944" s="8"/>
      <c r="O944" s="8"/>
      <c r="P944" s="8"/>
      <c r="Q944" s="8"/>
      <c r="R944" s="8"/>
      <c r="S944" s="8"/>
      <c r="T944" s="8"/>
      <c r="U944" s="8"/>
      <c r="V944" s="8"/>
      <c r="W944" s="8"/>
      <c r="X944" s="8"/>
      <c r="Y944" s="8"/>
      <c r="Z944" s="8"/>
      <c r="AA944" s="8"/>
      <c r="AB944" s="8"/>
      <c r="AC944" s="8"/>
    </row>
    <row r="945" spans="1:29" ht="12.75" customHeight="1">
      <c r="A945" s="8"/>
      <c r="B945" s="8"/>
      <c r="C945" s="8"/>
      <c r="D945" s="8"/>
      <c r="E945" s="8"/>
      <c r="F945" s="8"/>
      <c r="G945" s="8"/>
      <c r="H945" s="8"/>
      <c r="I945" s="8"/>
      <c r="J945" s="8"/>
      <c r="K945" s="8"/>
      <c r="L945" s="8"/>
      <c r="M945" s="8"/>
      <c r="N945" s="8"/>
      <c r="O945" s="8"/>
      <c r="P945" s="8"/>
      <c r="Q945" s="8"/>
      <c r="R945" s="8"/>
      <c r="S945" s="8"/>
      <c r="T945" s="8"/>
      <c r="U945" s="8"/>
      <c r="V945" s="8"/>
      <c r="W945" s="8"/>
      <c r="X945" s="8"/>
      <c r="Y945" s="8"/>
      <c r="Z945" s="8"/>
      <c r="AA945" s="8"/>
      <c r="AB945" s="8"/>
      <c r="AC945" s="8"/>
    </row>
    <row r="946" spans="1:29" ht="12.75" customHeight="1">
      <c r="A946" s="8"/>
      <c r="B946" s="8"/>
      <c r="C946" s="8"/>
      <c r="D946" s="8"/>
      <c r="E946" s="8"/>
      <c r="F946" s="8"/>
      <c r="G946" s="8"/>
      <c r="H946" s="8"/>
      <c r="I946" s="8"/>
      <c r="J946" s="8"/>
      <c r="K946" s="8"/>
      <c r="L946" s="8"/>
      <c r="M946" s="8"/>
      <c r="N946" s="8"/>
      <c r="O946" s="8"/>
      <c r="P946" s="8"/>
      <c r="Q946" s="8"/>
      <c r="R946" s="8"/>
      <c r="S946" s="8"/>
      <c r="T946" s="8"/>
      <c r="U946" s="8"/>
      <c r="V946" s="8"/>
      <c r="W946" s="8"/>
      <c r="X946" s="8"/>
      <c r="Y946" s="8"/>
      <c r="Z946" s="8"/>
      <c r="AA946" s="8"/>
      <c r="AB946" s="8"/>
      <c r="AC946" s="8"/>
    </row>
    <row r="947" spans="1:29" ht="12.75" customHeight="1">
      <c r="A947" s="8"/>
      <c r="B947" s="8"/>
      <c r="C947" s="8"/>
      <c r="D947" s="8"/>
      <c r="E947" s="8"/>
      <c r="F947" s="8"/>
      <c r="G947" s="8"/>
      <c r="H947" s="8"/>
      <c r="I947" s="8"/>
      <c r="J947" s="8"/>
      <c r="K947" s="8"/>
      <c r="L947" s="8"/>
      <c r="M947" s="8"/>
      <c r="N947" s="8"/>
      <c r="O947" s="8"/>
      <c r="P947" s="8"/>
      <c r="Q947" s="8"/>
      <c r="R947" s="8"/>
      <c r="S947" s="8"/>
      <c r="T947" s="8"/>
      <c r="U947" s="8"/>
      <c r="V947" s="8"/>
      <c r="W947" s="8"/>
      <c r="X947" s="8"/>
      <c r="Y947" s="8"/>
      <c r="Z947" s="8"/>
      <c r="AA947" s="8"/>
      <c r="AB947" s="8"/>
      <c r="AC947" s="8"/>
    </row>
    <row r="948" spans="1:29" ht="12.75" customHeight="1">
      <c r="A948" s="8"/>
      <c r="B948" s="8"/>
      <c r="C948" s="8"/>
      <c r="D948" s="8"/>
      <c r="E948" s="8"/>
      <c r="F948" s="8"/>
      <c r="G948" s="8"/>
      <c r="H948" s="8"/>
      <c r="I948" s="8"/>
      <c r="J948" s="8"/>
      <c r="K948" s="8"/>
      <c r="L948" s="8"/>
      <c r="M948" s="8"/>
      <c r="N948" s="8"/>
      <c r="O948" s="8"/>
      <c r="P948" s="8"/>
      <c r="Q948" s="8"/>
      <c r="R948" s="8"/>
      <c r="S948" s="8"/>
      <c r="T948" s="8"/>
      <c r="U948" s="8"/>
      <c r="V948" s="8"/>
      <c r="W948" s="8"/>
      <c r="X948" s="8"/>
      <c r="Y948" s="8"/>
      <c r="Z948" s="8"/>
      <c r="AA948" s="8"/>
      <c r="AB948" s="8"/>
      <c r="AC948" s="8"/>
    </row>
    <row r="949" spans="1:29" ht="12.75" customHeight="1">
      <c r="A949" s="8"/>
      <c r="B949" s="8"/>
      <c r="C949" s="8"/>
      <c r="D949" s="8"/>
      <c r="E949" s="8"/>
      <c r="F949" s="8"/>
      <c r="G949" s="8"/>
      <c r="H949" s="8"/>
      <c r="I949" s="8"/>
      <c r="J949" s="8"/>
      <c r="K949" s="8"/>
      <c r="L949" s="8"/>
      <c r="M949" s="8"/>
      <c r="N949" s="8"/>
      <c r="O949" s="8"/>
      <c r="P949" s="8"/>
      <c r="Q949" s="8"/>
      <c r="R949" s="8"/>
      <c r="S949" s="8"/>
      <c r="T949" s="8"/>
      <c r="U949" s="8"/>
      <c r="V949" s="8"/>
      <c r="W949" s="8"/>
      <c r="X949" s="8"/>
      <c r="Y949" s="8"/>
      <c r="Z949" s="8"/>
      <c r="AA949" s="8"/>
      <c r="AB949" s="8"/>
      <c r="AC949" s="8"/>
    </row>
    <row r="950" spans="1:29" ht="12.75" customHeight="1">
      <c r="A950" s="8"/>
      <c r="B950" s="8"/>
      <c r="C950" s="8"/>
      <c r="D950" s="8"/>
      <c r="E950" s="8"/>
      <c r="F950" s="8"/>
      <c r="G950" s="8"/>
      <c r="H950" s="8"/>
      <c r="I950" s="8"/>
      <c r="J950" s="8"/>
      <c r="K950" s="8"/>
      <c r="L950" s="8"/>
      <c r="M950" s="8"/>
      <c r="N950" s="8"/>
      <c r="O950" s="8"/>
      <c r="P950" s="8"/>
      <c r="Q950" s="8"/>
      <c r="R950" s="8"/>
      <c r="S950" s="8"/>
      <c r="T950" s="8"/>
      <c r="U950" s="8"/>
      <c r="V950" s="8"/>
      <c r="W950" s="8"/>
      <c r="X950" s="8"/>
      <c r="Y950" s="8"/>
      <c r="Z950" s="8"/>
      <c r="AA950" s="8"/>
      <c r="AB950" s="8"/>
      <c r="AC950" s="8"/>
    </row>
    <row r="951" spans="1:29" ht="12.75" customHeight="1">
      <c r="A951" s="8"/>
      <c r="B951" s="8"/>
      <c r="C951" s="8"/>
      <c r="D951" s="8"/>
      <c r="E951" s="8"/>
      <c r="F951" s="8"/>
      <c r="G951" s="8"/>
      <c r="H951" s="8"/>
      <c r="I951" s="8"/>
      <c r="J951" s="8"/>
      <c r="K951" s="8"/>
      <c r="L951" s="8"/>
      <c r="M951" s="8"/>
      <c r="N951" s="8"/>
      <c r="O951" s="8"/>
      <c r="P951" s="8"/>
      <c r="Q951" s="8"/>
      <c r="R951" s="8"/>
      <c r="S951" s="8"/>
      <c r="T951" s="8"/>
      <c r="U951" s="8"/>
      <c r="V951" s="8"/>
      <c r="W951" s="8"/>
      <c r="X951" s="8"/>
      <c r="Y951" s="8"/>
      <c r="Z951" s="8"/>
      <c r="AA951" s="8"/>
      <c r="AB951" s="8"/>
      <c r="AC951" s="8"/>
    </row>
    <row r="952" spans="1:29" ht="12.75" customHeight="1">
      <c r="A952" s="8"/>
      <c r="B952" s="8"/>
      <c r="C952" s="8"/>
      <c r="D952" s="8"/>
      <c r="E952" s="8"/>
      <c r="F952" s="8"/>
      <c r="G952" s="8"/>
      <c r="H952" s="8"/>
      <c r="I952" s="8"/>
      <c r="J952" s="8"/>
      <c r="K952" s="8"/>
      <c r="L952" s="8"/>
      <c r="M952" s="8"/>
      <c r="N952" s="8"/>
      <c r="O952" s="8"/>
      <c r="P952" s="8"/>
      <c r="Q952" s="8"/>
      <c r="R952" s="8"/>
      <c r="S952" s="8"/>
      <c r="T952" s="8"/>
      <c r="U952" s="8"/>
      <c r="V952" s="8"/>
      <c r="W952" s="8"/>
      <c r="X952" s="8"/>
      <c r="Y952" s="8"/>
      <c r="Z952" s="8"/>
      <c r="AA952" s="8"/>
      <c r="AB952" s="8"/>
      <c r="AC952" s="8"/>
    </row>
    <row r="953" spans="1:29" ht="12.75" customHeight="1">
      <c r="A953" s="8"/>
      <c r="B953" s="8"/>
      <c r="C953" s="8"/>
      <c r="D953" s="8"/>
      <c r="E953" s="8"/>
      <c r="F953" s="8"/>
      <c r="G953" s="8"/>
      <c r="H953" s="8"/>
      <c r="I953" s="8"/>
      <c r="J953" s="8"/>
      <c r="K953" s="8"/>
      <c r="L953" s="8"/>
      <c r="M953" s="8"/>
      <c r="N953" s="8"/>
      <c r="O953" s="8"/>
      <c r="P953" s="8"/>
      <c r="Q953" s="8"/>
      <c r="R953" s="8"/>
      <c r="S953" s="8"/>
      <c r="T953" s="8"/>
      <c r="U953" s="8"/>
      <c r="V953" s="8"/>
      <c r="W953" s="8"/>
      <c r="X953" s="8"/>
      <c r="Y953" s="8"/>
      <c r="Z953" s="8"/>
      <c r="AA953" s="8"/>
      <c r="AB953" s="8"/>
      <c r="AC953" s="8"/>
    </row>
    <row r="954" spans="1:29" ht="12.75" customHeight="1">
      <c r="A954" s="8"/>
      <c r="B954" s="8"/>
      <c r="C954" s="8"/>
      <c r="D954" s="8"/>
      <c r="E954" s="8"/>
      <c r="F954" s="8"/>
      <c r="G954" s="8"/>
      <c r="H954" s="8"/>
      <c r="I954" s="8"/>
      <c r="J954" s="8"/>
      <c r="K954" s="8"/>
      <c r="L954" s="8"/>
      <c r="M954" s="8"/>
      <c r="N954" s="8"/>
      <c r="O954" s="8"/>
      <c r="P954" s="8"/>
      <c r="Q954" s="8"/>
      <c r="R954" s="8"/>
      <c r="S954" s="8"/>
      <c r="T954" s="8"/>
      <c r="U954" s="8"/>
      <c r="V954" s="8"/>
      <c r="W954" s="8"/>
      <c r="X954" s="8"/>
      <c r="Y954" s="8"/>
      <c r="Z954" s="8"/>
      <c r="AA954" s="8"/>
      <c r="AB954" s="8"/>
      <c r="AC954" s="8"/>
    </row>
    <row r="955" spans="1:29" ht="12.75" customHeight="1">
      <c r="A955" s="8"/>
      <c r="B955" s="8"/>
      <c r="C955" s="8"/>
      <c r="D955" s="8"/>
      <c r="E955" s="8"/>
      <c r="F955" s="8"/>
      <c r="G955" s="8"/>
      <c r="H955" s="8"/>
      <c r="I955" s="8"/>
      <c r="J955" s="8"/>
      <c r="K955" s="8"/>
      <c r="L955" s="8"/>
      <c r="M955" s="8"/>
      <c r="N955" s="8"/>
      <c r="O955" s="8"/>
      <c r="P955" s="8"/>
      <c r="Q955" s="8"/>
      <c r="R955" s="8"/>
      <c r="S955" s="8"/>
      <c r="T955" s="8"/>
      <c r="U955" s="8"/>
      <c r="V955" s="8"/>
      <c r="W955" s="8"/>
      <c r="X955" s="8"/>
      <c r="Y955" s="8"/>
      <c r="Z955" s="8"/>
      <c r="AA955" s="8"/>
      <c r="AB955" s="8"/>
      <c r="AC955" s="8"/>
    </row>
    <row r="956" spans="1:29" ht="12.75" customHeight="1">
      <c r="A956" s="8"/>
      <c r="B956" s="8"/>
      <c r="C956" s="8"/>
      <c r="D956" s="8"/>
      <c r="E956" s="8"/>
      <c r="F956" s="8"/>
      <c r="G956" s="8"/>
      <c r="H956" s="8"/>
      <c r="I956" s="8"/>
      <c r="J956" s="8"/>
      <c r="K956" s="8"/>
      <c r="L956" s="8"/>
      <c r="M956" s="8"/>
      <c r="N956" s="8"/>
      <c r="O956" s="8"/>
      <c r="P956" s="8"/>
      <c r="Q956" s="8"/>
      <c r="R956" s="8"/>
      <c r="S956" s="8"/>
      <c r="T956" s="8"/>
      <c r="U956" s="8"/>
      <c r="V956" s="8"/>
      <c r="W956" s="8"/>
      <c r="X956" s="8"/>
      <c r="Y956" s="8"/>
      <c r="Z956" s="8"/>
      <c r="AA956" s="8"/>
      <c r="AB956" s="8"/>
      <c r="AC956" s="8"/>
    </row>
    <row r="957" spans="1:29" ht="12.75" customHeight="1">
      <c r="A957" s="8"/>
      <c r="B957" s="8"/>
      <c r="C957" s="8"/>
      <c r="D957" s="8"/>
      <c r="E957" s="8"/>
      <c r="F957" s="8"/>
      <c r="G957" s="8"/>
      <c r="H957" s="8"/>
      <c r="I957" s="8"/>
      <c r="J957" s="8"/>
      <c r="K957" s="8"/>
      <c r="L957" s="8"/>
      <c r="M957" s="8"/>
      <c r="N957" s="8"/>
      <c r="O957" s="8"/>
      <c r="P957" s="8"/>
      <c r="Q957" s="8"/>
      <c r="R957" s="8"/>
      <c r="S957" s="8"/>
      <c r="T957" s="8"/>
      <c r="U957" s="8"/>
      <c r="V957" s="8"/>
      <c r="W957" s="8"/>
      <c r="X957" s="8"/>
      <c r="Y957" s="8"/>
      <c r="Z957" s="8"/>
      <c r="AA957" s="8"/>
      <c r="AB957" s="8"/>
      <c r="AC957" s="8"/>
    </row>
    <row r="958" spans="1:29" ht="12.75" customHeight="1">
      <c r="A958" s="8"/>
      <c r="B958" s="8"/>
      <c r="C958" s="8"/>
      <c r="D958" s="8"/>
      <c r="E958" s="8"/>
      <c r="F958" s="8"/>
      <c r="G958" s="8"/>
      <c r="H958" s="8"/>
      <c r="I958" s="8"/>
      <c r="J958" s="8"/>
      <c r="K958" s="8"/>
      <c r="L958" s="8"/>
      <c r="M958" s="8"/>
      <c r="N958" s="8"/>
      <c r="O958" s="8"/>
      <c r="P958" s="8"/>
      <c r="Q958" s="8"/>
      <c r="R958" s="8"/>
      <c r="S958" s="8"/>
      <c r="T958" s="8"/>
      <c r="U958" s="8"/>
      <c r="V958" s="8"/>
      <c r="W958" s="8"/>
      <c r="X958" s="8"/>
      <c r="Y958" s="8"/>
      <c r="Z958" s="8"/>
      <c r="AA958" s="8"/>
      <c r="AB958" s="8"/>
      <c r="AC958" s="8"/>
    </row>
    <row r="959" spans="1:29" ht="12.75" customHeight="1">
      <c r="A959" s="8"/>
      <c r="B959" s="8"/>
      <c r="C959" s="8"/>
      <c r="D959" s="8"/>
      <c r="E959" s="8"/>
      <c r="F959" s="8"/>
      <c r="G959" s="8"/>
      <c r="H959" s="8"/>
      <c r="I959" s="8"/>
      <c r="J959" s="8"/>
      <c r="K959" s="8"/>
      <c r="L959" s="8"/>
      <c r="M959" s="8"/>
      <c r="N959" s="8"/>
      <c r="O959" s="8"/>
      <c r="P959" s="8"/>
      <c r="Q959" s="8"/>
      <c r="R959" s="8"/>
      <c r="S959" s="8"/>
      <c r="T959" s="8"/>
      <c r="U959" s="8"/>
      <c r="V959" s="8"/>
      <c r="W959" s="8"/>
      <c r="X959" s="8"/>
      <c r="Y959" s="8"/>
      <c r="Z959" s="8"/>
      <c r="AA959" s="8"/>
      <c r="AB959" s="8"/>
      <c r="AC959" s="8"/>
    </row>
    <row r="960" spans="1:29" ht="12.75" customHeight="1">
      <c r="A960" s="8"/>
      <c r="B960" s="8"/>
      <c r="C960" s="8"/>
      <c r="D960" s="8"/>
      <c r="E960" s="8"/>
      <c r="F960" s="8"/>
      <c r="G960" s="8"/>
      <c r="H960" s="8"/>
      <c r="I960" s="8"/>
      <c r="J960" s="8"/>
      <c r="K960" s="8"/>
      <c r="L960" s="8"/>
      <c r="M960" s="8"/>
      <c r="N960" s="8"/>
      <c r="O960" s="8"/>
      <c r="P960" s="8"/>
      <c r="Q960" s="8"/>
      <c r="R960" s="8"/>
      <c r="S960" s="8"/>
      <c r="T960" s="8"/>
      <c r="U960" s="8"/>
      <c r="V960" s="8"/>
      <c r="W960" s="8"/>
      <c r="X960" s="8"/>
      <c r="Y960" s="8"/>
      <c r="Z960" s="8"/>
      <c r="AA960" s="8"/>
      <c r="AB960" s="8"/>
      <c r="AC960" s="8"/>
    </row>
    <row r="961" spans="1:29" ht="12.75" customHeight="1">
      <c r="A961" s="8"/>
      <c r="B961" s="8"/>
      <c r="C961" s="8"/>
      <c r="D961" s="8"/>
      <c r="E961" s="8"/>
      <c r="F961" s="8"/>
      <c r="G961" s="8"/>
      <c r="H961" s="8"/>
      <c r="I961" s="8"/>
      <c r="J961" s="8"/>
      <c r="K961" s="8"/>
      <c r="L961" s="8"/>
      <c r="M961" s="8"/>
      <c r="N961" s="8"/>
      <c r="O961" s="8"/>
      <c r="P961" s="8"/>
      <c r="Q961" s="8"/>
      <c r="R961" s="8"/>
      <c r="S961" s="8"/>
      <c r="T961" s="8"/>
      <c r="U961" s="8"/>
      <c r="V961" s="8"/>
      <c r="W961" s="8"/>
      <c r="X961" s="8"/>
      <c r="Y961" s="8"/>
      <c r="Z961" s="8"/>
      <c r="AA961" s="8"/>
      <c r="AB961" s="8"/>
      <c r="AC961" s="8"/>
    </row>
    <row r="962" spans="1:29" ht="12.75" customHeight="1">
      <c r="A962" s="8"/>
      <c r="B962" s="8"/>
      <c r="C962" s="8"/>
      <c r="D962" s="8"/>
      <c r="E962" s="8"/>
      <c r="F962" s="8"/>
      <c r="G962" s="8"/>
      <c r="H962" s="8"/>
      <c r="I962" s="8"/>
      <c r="J962" s="8"/>
      <c r="K962" s="8"/>
      <c r="L962" s="8"/>
      <c r="M962" s="8"/>
      <c r="N962" s="8"/>
      <c r="O962" s="8"/>
      <c r="P962" s="8"/>
      <c r="Q962" s="8"/>
      <c r="R962" s="8"/>
      <c r="S962" s="8"/>
      <c r="T962" s="8"/>
      <c r="U962" s="8"/>
      <c r="V962" s="8"/>
      <c r="W962" s="8"/>
      <c r="X962" s="8"/>
      <c r="Y962" s="8"/>
      <c r="Z962" s="8"/>
      <c r="AA962" s="8"/>
      <c r="AB962" s="8"/>
      <c r="AC962" s="8"/>
    </row>
    <row r="963" spans="1:29" ht="12.75" customHeight="1">
      <c r="A963" s="8"/>
      <c r="B963" s="8"/>
      <c r="C963" s="8"/>
      <c r="D963" s="8"/>
      <c r="E963" s="8"/>
      <c r="F963" s="8"/>
      <c r="G963" s="8"/>
      <c r="H963" s="8"/>
      <c r="I963" s="8"/>
      <c r="J963" s="8"/>
      <c r="K963" s="8"/>
      <c r="L963" s="8"/>
      <c r="M963" s="8"/>
      <c r="N963" s="8"/>
      <c r="O963" s="8"/>
      <c r="P963" s="8"/>
      <c r="Q963" s="8"/>
      <c r="R963" s="8"/>
      <c r="S963" s="8"/>
      <c r="T963" s="8"/>
      <c r="U963" s="8"/>
      <c r="V963" s="8"/>
      <c r="W963" s="8"/>
      <c r="X963" s="8"/>
      <c r="Y963" s="8"/>
      <c r="Z963" s="8"/>
      <c r="AA963" s="8"/>
      <c r="AB963" s="8"/>
      <c r="AC963" s="8"/>
    </row>
    <row r="964" spans="1:29" ht="12.75" customHeight="1">
      <c r="A964" s="8"/>
      <c r="B964" s="8"/>
      <c r="C964" s="8"/>
      <c r="D964" s="8"/>
      <c r="E964" s="8"/>
      <c r="F964" s="8"/>
      <c r="G964" s="8"/>
      <c r="H964" s="8"/>
      <c r="I964" s="8"/>
      <c r="J964" s="8"/>
      <c r="K964" s="8"/>
      <c r="L964" s="8"/>
      <c r="M964" s="8"/>
      <c r="N964" s="8"/>
      <c r="O964" s="8"/>
      <c r="P964" s="8"/>
      <c r="Q964" s="8"/>
      <c r="R964" s="8"/>
      <c r="S964" s="8"/>
      <c r="T964" s="8"/>
      <c r="U964" s="8"/>
      <c r="V964" s="8"/>
      <c r="W964" s="8"/>
      <c r="X964" s="8"/>
      <c r="Y964" s="8"/>
      <c r="Z964" s="8"/>
      <c r="AA964" s="8"/>
      <c r="AB964" s="8"/>
      <c r="AC964" s="8"/>
    </row>
    <row r="965" spans="1:29" ht="12.75" customHeight="1">
      <c r="A965" s="8"/>
      <c r="B965" s="8"/>
      <c r="C965" s="8"/>
      <c r="D965" s="8"/>
      <c r="E965" s="8"/>
      <c r="F965" s="8"/>
      <c r="G965" s="8"/>
      <c r="H965" s="8"/>
      <c r="I965" s="8"/>
      <c r="J965" s="8"/>
      <c r="K965" s="8"/>
      <c r="L965" s="8"/>
      <c r="M965" s="8"/>
      <c r="N965" s="8"/>
      <c r="O965" s="8"/>
      <c r="P965" s="8"/>
      <c r="Q965" s="8"/>
      <c r="R965" s="8"/>
      <c r="S965" s="8"/>
      <c r="T965" s="8"/>
      <c r="U965" s="8"/>
      <c r="V965" s="8"/>
      <c r="W965" s="8"/>
      <c r="X965" s="8"/>
      <c r="Y965" s="8"/>
      <c r="Z965" s="8"/>
      <c r="AA965" s="8"/>
      <c r="AB965" s="8"/>
      <c r="AC965" s="8"/>
    </row>
    <row r="966" spans="1:29" ht="12.75" customHeight="1">
      <c r="A966" s="8"/>
      <c r="B966" s="8"/>
      <c r="C966" s="8"/>
      <c r="D966" s="8"/>
      <c r="E966" s="8"/>
      <c r="F966" s="8"/>
      <c r="G966" s="8"/>
      <c r="H966" s="8"/>
      <c r="I966" s="8"/>
      <c r="J966" s="8"/>
      <c r="K966" s="8"/>
      <c r="L966" s="8"/>
      <c r="M966" s="8"/>
      <c r="N966" s="8"/>
      <c r="O966" s="8"/>
      <c r="P966" s="8"/>
      <c r="Q966" s="8"/>
      <c r="R966" s="8"/>
      <c r="S966" s="8"/>
      <c r="T966" s="8"/>
      <c r="U966" s="8"/>
      <c r="V966" s="8"/>
      <c r="W966" s="8"/>
      <c r="X966" s="8"/>
      <c r="Y966" s="8"/>
      <c r="Z966" s="8"/>
      <c r="AA966" s="8"/>
      <c r="AB966" s="8"/>
      <c r="AC966" s="8"/>
    </row>
    <row r="967" spans="1:29" ht="12.75" customHeight="1">
      <c r="A967" s="8"/>
      <c r="B967" s="8"/>
      <c r="C967" s="8"/>
      <c r="D967" s="8"/>
      <c r="E967" s="8"/>
      <c r="F967" s="8"/>
      <c r="G967" s="8"/>
      <c r="H967" s="8"/>
      <c r="I967" s="8"/>
      <c r="J967" s="8"/>
      <c r="K967" s="8"/>
      <c r="L967" s="8"/>
      <c r="M967" s="8"/>
      <c r="N967" s="8"/>
      <c r="O967" s="8"/>
      <c r="P967" s="8"/>
      <c r="Q967" s="8"/>
      <c r="R967" s="8"/>
      <c r="S967" s="8"/>
      <c r="T967" s="8"/>
      <c r="U967" s="8"/>
      <c r="V967" s="8"/>
      <c r="W967" s="8"/>
      <c r="X967" s="8"/>
      <c r="Y967" s="8"/>
      <c r="Z967" s="8"/>
      <c r="AA967" s="8"/>
      <c r="AB967" s="8"/>
      <c r="AC967" s="8"/>
    </row>
    <row r="968" spans="1:29" ht="12.75" customHeight="1">
      <c r="A968" s="8"/>
      <c r="B968" s="8"/>
      <c r="C968" s="8"/>
      <c r="D968" s="8"/>
      <c r="E968" s="8"/>
      <c r="F968" s="8"/>
      <c r="G968" s="8"/>
      <c r="H968" s="8"/>
      <c r="I968" s="8"/>
      <c r="J968" s="8"/>
      <c r="K968" s="8"/>
      <c r="L968" s="8"/>
      <c r="M968" s="8"/>
      <c r="N968" s="8"/>
      <c r="O968" s="8"/>
      <c r="P968" s="8"/>
      <c r="Q968" s="8"/>
      <c r="R968" s="8"/>
      <c r="S968" s="8"/>
      <c r="T968" s="8"/>
      <c r="U968" s="8"/>
      <c r="V968" s="8"/>
      <c r="W968" s="8"/>
      <c r="X968" s="8"/>
      <c r="Y968" s="8"/>
      <c r="Z968" s="8"/>
      <c r="AA968" s="8"/>
      <c r="AB968" s="8"/>
      <c r="AC968" s="8"/>
    </row>
    <row r="969" spans="1:29" ht="12.75" customHeight="1">
      <c r="A969" s="8"/>
      <c r="B969" s="8"/>
      <c r="C969" s="8"/>
      <c r="D969" s="8"/>
      <c r="E969" s="8"/>
      <c r="F969" s="8"/>
      <c r="G969" s="8"/>
      <c r="H969" s="8"/>
      <c r="I969" s="8"/>
      <c r="J969" s="8"/>
      <c r="K969" s="8"/>
      <c r="L969" s="8"/>
      <c r="M969" s="8"/>
      <c r="N969" s="8"/>
      <c r="O969" s="8"/>
      <c r="P969" s="8"/>
      <c r="Q969" s="8"/>
      <c r="R969" s="8"/>
      <c r="S969" s="8"/>
      <c r="T969" s="8"/>
      <c r="U969" s="8"/>
      <c r="V969" s="8"/>
      <c r="W969" s="8"/>
      <c r="X969" s="8"/>
      <c r="Y969" s="8"/>
      <c r="Z969" s="8"/>
      <c r="AA969" s="8"/>
      <c r="AB969" s="8"/>
      <c r="AC969" s="8"/>
    </row>
    <row r="970" spans="1:29" ht="12.75" customHeight="1">
      <c r="A970" s="8"/>
      <c r="B970" s="8"/>
      <c r="C970" s="8"/>
      <c r="D970" s="8"/>
      <c r="E970" s="8"/>
      <c r="F970" s="8"/>
      <c r="G970" s="8"/>
      <c r="H970" s="8"/>
      <c r="I970" s="8"/>
      <c r="J970" s="8"/>
      <c r="K970" s="8"/>
      <c r="L970" s="8"/>
      <c r="M970" s="8"/>
      <c r="N970" s="8"/>
      <c r="O970" s="8"/>
      <c r="P970" s="8"/>
      <c r="Q970" s="8"/>
      <c r="R970" s="8"/>
      <c r="S970" s="8"/>
      <c r="T970" s="8"/>
      <c r="U970" s="8"/>
      <c r="V970" s="8"/>
      <c r="W970" s="8"/>
      <c r="X970" s="8"/>
      <c r="Y970" s="8"/>
      <c r="Z970" s="8"/>
      <c r="AA970" s="8"/>
      <c r="AB970" s="8"/>
      <c r="AC970" s="8"/>
    </row>
    <row r="971" spans="1:29" ht="12.75" customHeight="1">
      <c r="A971" s="8"/>
      <c r="B971" s="8"/>
      <c r="C971" s="8"/>
      <c r="D971" s="8"/>
      <c r="E971" s="8"/>
      <c r="F971" s="8"/>
      <c r="G971" s="8"/>
      <c r="H971" s="8"/>
      <c r="I971" s="8"/>
      <c r="J971" s="8"/>
      <c r="K971" s="8"/>
      <c r="L971" s="8"/>
      <c r="M971" s="8"/>
      <c r="N971" s="8"/>
      <c r="O971" s="8"/>
      <c r="P971" s="8"/>
      <c r="Q971" s="8"/>
      <c r="R971" s="8"/>
      <c r="S971" s="8"/>
      <c r="T971" s="8"/>
      <c r="U971" s="8"/>
      <c r="V971" s="8"/>
      <c r="W971" s="8"/>
      <c r="X971" s="8"/>
      <c r="Y971" s="8"/>
      <c r="Z971" s="8"/>
      <c r="AA971" s="8"/>
      <c r="AB971" s="8"/>
      <c r="AC971" s="8"/>
    </row>
    <row r="972" spans="1:29" ht="12.75" customHeight="1">
      <c r="A972" s="8"/>
      <c r="B972" s="8"/>
      <c r="C972" s="8"/>
      <c r="D972" s="8"/>
      <c r="E972" s="8"/>
      <c r="F972" s="8"/>
      <c r="G972" s="8"/>
      <c r="H972" s="8"/>
      <c r="I972" s="8"/>
      <c r="J972" s="8"/>
      <c r="K972" s="8"/>
      <c r="L972" s="8"/>
      <c r="M972" s="8"/>
      <c r="N972" s="8"/>
      <c r="O972" s="8"/>
      <c r="P972" s="8"/>
      <c r="Q972" s="8"/>
      <c r="R972" s="8"/>
      <c r="S972" s="8"/>
      <c r="T972" s="8"/>
      <c r="U972" s="8"/>
      <c r="V972" s="8"/>
      <c r="W972" s="8"/>
      <c r="X972" s="8"/>
      <c r="Y972" s="8"/>
      <c r="Z972" s="8"/>
      <c r="AA972" s="8"/>
      <c r="AB972" s="8"/>
      <c r="AC972" s="8"/>
    </row>
    <row r="973" spans="1:29" ht="12.75" customHeight="1">
      <c r="A973" s="8"/>
      <c r="B973" s="8"/>
      <c r="C973" s="8"/>
      <c r="D973" s="8"/>
      <c r="E973" s="8"/>
      <c r="F973" s="8"/>
      <c r="G973" s="8"/>
      <c r="H973" s="8"/>
      <c r="I973" s="8"/>
      <c r="J973" s="8"/>
      <c r="K973" s="8"/>
      <c r="L973" s="8"/>
      <c r="M973" s="8"/>
      <c r="N973" s="8"/>
      <c r="O973" s="8"/>
      <c r="P973" s="8"/>
      <c r="Q973" s="8"/>
      <c r="R973" s="8"/>
      <c r="S973" s="8"/>
      <c r="T973" s="8"/>
      <c r="U973" s="8"/>
      <c r="V973" s="8"/>
      <c r="W973" s="8"/>
      <c r="X973" s="8"/>
      <c r="Y973" s="8"/>
      <c r="Z973" s="8"/>
      <c r="AA973" s="8"/>
      <c r="AB973" s="8"/>
      <c r="AC973" s="8"/>
    </row>
    <row r="974" spans="1:29" ht="12.75" customHeight="1">
      <c r="A974" s="8"/>
      <c r="B974" s="8"/>
      <c r="C974" s="8"/>
      <c r="D974" s="8"/>
      <c r="E974" s="8"/>
      <c r="F974" s="8"/>
      <c r="G974" s="8"/>
      <c r="H974" s="8"/>
      <c r="I974" s="8"/>
      <c r="J974" s="8"/>
      <c r="K974" s="8"/>
      <c r="L974" s="8"/>
      <c r="M974" s="8"/>
      <c r="N974" s="8"/>
      <c r="O974" s="8"/>
      <c r="P974" s="8"/>
      <c r="Q974" s="8"/>
      <c r="R974" s="8"/>
      <c r="S974" s="8"/>
      <c r="T974" s="8"/>
      <c r="U974" s="8"/>
      <c r="V974" s="8"/>
      <c r="W974" s="8"/>
      <c r="X974" s="8"/>
      <c r="Y974" s="8"/>
      <c r="Z974" s="8"/>
      <c r="AA974" s="8"/>
      <c r="AB974" s="8"/>
      <c r="AC974" s="8"/>
    </row>
    <row r="975" spans="1:29" ht="12.75" customHeight="1">
      <c r="A975" s="8"/>
      <c r="B975" s="8"/>
      <c r="C975" s="8"/>
      <c r="D975" s="8"/>
      <c r="E975" s="8"/>
      <c r="F975" s="8"/>
      <c r="G975" s="8"/>
      <c r="H975" s="8"/>
      <c r="I975" s="8"/>
      <c r="J975" s="8"/>
      <c r="K975" s="8"/>
      <c r="L975" s="8"/>
      <c r="M975" s="8"/>
      <c r="N975" s="8"/>
      <c r="O975" s="8"/>
      <c r="P975" s="8"/>
      <c r="Q975" s="8"/>
      <c r="R975" s="8"/>
      <c r="S975" s="8"/>
      <c r="T975" s="8"/>
      <c r="U975" s="8"/>
      <c r="V975" s="8"/>
      <c r="W975" s="8"/>
      <c r="X975" s="8"/>
      <c r="Y975" s="8"/>
      <c r="Z975" s="8"/>
      <c r="AA975" s="8"/>
      <c r="AB975" s="8"/>
      <c r="AC975" s="8"/>
    </row>
    <row r="976" spans="1:29" ht="12.75" customHeight="1">
      <c r="A976" s="8"/>
      <c r="B976" s="8"/>
      <c r="C976" s="8"/>
      <c r="D976" s="8"/>
      <c r="E976" s="8"/>
      <c r="F976" s="8"/>
      <c r="G976" s="8"/>
      <c r="H976" s="8"/>
      <c r="I976" s="8"/>
      <c r="J976" s="8"/>
      <c r="K976" s="8"/>
      <c r="L976" s="8"/>
      <c r="M976" s="8"/>
      <c r="N976" s="8"/>
      <c r="O976" s="8"/>
      <c r="P976" s="8"/>
      <c r="Q976" s="8"/>
      <c r="R976" s="8"/>
      <c r="S976" s="8"/>
      <c r="T976" s="8"/>
      <c r="U976" s="8"/>
      <c r="V976" s="8"/>
      <c r="W976" s="8"/>
      <c r="X976" s="8"/>
      <c r="Y976" s="8"/>
      <c r="Z976" s="8"/>
      <c r="AA976" s="8"/>
      <c r="AB976" s="8"/>
      <c r="AC976" s="8"/>
    </row>
    <row r="977" spans="1:29" ht="12.75" customHeight="1">
      <c r="A977" s="8"/>
      <c r="B977" s="8"/>
      <c r="C977" s="8"/>
      <c r="D977" s="8"/>
      <c r="E977" s="8"/>
      <c r="F977" s="8"/>
      <c r="G977" s="8"/>
      <c r="H977" s="8"/>
      <c r="I977" s="8"/>
      <c r="J977" s="8"/>
      <c r="K977" s="8"/>
      <c r="L977" s="8"/>
      <c r="M977" s="8"/>
      <c r="N977" s="8"/>
      <c r="O977" s="8"/>
      <c r="P977" s="8"/>
      <c r="Q977" s="8"/>
      <c r="R977" s="8"/>
      <c r="S977" s="8"/>
      <c r="T977" s="8"/>
      <c r="U977" s="8"/>
      <c r="V977" s="8"/>
      <c r="W977" s="8"/>
      <c r="X977" s="8"/>
      <c r="Y977" s="8"/>
      <c r="Z977" s="8"/>
      <c r="AA977" s="8"/>
      <c r="AB977" s="8"/>
      <c r="AC977" s="8"/>
    </row>
    <row r="978" spans="1:29" ht="12.75" customHeight="1">
      <c r="A978" s="8"/>
      <c r="B978" s="8"/>
      <c r="C978" s="8"/>
      <c r="D978" s="8"/>
      <c r="E978" s="8"/>
      <c r="F978" s="8"/>
      <c r="G978" s="8"/>
      <c r="H978" s="8"/>
      <c r="I978" s="8"/>
      <c r="J978" s="8"/>
      <c r="K978" s="8"/>
      <c r="L978" s="8"/>
      <c r="M978" s="8"/>
      <c r="N978" s="8"/>
      <c r="O978" s="8"/>
      <c r="P978" s="8"/>
      <c r="Q978" s="8"/>
      <c r="R978" s="8"/>
      <c r="S978" s="8"/>
      <c r="T978" s="8"/>
      <c r="U978" s="8"/>
      <c r="V978" s="8"/>
      <c r="W978" s="8"/>
      <c r="X978" s="8"/>
      <c r="Y978" s="8"/>
      <c r="Z978" s="8"/>
      <c r="AA978" s="8"/>
      <c r="AB978" s="8"/>
      <c r="AC978" s="8"/>
    </row>
    <row r="979" spans="1:29" ht="12.75" customHeight="1">
      <c r="A979" s="8"/>
      <c r="B979" s="8"/>
      <c r="C979" s="8"/>
      <c r="D979" s="8"/>
      <c r="E979" s="8"/>
      <c r="F979" s="8"/>
      <c r="G979" s="8"/>
      <c r="H979" s="8"/>
      <c r="I979" s="8"/>
      <c r="J979" s="8"/>
      <c r="K979" s="8"/>
      <c r="L979" s="8"/>
      <c r="M979" s="8"/>
      <c r="N979" s="8"/>
      <c r="O979" s="8"/>
      <c r="P979" s="8"/>
      <c r="Q979" s="8"/>
      <c r="R979" s="8"/>
      <c r="S979" s="8"/>
      <c r="T979" s="8"/>
      <c r="U979" s="8"/>
      <c r="V979" s="8"/>
      <c r="W979" s="8"/>
      <c r="X979" s="8"/>
      <c r="Y979" s="8"/>
      <c r="Z979" s="8"/>
      <c r="AA979" s="8"/>
      <c r="AB979" s="8"/>
      <c r="AC979" s="8"/>
    </row>
    <row r="980" spans="1:29" ht="12.75" customHeight="1">
      <c r="A980" s="8"/>
      <c r="B980" s="8"/>
      <c r="C980" s="8"/>
      <c r="D980" s="8"/>
      <c r="E980" s="8"/>
      <c r="F980" s="8"/>
      <c r="G980" s="8"/>
      <c r="H980" s="8"/>
      <c r="I980" s="8"/>
      <c r="J980" s="8"/>
      <c r="K980" s="8"/>
      <c r="L980" s="8"/>
      <c r="M980" s="8"/>
      <c r="N980" s="8"/>
      <c r="O980" s="8"/>
      <c r="P980" s="8"/>
      <c r="Q980" s="8"/>
      <c r="R980" s="8"/>
      <c r="S980" s="8"/>
      <c r="T980" s="8"/>
      <c r="U980" s="8"/>
      <c r="V980" s="8"/>
      <c r="W980" s="8"/>
      <c r="X980" s="8"/>
      <c r="Y980" s="8"/>
      <c r="Z980" s="8"/>
      <c r="AA980" s="8"/>
      <c r="AB980" s="8"/>
      <c r="AC980" s="8"/>
    </row>
    <row r="981" spans="1:29" ht="12.75" customHeight="1">
      <c r="A981" s="8"/>
      <c r="B981" s="8"/>
      <c r="C981" s="8"/>
      <c r="D981" s="8"/>
      <c r="E981" s="8"/>
      <c r="F981" s="8"/>
      <c r="G981" s="8"/>
      <c r="H981" s="8"/>
      <c r="I981" s="8"/>
      <c r="J981" s="8"/>
      <c r="K981" s="8"/>
      <c r="L981" s="8"/>
      <c r="M981" s="8"/>
      <c r="N981" s="8"/>
      <c r="O981" s="8"/>
      <c r="P981" s="8"/>
      <c r="Q981" s="8"/>
      <c r="R981" s="8"/>
      <c r="S981" s="8"/>
      <c r="T981" s="8"/>
      <c r="U981" s="8"/>
      <c r="V981" s="8"/>
      <c r="W981" s="8"/>
      <c r="X981" s="8"/>
      <c r="Y981" s="8"/>
      <c r="Z981" s="8"/>
      <c r="AA981" s="8"/>
      <c r="AB981" s="8"/>
      <c r="AC981" s="8"/>
    </row>
    <row r="982" spans="1:29" ht="12.75" customHeight="1">
      <c r="A982" s="8"/>
      <c r="B982" s="8"/>
      <c r="C982" s="8"/>
      <c r="D982" s="8"/>
      <c r="E982" s="8"/>
      <c r="F982" s="8"/>
      <c r="G982" s="8"/>
      <c r="H982" s="8"/>
      <c r="I982" s="8"/>
      <c r="J982" s="8"/>
      <c r="K982" s="8"/>
      <c r="L982" s="8"/>
      <c r="M982" s="8"/>
      <c r="N982" s="8"/>
      <c r="O982" s="8"/>
      <c r="P982" s="8"/>
      <c r="Q982" s="8"/>
      <c r="R982" s="8"/>
      <c r="S982" s="8"/>
      <c r="T982" s="8"/>
      <c r="U982" s="8"/>
      <c r="V982" s="8"/>
      <c r="W982" s="8"/>
      <c r="X982" s="8"/>
      <c r="Y982" s="8"/>
      <c r="Z982" s="8"/>
      <c r="AA982" s="8"/>
      <c r="AB982" s="8"/>
      <c r="AC982" s="8"/>
    </row>
    <row r="983" spans="1:29" ht="12.75" customHeight="1">
      <c r="A983" s="8"/>
      <c r="B983" s="8"/>
      <c r="C983" s="8"/>
      <c r="D983" s="8"/>
      <c r="E983" s="8"/>
      <c r="F983" s="8"/>
      <c r="G983" s="8"/>
      <c r="H983" s="8"/>
      <c r="I983" s="8"/>
      <c r="J983" s="8"/>
      <c r="K983" s="8"/>
      <c r="L983" s="8"/>
      <c r="M983" s="8"/>
      <c r="N983" s="8"/>
      <c r="O983" s="8"/>
      <c r="P983" s="8"/>
      <c r="Q983" s="8"/>
      <c r="R983" s="8"/>
      <c r="S983" s="8"/>
      <c r="T983" s="8"/>
      <c r="U983" s="8"/>
      <c r="V983" s="8"/>
      <c r="W983" s="8"/>
      <c r="X983" s="8"/>
      <c r="Y983" s="8"/>
      <c r="Z983" s="8"/>
      <c r="AA983" s="8"/>
      <c r="AB983" s="8"/>
      <c r="AC983" s="8"/>
    </row>
    <row r="984" spans="1:29" ht="12.75" customHeight="1">
      <c r="A984" s="8"/>
      <c r="B984" s="8"/>
      <c r="C984" s="8"/>
      <c r="D984" s="8"/>
      <c r="E984" s="8"/>
      <c r="F984" s="8"/>
      <c r="G984" s="8"/>
      <c r="H984" s="8"/>
      <c r="I984" s="8"/>
      <c r="J984" s="8"/>
      <c r="K984" s="8"/>
      <c r="L984" s="8"/>
      <c r="M984" s="8"/>
      <c r="N984" s="8"/>
      <c r="O984" s="8"/>
      <c r="P984" s="8"/>
      <c r="Q984" s="8"/>
      <c r="R984" s="8"/>
      <c r="S984" s="8"/>
      <c r="T984" s="8"/>
      <c r="U984" s="8"/>
      <c r="V984" s="8"/>
      <c r="W984" s="8"/>
      <c r="X984" s="8"/>
      <c r="Y984" s="8"/>
      <c r="Z984" s="8"/>
      <c r="AA984" s="8"/>
      <c r="AB984" s="8"/>
      <c r="AC984" s="8"/>
    </row>
    <row r="985" spans="1:29" ht="12.75" customHeight="1">
      <c r="A985" s="8"/>
      <c r="B985" s="8"/>
      <c r="C985" s="8"/>
      <c r="D985" s="8"/>
      <c r="E985" s="8"/>
      <c r="F985" s="8"/>
      <c r="G985" s="8"/>
      <c r="H985" s="8"/>
      <c r="I985" s="8"/>
      <c r="J985" s="8"/>
      <c r="K985" s="8"/>
      <c r="L985" s="8"/>
      <c r="M985" s="8"/>
      <c r="N985" s="8"/>
      <c r="O985" s="8"/>
      <c r="P985" s="8"/>
      <c r="Q985" s="8"/>
      <c r="R985" s="8"/>
      <c r="S985" s="8"/>
      <c r="T985" s="8"/>
      <c r="U985" s="8"/>
      <c r="V985" s="8"/>
      <c r="W985" s="8"/>
      <c r="X985" s="8"/>
      <c r="Y985" s="8"/>
      <c r="Z985" s="8"/>
      <c r="AA985" s="8"/>
      <c r="AB985" s="8"/>
      <c r="AC985" s="8"/>
    </row>
    <row r="986" spans="1:29" ht="12.75" customHeight="1">
      <c r="A986" s="8"/>
      <c r="B986" s="8"/>
      <c r="C986" s="8"/>
      <c r="D986" s="8"/>
      <c r="E986" s="8"/>
      <c r="F986" s="8"/>
      <c r="G986" s="8"/>
      <c r="H986" s="8"/>
      <c r="I986" s="8"/>
      <c r="J986" s="8"/>
      <c r="K986" s="8"/>
      <c r="L986" s="8"/>
      <c r="M986" s="8"/>
      <c r="N986" s="8"/>
      <c r="O986" s="8"/>
      <c r="P986" s="8"/>
      <c r="Q986" s="8"/>
      <c r="R986" s="8"/>
      <c r="S986" s="8"/>
      <c r="T986" s="8"/>
      <c r="U986" s="8"/>
      <c r="V986" s="8"/>
      <c r="W986" s="8"/>
      <c r="X986" s="8"/>
      <c r="Y986" s="8"/>
      <c r="Z986" s="8"/>
      <c r="AA986" s="8"/>
      <c r="AB986" s="8"/>
      <c r="AC986" s="8"/>
    </row>
    <row r="987" spans="1:29" ht="12.75" customHeight="1">
      <c r="A987" s="8"/>
      <c r="B987" s="8"/>
      <c r="C987" s="8"/>
      <c r="D987" s="8"/>
      <c r="E987" s="8"/>
      <c r="F987" s="8"/>
      <c r="G987" s="8"/>
      <c r="H987" s="8"/>
      <c r="I987" s="8"/>
      <c r="J987" s="8"/>
      <c r="K987" s="8"/>
      <c r="L987" s="8"/>
      <c r="M987" s="8"/>
      <c r="N987" s="8"/>
      <c r="O987" s="8"/>
      <c r="P987" s="8"/>
      <c r="Q987" s="8"/>
      <c r="R987" s="8"/>
      <c r="S987" s="8"/>
      <c r="T987" s="8"/>
      <c r="U987" s="8"/>
      <c r="V987" s="8"/>
      <c r="W987" s="8"/>
      <c r="X987" s="8"/>
      <c r="Y987" s="8"/>
      <c r="Z987" s="8"/>
      <c r="AA987" s="8"/>
      <c r="AB987" s="8"/>
      <c r="AC987" s="8"/>
    </row>
    <row r="988" spans="1:29" ht="12.75" customHeight="1">
      <c r="A988" s="8"/>
      <c r="B988" s="8"/>
      <c r="C988" s="8"/>
      <c r="D988" s="8"/>
      <c r="E988" s="8"/>
      <c r="F988" s="8"/>
      <c r="G988" s="8"/>
      <c r="H988" s="8"/>
      <c r="I988" s="8"/>
      <c r="J988" s="8"/>
      <c r="K988" s="8"/>
      <c r="L988" s="8"/>
      <c r="M988" s="8"/>
      <c r="N988" s="8"/>
      <c r="O988" s="8"/>
      <c r="P988" s="8"/>
      <c r="Q988" s="8"/>
      <c r="R988" s="8"/>
      <c r="S988" s="8"/>
      <c r="T988" s="8"/>
      <c r="U988" s="8"/>
      <c r="V988" s="8"/>
      <c r="W988" s="8"/>
      <c r="X988" s="8"/>
      <c r="Y988" s="8"/>
      <c r="Z988" s="8"/>
      <c r="AA988" s="8"/>
      <c r="AB988" s="8"/>
      <c r="AC988" s="8"/>
    </row>
    <row r="989" spans="1:29" ht="12.75" customHeight="1">
      <c r="A989" s="8"/>
      <c r="B989" s="8"/>
      <c r="C989" s="8"/>
      <c r="D989" s="8"/>
      <c r="E989" s="8"/>
      <c r="F989" s="8"/>
      <c r="G989" s="8"/>
      <c r="H989" s="8"/>
      <c r="I989" s="8"/>
      <c r="J989" s="8"/>
      <c r="K989" s="8"/>
      <c r="L989" s="8"/>
      <c r="M989" s="8"/>
      <c r="N989" s="8"/>
      <c r="O989" s="8"/>
      <c r="P989" s="8"/>
      <c r="Q989" s="8"/>
      <c r="R989" s="8"/>
      <c r="S989" s="8"/>
      <c r="T989" s="8"/>
      <c r="U989" s="8"/>
      <c r="V989" s="8"/>
      <c r="W989" s="8"/>
      <c r="X989" s="8"/>
      <c r="Y989" s="8"/>
      <c r="Z989" s="8"/>
      <c r="AA989" s="8"/>
      <c r="AB989" s="8"/>
      <c r="AC989" s="8"/>
    </row>
    <row r="990" spans="1:29" ht="12.75" customHeight="1">
      <c r="A990" s="8"/>
      <c r="B990" s="8"/>
      <c r="C990" s="8"/>
      <c r="D990" s="8"/>
      <c r="E990" s="8"/>
      <c r="F990" s="8"/>
      <c r="G990" s="8"/>
      <c r="H990" s="8"/>
      <c r="I990" s="8"/>
      <c r="J990" s="8"/>
      <c r="K990" s="8"/>
      <c r="L990" s="8"/>
      <c r="M990" s="8"/>
      <c r="N990" s="8"/>
      <c r="O990" s="8"/>
      <c r="P990" s="8"/>
      <c r="Q990" s="8"/>
      <c r="R990" s="8"/>
      <c r="S990" s="8"/>
      <c r="T990" s="8"/>
      <c r="U990" s="8"/>
      <c r="V990" s="8"/>
      <c r="W990" s="8"/>
      <c r="X990" s="8"/>
      <c r="Y990" s="8"/>
      <c r="Z990" s="8"/>
      <c r="AA990" s="8"/>
      <c r="AB990" s="8"/>
      <c r="AC990" s="8"/>
    </row>
    <row r="991" spans="1:29" ht="12.75" customHeight="1">
      <c r="A991" s="8"/>
      <c r="B991" s="8"/>
      <c r="C991" s="8"/>
      <c r="D991" s="8"/>
      <c r="E991" s="8"/>
      <c r="F991" s="8"/>
      <c r="G991" s="8"/>
      <c r="H991" s="8"/>
      <c r="I991" s="8"/>
      <c r="J991" s="8"/>
      <c r="K991" s="8"/>
      <c r="L991" s="8"/>
      <c r="M991" s="8"/>
      <c r="N991" s="8"/>
      <c r="O991" s="8"/>
      <c r="P991" s="8"/>
      <c r="Q991" s="8"/>
      <c r="R991" s="8"/>
      <c r="S991" s="8"/>
      <c r="T991" s="8"/>
      <c r="U991" s="8"/>
      <c r="V991" s="8"/>
      <c r="W991" s="8"/>
      <c r="X991" s="8"/>
      <c r="Y991" s="8"/>
      <c r="Z991" s="8"/>
      <c r="AA991" s="8"/>
      <c r="AB991" s="8"/>
      <c r="AC991" s="8"/>
    </row>
    <row r="992" spans="1:29" ht="12.75" customHeight="1">
      <c r="A992" s="8"/>
      <c r="B992" s="8"/>
      <c r="C992" s="8"/>
      <c r="D992" s="8"/>
      <c r="E992" s="8"/>
      <c r="F992" s="8"/>
      <c r="G992" s="8"/>
      <c r="H992" s="8"/>
      <c r="I992" s="8"/>
      <c r="J992" s="8"/>
      <c r="K992" s="8"/>
      <c r="L992" s="8"/>
      <c r="M992" s="8"/>
      <c r="N992" s="8"/>
      <c r="O992" s="8"/>
      <c r="P992" s="8"/>
      <c r="Q992" s="8"/>
      <c r="R992" s="8"/>
      <c r="S992" s="8"/>
      <c r="T992" s="8"/>
      <c r="U992" s="8"/>
      <c r="V992" s="8"/>
      <c r="W992" s="8"/>
      <c r="X992" s="8"/>
      <c r="Y992" s="8"/>
      <c r="Z992" s="8"/>
      <c r="AA992" s="8"/>
      <c r="AB992" s="8"/>
      <c r="AC992" s="8"/>
    </row>
    <row r="993" spans="1:29" ht="12.75" customHeight="1">
      <c r="A993" s="8"/>
      <c r="B993" s="8"/>
      <c r="C993" s="8"/>
      <c r="D993" s="8"/>
      <c r="E993" s="8"/>
      <c r="F993" s="8"/>
      <c r="G993" s="8"/>
      <c r="H993" s="8"/>
      <c r="I993" s="8"/>
      <c r="J993" s="8"/>
      <c r="K993" s="8"/>
      <c r="L993" s="8"/>
      <c r="M993" s="8"/>
      <c r="N993" s="8"/>
      <c r="O993" s="8"/>
      <c r="P993" s="8"/>
      <c r="Q993" s="8"/>
      <c r="R993" s="8"/>
      <c r="S993" s="8"/>
      <c r="T993" s="8"/>
      <c r="U993" s="8"/>
      <c r="V993" s="8"/>
      <c r="W993" s="8"/>
      <c r="X993" s="8"/>
      <c r="Y993" s="8"/>
      <c r="Z993" s="8"/>
      <c r="AA993" s="8"/>
      <c r="AB993" s="8"/>
      <c r="AC993" s="8"/>
    </row>
    <row r="994" spans="1:29" ht="12.75" customHeight="1">
      <c r="A994" s="8"/>
      <c r="B994" s="8"/>
      <c r="C994" s="8"/>
      <c r="D994" s="8"/>
      <c r="E994" s="8"/>
      <c r="F994" s="8"/>
      <c r="G994" s="8"/>
      <c r="H994" s="8"/>
      <c r="I994" s="8"/>
      <c r="J994" s="8"/>
      <c r="K994" s="8"/>
      <c r="L994" s="8"/>
      <c r="M994" s="8"/>
      <c r="N994" s="8"/>
      <c r="O994" s="8"/>
      <c r="P994" s="8"/>
      <c r="Q994" s="8"/>
      <c r="R994" s="8"/>
      <c r="S994" s="8"/>
      <c r="T994" s="8"/>
      <c r="U994" s="8"/>
      <c r="V994" s="8"/>
      <c r="W994" s="8"/>
      <c r="X994" s="8"/>
      <c r="Y994" s="8"/>
      <c r="Z994" s="8"/>
      <c r="AA994" s="8"/>
      <c r="AB994" s="8"/>
      <c r="AC994" s="8"/>
    </row>
    <row r="995" spans="1:29" ht="12.75" customHeight="1">
      <c r="A995" s="8"/>
      <c r="B995" s="8"/>
      <c r="C995" s="8"/>
      <c r="D995" s="8"/>
      <c r="E995" s="8"/>
      <c r="F995" s="8"/>
      <c r="G995" s="8"/>
      <c r="H995" s="8"/>
      <c r="I995" s="8"/>
      <c r="J995" s="8"/>
      <c r="K995" s="8"/>
      <c r="L995" s="8"/>
      <c r="M995" s="8"/>
      <c r="N995" s="8"/>
      <c r="O995" s="8"/>
      <c r="P995" s="8"/>
      <c r="Q995" s="8"/>
      <c r="R995" s="8"/>
      <c r="S995" s="8"/>
      <c r="T995" s="8"/>
      <c r="U995" s="8"/>
      <c r="V995" s="8"/>
      <c r="W995" s="8"/>
      <c r="X995" s="8"/>
      <c r="Y995" s="8"/>
      <c r="Z995" s="8"/>
      <c r="AA995" s="8"/>
      <c r="AB995" s="8"/>
      <c r="AC995" s="8"/>
    </row>
    <row r="996" spans="1:29" ht="12.75" customHeight="1">
      <c r="A996" s="8"/>
      <c r="B996" s="8"/>
      <c r="C996" s="8"/>
      <c r="D996" s="8"/>
      <c r="E996" s="8"/>
      <c r="F996" s="8"/>
      <c r="G996" s="8"/>
      <c r="H996" s="8"/>
      <c r="I996" s="8"/>
      <c r="J996" s="8"/>
      <c r="K996" s="8"/>
      <c r="L996" s="8"/>
      <c r="M996" s="8"/>
      <c r="N996" s="8"/>
      <c r="O996" s="8"/>
      <c r="P996" s="8"/>
      <c r="Q996" s="8"/>
      <c r="R996" s="8"/>
      <c r="S996" s="8"/>
      <c r="T996" s="8"/>
      <c r="U996" s="8"/>
      <c r="V996" s="8"/>
      <c r="W996" s="8"/>
      <c r="X996" s="8"/>
      <c r="Y996" s="8"/>
      <c r="Z996" s="8"/>
      <c r="AA996" s="8"/>
      <c r="AB996" s="8"/>
      <c r="AC996" s="8"/>
    </row>
    <row r="997" spans="1:29" ht="12.75" customHeight="1">
      <c r="A997" s="8"/>
      <c r="B997" s="8"/>
      <c r="C997" s="8"/>
      <c r="D997" s="8"/>
      <c r="E997" s="8"/>
      <c r="F997" s="8"/>
      <c r="G997" s="8"/>
      <c r="H997" s="8"/>
      <c r="I997" s="8"/>
      <c r="J997" s="8"/>
      <c r="K997" s="8"/>
      <c r="L997" s="8"/>
      <c r="M997" s="8"/>
      <c r="N997" s="8"/>
      <c r="O997" s="8"/>
      <c r="P997" s="8"/>
      <c r="Q997" s="8"/>
      <c r="R997" s="8"/>
      <c r="S997" s="8"/>
      <c r="T997" s="8"/>
      <c r="U997" s="8"/>
      <c r="V997" s="8"/>
      <c r="W997" s="8"/>
      <c r="X997" s="8"/>
      <c r="Y997" s="8"/>
      <c r="Z997" s="8"/>
      <c r="AA997" s="8"/>
      <c r="AB997" s="8"/>
      <c r="AC997" s="8"/>
    </row>
    <row r="998" spans="1:29" ht="12.75" customHeight="1">
      <c r="A998" s="8"/>
      <c r="B998" s="8"/>
      <c r="C998" s="8"/>
      <c r="D998" s="8"/>
      <c r="E998" s="8"/>
      <c r="F998" s="8"/>
      <c r="G998" s="8"/>
      <c r="H998" s="8"/>
      <c r="I998" s="8"/>
      <c r="J998" s="8"/>
      <c r="K998" s="8"/>
      <c r="L998" s="8"/>
      <c r="M998" s="8"/>
      <c r="N998" s="8"/>
      <c r="O998" s="8"/>
      <c r="P998" s="8"/>
      <c r="Q998" s="8"/>
      <c r="R998" s="8"/>
      <c r="S998" s="8"/>
      <c r="T998" s="8"/>
      <c r="U998" s="8"/>
      <c r="V998" s="8"/>
      <c r="W998" s="8"/>
      <c r="X998" s="8"/>
      <c r="Y998" s="8"/>
      <c r="Z998" s="8"/>
      <c r="AA998" s="8"/>
      <c r="AB998" s="8"/>
      <c r="AC998" s="8"/>
    </row>
    <row r="999" spans="1:29" ht="12.75" customHeight="1">
      <c r="A999" s="8"/>
      <c r="B999" s="8"/>
      <c r="C999" s="8"/>
      <c r="D999" s="8"/>
      <c r="E999" s="8"/>
      <c r="F999" s="8"/>
      <c r="G999" s="8"/>
      <c r="H999" s="8"/>
      <c r="I999" s="8"/>
      <c r="J999" s="8"/>
      <c r="K999" s="8"/>
      <c r="L999" s="8"/>
      <c r="M999" s="8"/>
      <c r="N999" s="8"/>
      <c r="O999" s="8"/>
      <c r="P999" s="8"/>
      <c r="Q999" s="8"/>
      <c r="R999" s="8"/>
      <c r="S999" s="8"/>
      <c r="T999" s="8"/>
      <c r="U999" s="8"/>
      <c r="V999" s="8"/>
      <c r="W999" s="8"/>
      <c r="X999" s="8"/>
      <c r="Y999" s="8"/>
      <c r="Z999" s="8"/>
      <c r="AA999" s="8"/>
      <c r="AB999" s="8"/>
      <c r="AC999" s="8"/>
    </row>
    <row r="1000" spans="1:29" ht="12.75" customHeight="1">
      <c r="A1000" s="8"/>
      <c r="B1000" s="8"/>
      <c r="C1000" s="8"/>
      <c r="D1000" s="8"/>
      <c r="E1000" s="8"/>
      <c r="F1000" s="8"/>
      <c r="G1000" s="8"/>
      <c r="H1000" s="8"/>
      <c r="I1000" s="8"/>
      <c r="J1000" s="8"/>
      <c r="K1000" s="8"/>
      <c r="L1000" s="8"/>
      <c r="M1000" s="8"/>
      <c r="N1000" s="8"/>
      <c r="O1000" s="8"/>
      <c r="P1000" s="8"/>
      <c r="Q1000" s="8"/>
      <c r="R1000" s="8"/>
      <c r="S1000" s="8"/>
      <c r="T1000" s="8"/>
      <c r="U1000" s="8"/>
      <c r="V1000" s="8"/>
      <c r="W1000" s="8"/>
      <c r="X1000" s="8"/>
      <c r="Y1000" s="8"/>
      <c r="Z1000" s="8"/>
      <c r="AA1000" s="8"/>
      <c r="AB1000" s="8"/>
      <c r="AC1000" s="8"/>
    </row>
  </sheetData>
  <mergeCells count="16">
    <mergeCell ref="I8:K8"/>
    <mergeCell ref="C9:G9"/>
    <mergeCell ref="J12:O12"/>
    <mergeCell ref="P12:Q12"/>
    <mergeCell ref="B21:I21"/>
    <mergeCell ref="K21:R21"/>
    <mergeCell ref="B63:I63"/>
    <mergeCell ref="K63:R63"/>
    <mergeCell ref="T63:AA63"/>
    <mergeCell ref="T21:AA21"/>
    <mergeCell ref="B35:I35"/>
    <mergeCell ref="K35:R35"/>
    <mergeCell ref="T35:AA35"/>
    <mergeCell ref="B49:I49"/>
    <mergeCell ref="K49:R49"/>
    <mergeCell ref="T49:AA49"/>
  </mergeCells>
  <conditionalFormatting sqref="C51:I55">
    <cfRule type="expression" dxfId="2" priority="3">
      <formula>IF(DAY(C51)=20,TRUE,FALSE)</formula>
    </cfRule>
  </conditionalFormatting>
  <conditionalFormatting sqref="L22:R22 K22:K28 L28:R28">
    <cfRule type="expression" dxfId="1" priority="1">
      <formula>"if(l23=14;""Sinh nhat tam"")"</formula>
    </cfRule>
  </conditionalFormatting>
  <conditionalFormatting sqref="L23:R27">
    <cfRule type="expression" dxfId="0" priority="2">
      <formula>IF(DAY(L23)=14,TRUE,FALSE)</formula>
    </cfRule>
  </conditionalFormatting>
  <pageMargins left="0.7" right="0.7" top="0.75" bottom="0.75" header="0" footer="0"/>
  <pageSetup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 3</vt:lpstr>
      <vt:lpstr>Calendar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1Password Viet Nam</cp:lastModifiedBy>
  <cp:lastPrinted>2025-02-20T04:08:45Z</cp:lastPrinted>
  <dcterms:created xsi:type="dcterms:W3CDTF">2024-07-18T08:08:15Z</dcterms:created>
  <dcterms:modified xsi:type="dcterms:W3CDTF">2026-06-02T08:37:43Z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2026-04-28T02:39:27Z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e8a2bad9-222f-472c-845a-bb6fcaa75e45</vt:lpwstr>
  </property>
  <property fmtid="{D5CDD505-2E9C-101B-9397-08002B2CF9AE}" pid="7" name="MSIP_Label_defa4170-0d19-0005-0004-bc88714345d2_ActionId">
    <vt:lpwstr>905be3b1-f6e8-4ce1-98f9-4a4fba41a707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50, 3, 0, 1</vt:lpwstr>
  </property>
</Properties>
</file>