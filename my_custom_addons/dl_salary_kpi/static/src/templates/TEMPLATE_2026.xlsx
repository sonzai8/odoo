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sonzai/dev/odoo 19/odoo/my_custom_addons/dl_salary_kpi/static/src/templates/"/>
    </mc:Choice>
  </mc:AlternateContent>
  <xr:revisionPtr revIDLastSave="0" documentId="13_ncr:1_{AB3BEA9F-AB2F-1348-8C43-650487FA27F3}" xr6:coauthVersionLast="47" xr6:coauthVersionMax="47" xr10:uidLastSave="{00000000-0000-0000-0000-000000000000}"/>
  <bookViews>
    <workbookView xWindow="4440" yWindow="760" windowWidth="25800" windowHeight="17760" activeTab="1" xr2:uid="{00000000-000D-0000-FFFF-FFFF00000000}"/>
  </bookViews>
  <sheets>
    <sheet name="Kangatang" sheetId="43" state="veryHidden" r:id="rId1"/>
    <sheet name="T 3" sheetId="83" r:id="rId2"/>
    <sheet name="Calendar" sheetId="3" r:id="rId3"/>
  </sheets>
  <externalReferences>
    <externalReference r:id="rId4"/>
    <externalReference r:id="rId5"/>
  </externalReferences>
  <definedNames>
    <definedName name="_Fill" localSheetId="2">#REF!</definedName>
    <definedName name="_Fill" localSheetId="1" hidden="1">#REF!</definedName>
    <definedName name="_Fill" hidden="1">#REF!</definedName>
    <definedName name="_xlnm._FilterDatabase" localSheetId="1" hidden="1">'T 3'!$A$6:$EX$8</definedName>
    <definedName name="_Key1" localSheetId="1">#REF!</definedName>
    <definedName name="_Key1">#REF!</definedName>
    <definedName name="_Key2" localSheetId="1">#REF!</definedName>
    <definedName name="_Key2">#REF!</definedName>
    <definedName name="_Sort" localSheetId="2">#REF!</definedName>
    <definedName name="_Sort" localSheetId="1">#REF!</definedName>
    <definedName name="_Sort">#REF!</definedName>
    <definedName name="acc.accountNo">'[1]DANH SACH TAI KHOAN'!$B$11</definedName>
    <definedName name="acc.aliasName">'[1]DANH SACH TAI KHOAN'!$C$11</definedName>
    <definedName name="acc.availableBalance">'[1]DANH SACH TAI KHOAN'!$G$11</definedName>
    <definedName name="acc.currency">'[1]DANH SACH TAI KHOAN'!$F$11</definedName>
    <definedName name="acc.interestRate">'[1]DANH SACH TAI KHOAN'!$E$11</definedName>
    <definedName name="acc.openDate">'[1]DANH SACH TAI KHOAN'!$D$11</definedName>
    <definedName name="acc.statusname">'[1]DANH SACH TAI KHOAN'!$H$11</definedName>
    <definedName name="ll" localSheetId="1">#REF!</definedName>
    <definedName name="ll">#REF!</definedName>
    <definedName name="NGÂN_HÀNG_TMCP_CÔNG_THƯƠNG_VIỆT_NAM">'[1]DANH SACH TAI KHOAN'!$A$2</definedName>
    <definedName name="ngay1">'[2]Thong tin'!$C$10</definedName>
    <definedName name="ngay2">'[2]Thong tin'!$C$11</definedName>
    <definedName name="ROW___ROW_A10">'[1]DANH SACH TAI KHOAN'!$A$11</definedName>
    <definedName name="ROW___ROW_A25">'[1]DANH SACH TAI KHOAN'!$A$11</definedName>
    <definedName name="T2.2024" localSheetId="1">#REF!</definedName>
    <definedName name="T2.2024">#REF!</definedName>
    <definedName name="wrn.chi._.tiÆt." localSheetId="2">#REF!</definedName>
    <definedName name="wrn.chi._.tiÆt." localSheetId="1">#REF!</definedName>
    <definedName name="wrn.chi._.tiÆt.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Z4" i="83" l="1"/>
  <c r="CD8" i="83"/>
  <c r="BY8" i="83" s="1"/>
  <c r="EC8" i="83"/>
  <c r="AO8" i="83"/>
  <c r="CF8" i="83" s="1"/>
  <c r="AP8" i="83"/>
  <c r="CJ8" i="83" s="1"/>
  <c r="AR8" i="83"/>
  <c r="AT8" i="83"/>
  <c r="CB8" i="83" s="1"/>
  <c r="AU8" i="83"/>
  <c r="AV8" i="83"/>
  <c r="AW8" i="83"/>
  <c r="AX8" i="83"/>
  <c r="AY8" i="83"/>
  <c r="AZ8" i="83"/>
  <c r="BA8" i="83"/>
  <c r="BB8" i="83"/>
  <c r="BC8" i="83"/>
  <c r="BD8" i="83"/>
  <c r="BE8" i="83"/>
  <c r="BF8" i="83"/>
  <c r="BG8" i="83"/>
  <c r="BH8" i="83"/>
  <c r="BI8" i="83"/>
  <c r="BJ8" i="83"/>
  <c r="BK8" i="83"/>
  <c r="BL8" i="83"/>
  <c r="BM8" i="83"/>
  <c r="BN8" i="83"/>
  <c r="BO8" i="83"/>
  <c r="BP8" i="83"/>
  <c r="BQ8" i="83"/>
  <c r="BR8" i="83"/>
  <c r="BS8" i="83"/>
  <c r="BT8" i="83"/>
  <c r="BU8" i="83"/>
  <c r="BV8" i="83"/>
  <c r="BW8" i="83"/>
  <c r="BX8" i="83"/>
  <c r="CS8" i="83"/>
  <c r="CY8" i="83"/>
  <c r="DL8" i="83"/>
  <c r="DW8" i="83" s="1"/>
  <c r="DX8" i="83"/>
  <c r="CG8" i="83" l="1"/>
  <c r="DV8" i="83"/>
  <c r="DO8" i="83"/>
  <c r="EA8" i="83" s="1"/>
  <c r="DU8" i="83"/>
  <c r="CA8" i="83"/>
  <c r="CI8" i="83" s="1"/>
  <c r="CV8" i="83" s="1"/>
  <c r="DN8" i="83"/>
  <c r="DZ8" i="83" s="1"/>
  <c r="DM8" i="83"/>
  <c r="AQ8" i="83"/>
  <c r="DJ8" i="83" s="1"/>
  <c r="BZ8" i="83"/>
  <c r="CK8" i="83" s="1"/>
  <c r="CW8" i="83"/>
  <c r="DD8" i="83"/>
  <c r="CO8" i="83"/>
  <c r="CQ8" i="83"/>
  <c r="DE8" i="83"/>
  <c r="CE8" i="83"/>
  <c r="CN8" i="83"/>
  <c r="DA8" i="83" s="1"/>
  <c r="CC8" i="83"/>
  <c r="CP8" i="83" s="1"/>
  <c r="EQ8" i="83"/>
  <c r="ET8" i="83" s="1"/>
  <c r="DI8" i="83" l="1"/>
  <c r="EX8" i="83"/>
  <c r="EW8" i="83"/>
  <c r="DR8" i="83"/>
  <c r="EE8" i="83" s="1"/>
  <c r="DY8" i="83"/>
  <c r="EB8" i="83" s="1"/>
  <c r="EJ8" i="83"/>
  <c r="AS8" i="83"/>
  <c r="CH8" i="83" s="1"/>
  <c r="CU8" i="83" s="1"/>
  <c r="CM8" i="83"/>
  <c r="CT8" i="83"/>
  <c r="CX8" i="83"/>
  <c r="DC8" i="83"/>
  <c r="DF8" i="83"/>
  <c r="DB8" i="83"/>
  <c r="CZ8" i="83" l="1"/>
  <c r="DH8" i="83" l="1"/>
  <c r="DK8" i="83" s="1"/>
  <c r="ED8" i="83" s="1"/>
  <c r="EK8" i="83" l="1"/>
  <c r="EL8" i="83" s="1"/>
  <c r="EG8" i="83"/>
  <c r="EH8" i="83" s="1"/>
  <c r="EI8" i="83" s="1"/>
  <c r="DP8" i="83" s="1"/>
  <c r="DQ8" i="83" s="1"/>
  <c r="DS8" i="83" s="1"/>
  <c r="EO8" i="83" l="1"/>
  <c r="EP8" i="83" s="1"/>
  <c r="AV4" i="83" l="1"/>
  <c r="J5" i="83"/>
  <c r="K5" i="83" s="1"/>
  <c r="J6" i="83" l="1"/>
  <c r="AT6" i="83" s="1"/>
  <c r="AT5" i="83"/>
  <c r="AU5" i="83" s="1"/>
  <c r="AV5" i="83" s="1"/>
  <c r="AW5" i="83" s="1"/>
  <c r="AX5" i="83" s="1"/>
  <c r="AY5" i="83" s="1"/>
  <c r="AZ5" i="83" s="1"/>
  <c r="BA5" i="83" s="1"/>
  <c r="BB5" i="83" s="1"/>
  <c r="BC5" i="83" s="1"/>
  <c r="BD5" i="83" s="1"/>
  <c r="BE5" i="83" s="1"/>
  <c r="BF5" i="83" s="1"/>
  <c r="BG5" i="83" s="1"/>
  <c r="BH5" i="83" s="1"/>
  <c r="BI5" i="83" s="1"/>
  <c r="BJ5" i="83" s="1"/>
  <c r="BK5" i="83" s="1"/>
  <c r="BL5" i="83" s="1"/>
  <c r="BM5" i="83" s="1"/>
  <c r="BN5" i="83" s="1"/>
  <c r="BO5" i="83" s="1"/>
  <c r="BP5" i="83" s="1"/>
  <c r="BQ5" i="83" s="1"/>
  <c r="BR5" i="83" s="1"/>
  <c r="BS5" i="83" s="1"/>
  <c r="BT5" i="83" s="1"/>
  <c r="BU5" i="83" s="1"/>
  <c r="BU4" i="83" s="1"/>
  <c r="L5" i="83"/>
  <c r="K6" i="83"/>
  <c r="AU6" i="83" s="1"/>
  <c r="BV5" i="83" l="1"/>
  <c r="M5" i="83"/>
  <c r="L6" i="83"/>
  <c r="AV6" i="83" s="1"/>
  <c r="BW5" i="83" l="1"/>
  <c r="BX5" i="83" s="1"/>
  <c r="BX4" i="83" s="1"/>
  <c r="N5" i="83"/>
  <c r="M6" i="83"/>
  <c r="AW6" i="83" s="1"/>
  <c r="O5" i="83" l="1"/>
  <c r="N6" i="83"/>
  <c r="AX6" i="83" s="1"/>
  <c r="O6" i="83" l="1"/>
  <c r="AY6" i="83" s="1"/>
  <c r="P5" i="83"/>
  <c r="Q5" i="83" l="1"/>
  <c r="P6" i="83"/>
  <c r="AZ6" i="83" s="1"/>
  <c r="Q6" i="83" l="1"/>
  <c r="BA6" i="83" s="1"/>
  <c r="R5" i="83"/>
  <c r="S5" i="83" l="1"/>
  <c r="R6" i="83"/>
  <c r="BB6" i="83" s="1"/>
  <c r="T5" i="83" l="1"/>
  <c r="S6" i="83"/>
  <c r="BC6" i="83" s="1"/>
  <c r="U5" i="83" l="1"/>
  <c r="T6" i="83"/>
  <c r="BD6" i="83" s="1"/>
  <c r="V5" i="83" l="1"/>
  <c r="U6" i="83"/>
  <c r="BE6" i="83" s="1"/>
  <c r="W5" i="83" l="1"/>
  <c r="V6" i="83"/>
  <c r="BF6" i="83" s="1"/>
  <c r="X5" i="83" l="1"/>
  <c r="W6" i="83"/>
  <c r="BG6" i="83" s="1"/>
  <c r="Y5" i="83" l="1"/>
  <c r="X6" i="83"/>
  <c r="BH6" i="83" s="1"/>
  <c r="Z5" i="83" l="1"/>
  <c r="Y6" i="83"/>
  <c r="BI6" i="83" s="1"/>
  <c r="AA5" i="83" l="1"/>
  <c r="Z6" i="83"/>
  <c r="BJ6" i="83" s="1"/>
  <c r="AA6" i="83" l="1"/>
  <c r="BK6" i="83" s="1"/>
  <c r="AB5" i="83"/>
  <c r="AC5" i="83" l="1"/>
  <c r="AB6" i="83"/>
  <c r="BL6" i="83" s="1"/>
  <c r="AC6" i="83" l="1"/>
  <c r="BM6" i="83" s="1"/>
  <c r="AD5" i="83"/>
  <c r="AE5" i="83" l="1"/>
  <c r="AD6" i="83"/>
  <c r="BN6" i="83" s="1"/>
  <c r="AF5" i="83" l="1"/>
  <c r="AE6" i="83"/>
  <c r="BO6" i="83" s="1"/>
  <c r="AG5" i="83" l="1"/>
  <c r="AF6" i="83"/>
  <c r="BP6" i="83" s="1"/>
  <c r="AH5" i="83" l="1"/>
  <c r="AG6" i="83"/>
  <c r="BQ6" i="83" s="1"/>
  <c r="AI5" i="83" l="1"/>
  <c r="AH6" i="83"/>
  <c r="BR6" i="83" s="1"/>
  <c r="AJ5" i="83" l="1"/>
  <c r="AI6" i="83"/>
  <c r="BS6" i="83" s="1"/>
  <c r="AK5" i="83" l="1"/>
  <c r="AJ6" i="83"/>
  <c r="BT6" i="83" s="1"/>
  <c r="AL5" i="83" l="1"/>
  <c r="AK6" i="83"/>
  <c r="BU6" i="83" s="1"/>
  <c r="AM5" i="83" l="1"/>
  <c r="AL6" i="83"/>
  <c r="BV6" i="83" s="1"/>
  <c r="AM6" i="83" l="1"/>
  <c r="BW6" i="83" s="1"/>
  <c r="AN5" i="83"/>
  <c r="AN6" i="83" s="1"/>
  <c r="BX6" i="83" s="1"/>
  <c r="O29" i="3" l="1"/>
  <c r="B24" i="3"/>
  <c r="B25" i="3" s="1"/>
  <c r="B26" i="3" s="1"/>
  <c r="B27" i="3" s="1"/>
  <c r="P12" i="3"/>
  <c r="C2" i="3"/>
  <c r="I3" i="3" s="1"/>
  <c r="D3" i="3" l="1"/>
  <c r="E3" i="3"/>
  <c r="L2" i="3"/>
  <c r="P29" i="3" s="1"/>
  <c r="Q29" i="3" s="1"/>
  <c r="R29" i="3" s="1"/>
  <c r="F3" i="3"/>
  <c r="M2" i="3"/>
  <c r="G3" i="3"/>
  <c r="G23" i="3" s="1"/>
  <c r="H3" i="3"/>
  <c r="H23" i="3" s="1"/>
  <c r="I23" i="3" s="1"/>
  <c r="C24" i="3" s="1"/>
  <c r="D24" i="3" s="1"/>
  <c r="E24" i="3" s="1"/>
  <c r="F24" i="3" s="1"/>
  <c r="G24" i="3" s="1"/>
  <c r="H24" i="3" s="1"/>
  <c r="I24" i="3" s="1"/>
  <c r="C25" i="3" s="1"/>
  <c r="D25" i="3" s="1"/>
  <c r="E25" i="3" s="1"/>
  <c r="F25" i="3" s="1"/>
  <c r="G25" i="3" s="1"/>
  <c r="H25" i="3" s="1"/>
  <c r="I25" i="3" s="1"/>
  <c r="C26" i="3" s="1"/>
  <c r="D26" i="3" s="1"/>
  <c r="E26" i="3" s="1"/>
  <c r="F26" i="3" s="1"/>
  <c r="G26" i="3" s="1"/>
  <c r="H26" i="3" s="1"/>
  <c r="I26" i="3" s="1"/>
  <c r="C27" i="3" s="1"/>
  <c r="D27" i="3" s="1"/>
  <c r="E27" i="3" s="1"/>
  <c r="F27" i="3" s="1"/>
  <c r="G27" i="3" s="1"/>
  <c r="H27" i="3" s="1"/>
  <c r="I27" i="3" s="1"/>
  <c r="C28" i="3" s="1"/>
  <c r="C3" i="3"/>
  <c r="C23" i="3" s="1"/>
  <c r="B28" i="3" l="1"/>
  <c r="K23" i="3" s="1"/>
  <c r="K24" i="3" s="1"/>
  <c r="K25" i="3" s="1"/>
  <c r="K26" i="3" s="1"/>
  <c r="K27" i="3" s="1"/>
  <c r="D28" i="3"/>
  <c r="E28" i="3" s="1"/>
  <c r="F28" i="3" s="1"/>
  <c r="G28" i="3" s="1"/>
  <c r="H28" i="3" s="1"/>
  <c r="I28" i="3" s="1"/>
  <c r="P3" i="3"/>
  <c r="O3" i="3"/>
  <c r="N3" i="3"/>
  <c r="M3" i="3"/>
  <c r="U2" i="3"/>
  <c r="L3" i="3"/>
  <c r="L23" i="3" s="1"/>
  <c r="Q3" i="3"/>
  <c r="R3" i="3"/>
  <c r="E23" i="3"/>
  <c r="F23" i="3" s="1"/>
  <c r="D23" i="3"/>
  <c r="AA3" i="3" l="1"/>
  <c r="Z3" i="3"/>
  <c r="Y3" i="3"/>
  <c r="X3" i="3"/>
  <c r="D2" i="3"/>
  <c r="W3" i="3"/>
  <c r="V3" i="3"/>
  <c r="U3" i="3"/>
  <c r="U23" i="3" s="1"/>
  <c r="M23" i="3"/>
  <c r="N23" i="3" s="1"/>
  <c r="O23" i="3" s="1"/>
  <c r="P23" i="3" s="1"/>
  <c r="Q23" i="3" s="1"/>
  <c r="R23" i="3" s="1"/>
  <c r="L24" i="3" s="1"/>
  <c r="M24" i="3" s="1"/>
  <c r="N24" i="3" s="1"/>
  <c r="O24" i="3" s="1"/>
  <c r="P24" i="3" s="1"/>
  <c r="Q24" i="3" s="1"/>
  <c r="R24" i="3" s="1"/>
  <c r="L25" i="3" s="1"/>
  <c r="M25" i="3" s="1"/>
  <c r="N25" i="3" s="1"/>
  <c r="O25" i="3" s="1"/>
  <c r="P25" i="3" s="1"/>
  <c r="Q25" i="3" s="1"/>
  <c r="R25" i="3" s="1"/>
  <c r="L26" i="3" s="1"/>
  <c r="M26" i="3" s="1"/>
  <c r="N26" i="3" s="1"/>
  <c r="O26" i="3" s="1"/>
  <c r="P26" i="3" s="1"/>
  <c r="Q26" i="3" s="1"/>
  <c r="R26" i="3" s="1"/>
  <c r="L27" i="3" s="1"/>
  <c r="M27" i="3" s="1"/>
  <c r="N27" i="3" s="1"/>
  <c r="O27" i="3" s="1"/>
  <c r="P27" i="3" s="1"/>
  <c r="Q27" i="3" s="1"/>
  <c r="R27" i="3" s="1"/>
  <c r="L28" i="3" s="1"/>
  <c r="M28" i="3" l="1"/>
  <c r="N28" i="3" s="1"/>
  <c r="O28" i="3" s="1"/>
  <c r="P28" i="3" s="1"/>
  <c r="Q28" i="3" s="1"/>
  <c r="R28" i="3" s="1"/>
  <c r="K28" i="3"/>
  <c r="T23" i="3" s="1"/>
  <c r="T24" i="3" s="1"/>
  <c r="T25" i="3" s="1"/>
  <c r="T26" i="3" s="1"/>
  <c r="T27" i="3" s="1"/>
  <c r="V23" i="3"/>
  <c r="W23" i="3"/>
  <c r="E4" i="3"/>
  <c r="D4" i="3"/>
  <c r="C4" i="3"/>
  <c r="C37" i="3" s="1"/>
  <c r="N2" i="3"/>
  <c r="I4" i="3"/>
  <c r="H4" i="3"/>
  <c r="G4" i="3"/>
  <c r="G37" i="3" s="1"/>
  <c r="F4" i="3"/>
  <c r="F37" i="3" s="1"/>
  <c r="X23" i="3"/>
  <c r="Y23" i="3" s="1"/>
  <c r="Z23" i="3" s="1"/>
  <c r="AA23" i="3" s="1"/>
  <c r="U24" i="3" s="1"/>
  <c r="V24" i="3" s="1"/>
  <c r="W24" i="3" s="1"/>
  <c r="X24" i="3" s="1"/>
  <c r="Y24" i="3" s="1"/>
  <c r="Z24" i="3" s="1"/>
  <c r="AA24" i="3" s="1"/>
  <c r="U25" i="3" s="1"/>
  <c r="V25" i="3" s="1"/>
  <c r="W25" i="3" s="1"/>
  <c r="X25" i="3" s="1"/>
  <c r="Y25" i="3" s="1"/>
  <c r="Z25" i="3" s="1"/>
  <c r="AA25" i="3" s="1"/>
  <c r="U26" i="3" s="1"/>
  <c r="V26" i="3" s="1"/>
  <c r="W26" i="3" s="1"/>
  <c r="X26" i="3" s="1"/>
  <c r="Y26" i="3" s="1"/>
  <c r="Z26" i="3" s="1"/>
  <c r="AA26" i="3" s="1"/>
  <c r="U27" i="3" s="1"/>
  <c r="V27" i="3" s="1"/>
  <c r="W27" i="3" s="1"/>
  <c r="X27" i="3" s="1"/>
  <c r="Y27" i="3" s="1"/>
  <c r="Z27" i="3" s="1"/>
  <c r="AA27" i="3" s="1"/>
  <c r="U28" i="3" s="1"/>
  <c r="V28" i="3" l="1"/>
  <c r="W28" i="3" s="1"/>
  <c r="X28" i="3" s="1"/>
  <c r="Y28" i="3" s="1"/>
  <c r="Z28" i="3" s="1"/>
  <c r="AA28" i="3" s="1"/>
  <c r="T28" i="3"/>
  <c r="B37" i="3" s="1"/>
  <c r="B38" i="3" s="1"/>
  <c r="B39" i="3" s="1"/>
  <c r="B40" i="3" s="1"/>
  <c r="B41" i="3" s="1"/>
  <c r="H37" i="3"/>
  <c r="I37" i="3"/>
  <c r="C38" i="3" s="1"/>
  <c r="D38" i="3" s="1"/>
  <c r="E38" i="3" s="1"/>
  <c r="F38" i="3" s="1"/>
  <c r="G38" i="3" s="1"/>
  <c r="H38" i="3" s="1"/>
  <c r="I38" i="3" s="1"/>
  <c r="C39" i="3" s="1"/>
  <c r="D39" i="3" s="1"/>
  <c r="E39" i="3" s="1"/>
  <c r="F39" i="3" s="1"/>
  <c r="G39" i="3" s="1"/>
  <c r="H39" i="3" s="1"/>
  <c r="I39" i="3" s="1"/>
  <c r="C40" i="3" s="1"/>
  <c r="D40" i="3" s="1"/>
  <c r="E40" i="3" s="1"/>
  <c r="F40" i="3" s="1"/>
  <c r="G40" i="3" s="1"/>
  <c r="H40" i="3" s="1"/>
  <c r="I40" i="3" s="1"/>
  <c r="C41" i="3" s="1"/>
  <c r="D41" i="3" s="1"/>
  <c r="E41" i="3" s="1"/>
  <c r="F41" i="3" s="1"/>
  <c r="G41" i="3" s="1"/>
  <c r="H41" i="3" s="1"/>
  <c r="I41" i="3" s="1"/>
  <c r="C42" i="3" s="1"/>
  <c r="R4" i="3"/>
  <c r="Q4" i="3"/>
  <c r="Q37" i="3" s="1"/>
  <c r="V2" i="3"/>
  <c r="P4" i="3"/>
  <c r="O4" i="3"/>
  <c r="N4" i="3"/>
  <c r="M4" i="3"/>
  <c r="L4" i="3"/>
  <c r="L37" i="3" s="1"/>
  <c r="D37" i="3"/>
  <c r="E37" i="3" s="1"/>
  <c r="M37" i="3" l="1"/>
  <c r="N37" i="3"/>
  <c r="O37" i="3" s="1"/>
  <c r="P37" i="3" s="1"/>
  <c r="U4" i="3"/>
  <c r="U37" i="3" s="1"/>
  <c r="V4" i="3"/>
  <c r="V37" i="3" s="1"/>
  <c r="AA4" i="3"/>
  <c r="Z4" i="3"/>
  <c r="Y4" i="3"/>
  <c r="X4" i="3"/>
  <c r="W4" i="3"/>
  <c r="W37" i="3" s="1"/>
  <c r="E2" i="3"/>
  <c r="R37" i="3"/>
  <c r="L38" i="3" s="1"/>
  <c r="M38" i="3" s="1"/>
  <c r="N38" i="3" s="1"/>
  <c r="O38" i="3" s="1"/>
  <c r="P38" i="3" s="1"/>
  <c r="Q38" i="3" s="1"/>
  <c r="R38" i="3" s="1"/>
  <c r="L39" i="3" s="1"/>
  <c r="M39" i="3" s="1"/>
  <c r="N39" i="3" s="1"/>
  <c r="O39" i="3" s="1"/>
  <c r="P39" i="3" s="1"/>
  <c r="Q39" i="3" s="1"/>
  <c r="R39" i="3" s="1"/>
  <c r="L40" i="3" s="1"/>
  <c r="M40" i="3" s="1"/>
  <c r="N40" i="3" s="1"/>
  <c r="O40" i="3" s="1"/>
  <c r="P40" i="3" s="1"/>
  <c r="Q40" i="3" s="1"/>
  <c r="R40" i="3" s="1"/>
  <c r="L41" i="3" s="1"/>
  <c r="M41" i="3" s="1"/>
  <c r="N41" i="3" s="1"/>
  <c r="O41" i="3" s="1"/>
  <c r="P41" i="3" s="1"/>
  <c r="Q41" i="3" s="1"/>
  <c r="R41" i="3" s="1"/>
  <c r="L42" i="3" s="1"/>
  <c r="D42" i="3"/>
  <c r="E42" i="3" s="1"/>
  <c r="F42" i="3" s="1"/>
  <c r="G42" i="3" s="1"/>
  <c r="H42" i="3" s="1"/>
  <c r="I42" i="3" s="1"/>
  <c r="B42" i="3"/>
  <c r="K37" i="3" s="1"/>
  <c r="K38" i="3" s="1"/>
  <c r="K39" i="3" s="1"/>
  <c r="K40" i="3" s="1"/>
  <c r="K41" i="3" s="1"/>
  <c r="H5" i="3" l="1"/>
  <c r="G5" i="3"/>
  <c r="I5" i="3"/>
  <c r="F5" i="3"/>
  <c r="F51" i="3" s="1"/>
  <c r="E5" i="3"/>
  <c r="D5" i="3"/>
  <c r="D51" i="3" s="1"/>
  <c r="C5" i="3"/>
  <c r="C51" i="3" s="1"/>
  <c r="O2" i="3"/>
  <c r="X37" i="3"/>
  <c r="Y37" i="3" s="1"/>
  <c r="Z37" i="3" s="1"/>
  <c r="AA37" i="3" s="1"/>
  <c r="U38" i="3" s="1"/>
  <c r="V38" i="3" s="1"/>
  <c r="W38" i="3" s="1"/>
  <c r="X38" i="3" s="1"/>
  <c r="Y38" i="3" s="1"/>
  <c r="Z38" i="3" s="1"/>
  <c r="AA38" i="3" s="1"/>
  <c r="U39" i="3" s="1"/>
  <c r="V39" i="3" s="1"/>
  <c r="W39" i="3" s="1"/>
  <c r="X39" i="3" s="1"/>
  <c r="Y39" i="3" s="1"/>
  <c r="Z39" i="3" s="1"/>
  <c r="AA39" i="3" s="1"/>
  <c r="U40" i="3" s="1"/>
  <c r="V40" i="3" s="1"/>
  <c r="W40" i="3" s="1"/>
  <c r="X40" i="3" s="1"/>
  <c r="Y40" i="3" s="1"/>
  <c r="Z40" i="3" s="1"/>
  <c r="AA40" i="3" s="1"/>
  <c r="U41" i="3" s="1"/>
  <c r="V41" i="3" s="1"/>
  <c r="W41" i="3" s="1"/>
  <c r="X41" i="3" s="1"/>
  <c r="Y41" i="3" s="1"/>
  <c r="Z41" i="3" s="1"/>
  <c r="AA41" i="3" s="1"/>
  <c r="U42" i="3" s="1"/>
  <c r="M42" i="3"/>
  <c r="N42" i="3" s="1"/>
  <c r="O42" i="3" s="1"/>
  <c r="P42" i="3" s="1"/>
  <c r="Q42" i="3" s="1"/>
  <c r="R42" i="3" s="1"/>
  <c r="K42" i="3"/>
  <c r="T37" i="3" s="1"/>
  <c r="T38" i="3" s="1"/>
  <c r="T39" i="3" s="1"/>
  <c r="T40" i="3" s="1"/>
  <c r="T41" i="3" s="1"/>
  <c r="V42" i="3" l="1"/>
  <c r="W42" i="3" s="1"/>
  <c r="X42" i="3" s="1"/>
  <c r="Y42" i="3" s="1"/>
  <c r="Z42" i="3" s="1"/>
  <c r="AA42" i="3" s="1"/>
  <c r="T42" i="3"/>
  <c r="B51" i="3" s="1"/>
  <c r="B52" i="3" s="1"/>
  <c r="B53" i="3" s="1"/>
  <c r="B54" i="3" s="1"/>
  <c r="B55" i="3" s="1"/>
  <c r="E51" i="3"/>
  <c r="W2" i="3"/>
  <c r="R5" i="3"/>
  <c r="R51" i="3" s="1"/>
  <c r="L52" i="3" s="1"/>
  <c r="M52" i="3" s="1"/>
  <c r="N52" i="3" s="1"/>
  <c r="O52" i="3" s="1"/>
  <c r="P52" i="3" s="1"/>
  <c r="Q52" i="3" s="1"/>
  <c r="R52" i="3" s="1"/>
  <c r="L53" i="3" s="1"/>
  <c r="M53" i="3" s="1"/>
  <c r="N53" i="3" s="1"/>
  <c r="O53" i="3" s="1"/>
  <c r="P53" i="3" s="1"/>
  <c r="Q53" i="3" s="1"/>
  <c r="R53" i="3" s="1"/>
  <c r="L54" i="3" s="1"/>
  <c r="M54" i="3" s="1"/>
  <c r="N54" i="3" s="1"/>
  <c r="O54" i="3" s="1"/>
  <c r="P54" i="3" s="1"/>
  <c r="Q54" i="3" s="1"/>
  <c r="R54" i="3" s="1"/>
  <c r="L55" i="3" s="1"/>
  <c r="M55" i="3" s="1"/>
  <c r="N55" i="3" s="1"/>
  <c r="O55" i="3" s="1"/>
  <c r="P55" i="3" s="1"/>
  <c r="Q55" i="3" s="1"/>
  <c r="R55" i="3" s="1"/>
  <c r="L56" i="3" s="1"/>
  <c r="Q5" i="3"/>
  <c r="P5" i="3"/>
  <c r="O5" i="3"/>
  <c r="N5" i="3"/>
  <c r="M5" i="3"/>
  <c r="L5" i="3"/>
  <c r="L51" i="3" s="1"/>
  <c r="G51" i="3"/>
  <c r="H51" i="3" s="1"/>
  <c r="I51" i="3" s="1"/>
  <c r="C52" i="3" s="1"/>
  <c r="D52" i="3" s="1"/>
  <c r="E52" i="3" s="1"/>
  <c r="F52" i="3" s="1"/>
  <c r="G52" i="3" s="1"/>
  <c r="H52" i="3" s="1"/>
  <c r="I52" i="3" s="1"/>
  <c r="C53" i="3" s="1"/>
  <c r="D53" i="3" s="1"/>
  <c r="E53" i="3" s="1"/>
  <c r="F53" i="3" s="1"/>
  <c r="G53" i="3" s="1"/>
  <c r="H53" i="3" s="1"/>
  <c r="I53" i="3" s="1"/>
  <c r="C54" i="3" s="1"/>
  <c r="D54" i="3" s="1"/>
  <c r="E54" i="3" s="1"/>
  <c r="F54" i="3" s="1"/>
  <c r="G54" i="3" s="1"/>
  <c r="H54" i="3" s="1"/>
  <c r="I54" i="3" s="1"/>
  <c r="C55" i="3" s="1"/>
  <c r="D55" i="3" s="1"/>
  <c r="E55" i="3" s="1"/>
  <c r="F55" i="3" s="1"/>
  <c r="G55" i="3" s="1"/>
  <c r="H55" i="3" s="1"/>
  <c r="I55" i="3" s="1"/>
  <c r="C56" i="3" s="1"/>
  <c r="M51" i="3" l="1"/>
  <c r="D56" i="3"/>
  <c r="E56" i="3" s="1"/>
  <c r="F56" i="3" s="1"/>
  <c r="G56" i="3" s="1"/>
  <c r="H56" i="3" s="1"/>
  <c r="I56" i="3" s="1"/>
  <c r="B56" i="3"/>
  <c r="K51" i="3" s="1"/>
  <c r="K52" i="3" s="1"/>
  <c r="K53" i="3" s="1"/>
  <c r="K54" i="3" s="1"/>
  <c r="K55" i="3" s="1"/>
  <c r="N51" i="3"/>
  <c r="O51" i="3"/>
  <c r="P51" i="3" s="1"/>
  <c r="Q51" i="3" s="1"/>
  <c r="X5" i="3"/>
  <c r="W5" i="3"/>
  <c r="W51" i="3" s="1"/>
  <c r="V5" i="3"/>
  <c r="Y5" i="3"/>
  <c r="U5" i="3"/>
  <c r="U51" i="3" s="1"/>
  <c r="AA5" i="3"/>
  <c r="F2" i="3"/>
  <c r="Z5" i="3"/>
  <c r="M56" i="3"/>
  <c r="N56" i="3" s="1"/>
  <c r="O56" i="3" s="1"/>
  <c r="P56" i="3" s="1"/>
  <c r="Q56" i="3" s="1"/>
  <c r="R56" i="3" s="1"/>
  <c r="K56" i="3"/>
  <c r="T51" i="3" s="1"/>
  <c r="T52" i="3" s="1"/>
  <c r="T53" i="3" s="1"/>
  <c r="T54" i="3" s="1"/>
  <c r="T55" i="3" s="1"/>
  <c r="X51" i="3" l="1"/>
  <c r="Y51" i="3" s="1"/>
  <c r="Z51" i="3" s="1"/>
  <c r="AA51" i="3" s="1"/>
  <c r="U52" i="3" s="1"/>
  <c r="V52" i="3" s="1"/>
  <c r="W52" i="3" s="1"/>
  <c r="X52" i="3" s="1"/>
  <c r="Y52" i="3" s="1"/>
  <c r="Z52" i="3" s="1"/>
  <c r="AA52" i="3" s="1"/>
  <c r="U53" i="3" s="1"/>
  <c r="V53" i="3" s="1"/>
  <c r="W53" i="3" s="1"/>
  <c r="X53" i="3" s="1"/>
  <c r="Y53" i="3" s="1"/>
  <c r="Z53" i="3" s="1"/>
  <c r="AA53" i="3" s="1"/>
  <c r="U54" i="3" s="1"/>
  <c r="V54" i="3" s="1"/>
  <c r="W54" i="3" s="1"/>
  <c r="X54" i="3" s="1"/>
  <c r="Y54" i="3" s="1"/>
  <c r="Z54" i="3" s="1"/>
  <c r="AA54" i="3" s="1"/>
  <c r="U55" i="3" s="1"/>
  <c r="V55" i="3" s="1"/>
  <c r="W55" i="3" s="1"/>
  <c r="X55" i="3" s="1"/>
  <c r="Y55" i="3" s="1"/>
  <c r="Z55" i="3" s="1"/>
  <c r="AA55" i="3" s="1"/>
  <c r="U56" i="3" s="1"/>
  <c r="I6" i="3"/>
  <c r="H6" i="3"/>
  <c r="G6" i="3"/>
  <c r="G65" i="3" s="1"/>
  <c r="P2" i="3"/>
  <c r="F6" i="3"/>
  <c r="E6" i="3"/>
  <c r="D6" i="3"/>
  <c r="C6" i="3"/>
  <c r="C65" i="3" s="1"/>
  <c r="V51" i="3"/>
  <c r="V56" i="3" l="1"/>
  <c r="W56" i="3" s="1"/>
  <c r="X56" i="3" s="1"/>
  <c r="Y56" i="3" s="1"/>
  <c r="Z56" i="3" s="1"/>
  <c r="AA56" i="3" s="1"/>
  <c r="T56" i="3"/>
  <c r="B65" i="3" s="1"/>
  <c r="B66" i="3" s="1"/>
  <c r="B67" i="3" s="1"/>
  <c r="B68" i="3" s="1"/>
  <c r="B69" i="3" s="1"/>
  <c r="M6" i="3"/>
  <c r="X2" i="3"/>
  <c r="L6" i="3"/>
  <c r="L65" i="3" s="1"/>
  <c r="R6" i="3"/>
  <c r="Q6" i="3"/>
  <c r="N6" i="3"/>
  <c r="P6" i="3"/>
  <c r="O6" i="3"/>
  <c r="H65" i="3"/>
  <c r="I65" i="3" s="1"/>
  <c r="C66" i="3" s="1"/>
  <c r="D66" i="3" s="1"/>
  <c r="E66" i="3" s="1"/>
  <c r="F66" i="3" s="1"/>
  <c r="G66" i="3" s="1"/>
  <c r="H66" i="3" s="1"/>
  <c r="I66" i="3" s="1"/>
  <c r="C67" i="3" s="1"/>
  <c r="D67" i="3" s="1"/>
  <c r="E67" i="3" s="1"/>
  <c r="F67" i="3" s="1"/>
  <c r="G67" i="3" s="1"/>
  <c r="H67" i="3" s="1"/>
  <c r="I67" i="3" s="1"/>
  <c r="C68" i="3" s="1"/>
  <c r="D68" i="3" s="1"/>
  <c r="E68" i="3" s="1"/>
  <c r="F68" i="3" s="1"/>
  <c r="G68" i="3" s="1"/>
  <c r="H68" i="3" s="1"/>
  <c r="I68" i="3" s="1"/>
  <c r="C69" i="3" s="1"/>
  <c r="D69" i="3" s="1"/>
  <c r="E69" i="3" s="1"/>
  <c r="F69" i="3" s="1"/>
  <c r="G69" i="3" s="1"/>
  <c r="H69" i="3" s="1"/>
  <c r="I69" i="3" s="1"/>
  <c r="C70" i="3" s="1"/>
  <c r="D65" i="3"/>
  <c r="E65" i="3" s="1"/>
  <c r="F65" i="3" s="1"/>
  <c r="D70" i="3" l="1"/>
  <c r="E70" i="3" s="1"/>
  <c r="F70" i="3" s="1"/>
  <c r="G70" i="3" s="1"/>
  <c r="H70" i="3" s="1"/>
  <c r="I70" i="3" s="1"/>
  <c r="B70" i="3"/>
  <c r="K65" i="3" s="1"/>
  <c r="K66" i="3" s="1"/>
  <c r="K67" i="3" s="1"/>
  <c r="K68" i="3" s="1"/>
  <c r="K69" i="3" s="1"/>
  <c r="M65" i="3"/>
  <c r="N65" i="3" s="1"/>
  <c r="O65" i="3" s="1"/>
  <c r="P65" i="3" s="1"/>
  <c r="Q65" i="3" s="1"/>
  <c r="R65" i="3" s="1"/>
  <c r="L66" i="3" s="1"/>
  <c r="M66" i="3" s="1"/>
  <c r="N66" i="3" s="1"/>
  <c r="O66" i="3" s="1"/>
  <c r="P66" i="3" s="1"/>
  <c r="Q66" i="3" s="1"/>
  <c r="R66" i="3" s="1"/>
  <c r="L67" i="3" s="1"/>
  <c r="M67" i="3" s="1"/>
  <c r="N67" i="3" s="1"/>
  <c r="O67" i="3" s="1"/>
  <c r="P67" i="3" s="1"/>
  <c r="Q67" i="3" s="1"/>
  <c r="R67" i="3" s="1"/>
  <c r="L68" i="3" s="1"/>
  <c r="M68" i="3" s="1"/>
  <c r="N68" i="3" s="1"/>
  <c r="O68" i="3" s="1"/>
  <c r="P68" i="3" s="1"/>
  <c r="Q68" i="3" s="1"/>
  <c r="R68" i="3" s="1"/>
  <c r="L69" i="3" s="1"/>
  <c r="M69" i="3" s="1"/>
  <c r="N69" i="3" s="1"/>
  <c r="O69" i="3" s="1"/>
  <c r="P69" i="3" s="1"/>
  <c r="Q69" i="3" s="1"/>
  <c r="R69" i="3" s="1"/>
  <c r="L70" i="3" s="1"/>
  <c r="AA6" i="3"/>
  <c r="Z6" i="3"/>
  <c r="Y6" i="3"/>
  <c r="X6" i="3"/>
  <c r="W6" i="3"/>
  <c r="W65" i="3" s="1"/>
  <c r="V6" i="3"/>
  <c r="V65" i="3" s="1"/>
  <c r="U6" i="3"/>
  <c r="U65" i="3" s="1"/>
  <c r="X65" i="3" l="1"/>
  <c r="M70" i="3"/>
  <c r="N70" i="3" s="1"/>
  <c r="O70" i="3" s="1"/>
  <c r="P70" i="3" s="1"/>
  <c r="Q70" i="3" s="1"/>
  <c r="R70" i="3" s="1"/>
  <c r="K70" i="3"/>
  <c r="T65" i="3" s="1"/>
  <c r="T66" i="3" s="1"/>
  <c r="T67" i="3" s="1"/>
  <c r="T68" i="3" s="1"/>
  <c r="T69" i="3" s="1"/>
  <c r="Y65" i="3"/>
  <c r="Z65" i="3" s="1"/>
  <c r="AA65" i="3" s="1"/>
  <c r="U66" i="3" s="1"/>
  <c r="V66" i="3" s="1"/>
  <c r="W66" i="3" s="1"/>
  <c r="X66" i="3" s="1"/>
  <c r="Y66" i="3" s="1"/>
  <c r="Z66" i="3" s="1"/>
  <c r="AA66" i="3" s="1"/>
  <c r="U67" i="3" s="1"/>
  <c r="V67" i="3" s="1"/>
  <c r="W67" i="3" s="1"/>
  <c r="X67" i="3" s="1"/>
  <c r="Y67" i="3" s="1"/>
  <c r="Z67" i="3" s="1"/>
  <c r="AA67" i="3" s="1"/>
  <c r="U68" i="3" s="1"/>
  <c r="V68" i="3" s="1"/>
  <c r="W68" i="3" s="1"/>
  <c r="X68" i="3" s="1"/>
  <c r="Y68" i="3" s="1"/>
  <c r="Z68" i="3" s="1"/>
  <c r="AA68" i="3" s="1"/>
  <c r="U69" i="3" s="1"/>
  <c r="V69" i="3" s="1"/>
  <c r="W69" i="3" s="1"/>
  <c r="X69" i="3" s="1"/>
  <c r="Y69" i="3" s="1"/>
  <c r="Z69" i="3" s="1"/>
  <c r="AA69" i="3" s="1"/>
  <c r="U70" i="3" s="1"/>
  <c r="V70" i="3" l="1"/>
  <c r="W70" i="3" s="1"/>
  <c r="X70" i="3" s="1"/>
  <c r="Y70" i="3" s="1"/>
  <c r="Z70" i="3" s="1"/>
  <c r="AA70" i="3" s="1"/>
  <c r="T7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DK5" authorId="0" shapeId="0" xr:uid="{00000000-0006-0000-0900-000001000000}">
      <text>
        <r>
          <rPr>
            <b/>
            <sz val="12"/>
            <color indexed="81"/>
            <rFont val="Tahoma"/>
            <family val="2"/>
          </rPr>
          <t>Hạch toán lương NVK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S5" authorId="0" shapeId="0" xr:uid="{00000000-0006-0000-0900-000002000000}">
      <text>
        <r>
          <rPr>
            <b/>
            <sz val="12"/>
            <color indexed="81"/>
            <rFont val="Tahoma"/>
            <family val="2"/>
          </rPr>
          <t>Phiếu chi lương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<sst xmlns="http://schemas.openxmlformats.org/spreadsheetml/2006/main" count="241" uniqueCount="135">
  <si>
    <t>STT</t>
  </si>
  <si>
    <t>Họ và tên</t>
  </si>
  <si>
    <t>Mã Số Thuế</t>
  </si>
  <si>
    <t>Chức vụ</t>
  </si>
  <si>
    <t>Lương cơ bản</t>
  </si>
  <si>
    <t>Ngày lễ</t>
  </si>
  <si>
    <t>Phép</t>
  </si>
  <si>
    <t>Lương QTTNCN</t>
  </si>
  <si>
    <t>Lương BH</t>
  </si>
  <si>
    <t>BHXH
8%</t>
  </si>
  <si>
    <t>BHYT
1,5%</t>
  </si>
  <si>
    <t>BHTN
1%</t>
  </si>
  <si>
    <t>Thực lĩnh</t>
  </si>
  <si>
    <t>Phí công đoàn
2%</t>
  </si>
  <si>
    <t>Phụ nữ</t>
  </si>
  <si>
    <t>Ăn ca</t>
  </si>
  <si>
    <t>BHXH</t>
  </si>
  <si>
    <t>BHYT</t>
  </si>
  <si>
    <t>BHTN</t>
  </si>
  <si>
    <t>Tổng hợp công</t>
  </si>
  <si>
    <t>Jan</t>
  </si>
  <si>
    <t>Apr</t>
  </si>
  <si>
    <t>Jul</t>
  </si>
  <si>
    <t>Oct</t>
  </si>
  <si>
    <t>Feb</t>
  </si>
  <si>
    <t>May</t>
  </si>
  <si>
    <t>Aug</t>
  </si>
  <si>
    <t>Nov</t>
  </si>
  <si>
    <t>Mar</t>
  </si>
  <si>
    <t>Jun</t>
  </si>
  <si>
    <t>Sep</t>
  </si>
  <si>
    <t>Dec</t>
  </si>
  <si>
    <t>Enter year for calendar:</t>
  </si>
  <si>
    <t>Bạn thay đổi năm vào đây</t>
  </si>
  <si>
    <t>(1900  -  2078)</t>
  </si>
  <si>
    <t>LỊCH NĂM</t>
  </si>
  <si>
    <t>THÁNG 1</t>
  </si>
  <si>
    <t>THÁNG 2</t>
  </si>
  <si>
    <t>THÁNG 3</t>
  </si>
  <si>
    <t>WK</t>
  </si>
  <si>
    <t>SUN</t>
  </si>
  <si>
    <t>MON</t>
  </si>
  <si>
    <t>TUE</t>
  </si>
  <si>
    <t>WED</t>
  </si>
  <si>
    <t>THU</t>
  </si>
  <si>
    <t>FRI</t>
  </si>
  <si>
    <t>SAT</t>
  </si>
  <si>
    <t>THÁNG 4</t>
  </si>
  <si>
    <t>THÁNG 5</t>
  </si>
  <si>
    <t>THÁNG 6</t>
  </si>
  <si>
    <t>THÁNG 7</t>
  </si>
  <si>
    <t>THÁNG 8</t>
  </si>
  <si>
    <t>THÁNG 9</t>
  </si>
  <si>
    <t>THÁNG 10</t>
  </si>
  <si>
    <t>THÁNG 11</t>
  </si>
  <si>
    <t>THÁNG 12</t>
  </si>
  <si>
    <t>Happy New Year :)</t>
  </si>
  <si>
    <t>Ngày nghỉ 100% lương</t>
  </si>
  <si>
    <t>Thưởng doanh thu</t>
  </si>
  <si>
    <t>Các khoản hỗ trợ theo chế độ</t>
  </si>
  <si>
    <t>Tổng thu nhập theo chế độ</t>
  </si>
  <si>
    <t>Tổng thu nhập thực tế</t>
  </si>
  <si>
    <t>Tổng</t>
  </si>
  <si>
    <t xml:space="preserve">Cộng tổng BHXH các khoản nộp </t>
  </si>
  <si>
    <t>Trích vào CP DN</t>
  </si>
  <si>
    <t xml:space="preserve">Giảm trừ gia </t>
  </si>
  <si>
    <t>TNTT TNCN</t>
  </si>
  <si>
    <t>Thuế 
TNCN gốc</t>
  </si>
  <si>
    <t xml:space="preserve">Tháng </t>
  </si>
  <si>
    <t xml:space="preserve">năm </t>
  </si>
  <si>
    <t>Bộ phận thực tế</t>
  </si>
  <si>
    <t>Trích trừ BH vào lương</t>
  </si>
  <si>
    <t xml:space="preserve">Thuế 
TNCN chuẩn </t>
  </si>
  <si>
    <t>Tổng giảm trừ</t>
  </si>
  <si>
    <t>Người PT</t>
  </si>
  <si>
    <t>Giới tính</t>
  </si>
  <si>
    <t>Doanh Thu:</t>
  </si>
  <si>
    <t>Ngày sinh</t>
  </si>
  <si>
    <t xml:space="preserve">Lương Phép </t>
  </si>
  <si>
    <t>Tổng Lương Phép + Thưởng Lương T13</t>
  </si>
  <si>
    <t>Thưởng Lương T13</t>
  </si>
  <si>
    <t>CÁC KHOẢN HỖ TRỢ</t>
  </si>
  <si>
    <t>Ngày Công
Ca Ngày</t>
  </si>
  <si>
    <t>Ngày Công
Ca Đêm</t>
  </si>
  <si>
    <t>TỔNG CÔNG</t>
  </si>
  <si>
    <t>HÀNH CHÍNH</t>
  </si>
  <si>
    <t>Tổng công tăng ca</t>
  </si>
  <si>
    <t>Tăng ca đêm</t>
  </si>
  <si>
    <t>Tăng ca ngày</t>
  </si>
  <si>
    <t>Tăng ca lễ ngày</t>
  </si>
  <si>
    <t>Tăng ca lễ đêm</t>
  </si>
  <si>
    <t>Tăng ca CN ngày</t>
  </si>
  <si>
    <t>Tăng ca CN Đêm</t>
  </si>
  <si>
    <t>Công thường ca ngày</t>
  </si>
  <si>
    <t>Số giờ ca đêm tính giờ ban ngày (100%)</t>
  </si>
  <si>
    <t>Số giờ tăng ca ngày (150%)</t>
  </si>
  <si>
    <t>Số giờ làm ca đêm thường (130%)</t>
  </si>
  <si>
    <t>Số giờ làm thêm ca đêm không làm ca ngày (200%)</t>
  </si>
  <si>
    <t>Số giờ làm thêm ca đêm có làm ca ngày (210%)</t>
  </si>
  <si>
    <t>Số giờ làm thêm ca đêm  CN (270%)</t>
  </si>
  <si>
    <t>Công làm thêm CN ca ngày (200%)</t>
  </si>
  <si>
    <t>Công đi làm ngày lễ ca ngày (300%)</t>
  </si>
  <si>
    <t>Công đi làm ngày lễ ca đêm (390%)</t>
  </si>
  <si>
    <t>Các khoản lương/thưởng</t>
  </si>
  <si>
    <t>Lương giờ ngày+ ngày nghỉ hưởng 100% lương</t>
  </si>
  <si>
    <t>Lương làm thêm ca ngày, ngày thường (150%)</t>
  </si>
  <si>
    <t>Lương ca đêm thường (130%)</t>
  </si>
  <si>
    <t>Lương làm thêm ca đêm Không làm ngày (200%)</t>
  </si>
  <si>
    <t>Lương làm thêm ca đêm có làm ngày (210%)</t>
  </si>
  <si>
    <t>Làm thêm ca đêm CN (270%)</t>
  </si>
  <si>
    <t>Lương làm chủ nhật ca ngày (200%)</t>
  </si>
  <si>
    <t>Lương làm  ngày lễ Ca ngày (300%)</t>
  </si>
  <si>
    <t>Làm thêm ca đêm ngày lễ (390%)</t>
  </si>
  <si>
    <t>Tổng lương</t>
  </si>
  <si>
    <t xml:space="preserve">Thuế TNCN </t>
  </si>
  <si>
    <t>Tổng các khoản Trừ</t>
  </si>
  <si>
    <t>Tổng cộng trừ BH</t>
  </si>
  <si>
    <t>Thưởng năng suất</t>
  </si>
  <si>
    <t>CHÊNH LỆCH</t>
  </si>
  <si>
    <t>Lương KPI</t>
  </si>
  <si>
    <t>LƯƠNG CHUYỂN KHOẢN</t>
  </si>
  <si>
    <t>Ghi chú Giảm trừ gia cảnh</t>
  </si>
  <si>
    <t>SỐ CCCD</t>
  </si>
  <si>
    <t>Lương chi Tiền mặt</t>
  </si>
  <si>
    <t>NGÂN HÀNG</t>
  </si>
  <si>
    <t>SỐ TÀI KHOẢN NGÂN HÀNG</t>
  </si>
  <si>
    <t>Tháng 03 năm 2026</t>
  </si>
  <si>
    <t>LƯƠNG THỰC LĨNH</t>
  </si>
  <si>
    <t>Lương tính KPI</t>
  </si>
  <si>
    <t>Ẩn</t>
  </si>
  <si>
    <t>In</t>
  </si>
  <si>
    <t>8/3</t>
  </si>
  <si>
    <t>TỔNG LĨNH LƯƠNG THUẾ+ 8/3</t>
  </si>
  <si>
    <t>Lương Dự kiến</t>
  </si>
  <si>
    <t>Thưởng doanh thu/Thưởng năng suất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</si>
</sst>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(* #,##0.00_);_(* \(#,##0.00\);_(* &quot;-&quot;??_);_(@_)"/>
    <numFmt numFmtId="164" formatCode="#,##0\ &quot;₫&quot;;\-#,##0\ &quot;₫&quot;"/>
    <numFmt numFmtId="165" formatCode="_-* #,##0_-;\-* #,##0_-;_-* &quot;-&quot;_-;_-@_-"/>
    <numFmt numFmtId="166" formatCode="_-* #,##0.00\ _₫_-;\-* #,##0.00\ _₫_-;_-* &quot;-&quot;??\ _₫_-;_-@_-"/>
    <numFmt numFmtId="167" formatCode="_-* #,##0.00\ _s_o_'_m_-;\-* #,##0.00\ _s_o_'_m_-;_-* &quot;-&quot;??\ _s_o_'_m_-;_-@_-"/>
    <numFmt numFmtId="168" formatCode="_(* #,##0.0_);_(* \(#,##0.0\);_(* &quot;-&quot;??_);_(@_)"/>
    <numFmt numFmtId="169" formatCode="_(* #,##0_);_(* \(#,##0\);_(* &quot;-&quot;??_);_(@_)"/>
    <numFmt numFmtId="170" formatCode="0.0%"/>
    <numFmt numFmtId="171" formatCode="_-* #,##0\ _₫_-;\-* #,##0\ _₫_-;_-* &quot;-&quot;??\ _₫_-;_-@_-"/>
    <numFmt numFmtId="172" formatCode="#,##0_ ;\-#,##0\ "/>
    <numFmt numFmtId="173" formatCode="dd"/>
    <numFmt numFmtId="174" formatCode="\TGeneral"/>
    <numFmt numFmtId="175" formatCode="_-* #,##0.0\ _₫_-;\-* #,##0.0\ _₫_-;_-* &quot;-&quot;??\ _₫_-;_-@_-"/>
  </numFmts>
  <fonts count="84">
    <font>
      <sz val="10"/>
      <name val="Encysoft Times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Encysoft Times"/>
    </font>
    <font>
      <sz val="12"/>
      <name val="Times New Roman"/>
      <family val="1"/>
    </font>
    <font>
      <sz val="11"/>
      <color indexed="8"/>
      <name val="Calibri"/>
      <family val="2"/>
    </font>
    <font>
      <sz val="10"/>
      <color rgb="FFFF0000"/>
      <name val="Times New Roman"/>
      <family val="1"/>
    </font>
    <font>
      <sz val="14"/>
      <name val="Times New Roman"/>
      <family val="1"/>
    </font>
    <font>
      <sz val="14"/>
      <color theme="1"/>
      <name val="Times New Roman"/>
      <family val="1"/>
    </font>
    <font>
      <b/>
      <sz val="16"/>
      <color rgb="FFFF0000"/>
      <name val="Times New Roman"/>
      <family val="1"/>
    </font>
    <font>
      <b/>
      <sz val="12"/>
      <color indexed="81"/>
      <name val="Tahoma"/>
      <family val="2"/>
    </font>
    <font>
      <sz val="9"/>
      <color indexed="81"/>
      <name val="Tahoma"/>
      <family val="2"/>
    </font>
    <font>
      <sz val="12"/>
      <color rgb="FF000000"/>
      <name val="Times New Roman"/>
      <family val="1"/>
    </font>
    <font>
      <sz val="10"/>
      <color theme="1"/>
      <name val="Open Sans"/>
      <family val="2"/>
    </font>
    <font>
      <sz val="8"/>
      <color theme="1"/>
      <name val="Open Sans"/>
      <family val="2"/>
    </font>
    <font>
      <b/>
      <sz val="10"/>
      <color theme="1"/>
      <name val="Open Sans"/>
      <family val="2"/>
    </font>
    <font>
      <sz val="12"/>
      <color theme="1"/>
      <name val="Open Sans"/>
      <family val="2"/>
    </font>
    <font>
      <sz val="12"/>
      <color rgb="FF00FF00"/>
      <name val="Comic Sans MS"/>
      <family val="4"/>
    </font>
    <font>
      <sz val="12"/>
      <color theme="1"/>
      <name val="Comic Sans MS"/>
      <family val="4"/>
    </font>
    <font>
      <sz val="10"/>
      <color theme="1"/>
      <name val="Comic Sans MS"/>
      <family val="4"/>
    </font>
    <font>
      <b/>
      <sz val="10"/>
      <color rgb="FF33CCCC"/>
      <name val="Comic Sans MS"/>
      <family val="4"/>
    </font>
    <font>
      <b/>
      <sz val="16"/>
      <color rgb="FF00CCFF"/>
      <name val="Times New Roman"/>
      <family val="1"/>
    </font>
    <font>
      <b/>
      <sz val="16"/>
      <color rgb="FF00CCFF"/>
      <name val="Comic Sans MS"/>
      <family val="4"/>
    </font>
    <font>
      <b/>
      <sz val="16"/>
      <color rgb="FF00CCFF"/>
      <name val=".VnFreeH"/>
      <family val="2"/>
    </font>
    <font>
      <b/>
      <sz val="13"/>
      <color rgb="FF339966"/>
      <name val="Comic Sans MS"/>
      <family val="4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11"/>
      <color rgb="FFFF00FF"/>
      <name val="Times New Roman"/>
      <family val="1"/>
    </font>
    <font>
      <b/>
      <sz val="11"/>
      <color theme="1"/>
      <name val=".VnBahamasBH"/>
      <family val="2"/>
    </font>
    <font>
      <b/>
      <sz val="11"/>
      <color rgb="FF0000FF"/>
      <name val="Times New Roman"/>
      <family val="1"/>
    </font>
    <font>
      <b/>
      <sz val="11"/>
      <color rgb="FFFF0000"/>
      <name val="Times New Roman"/>
      <family val="1"/>
    </font>
    <font>
      <b/>
      <sz val="9"/>
      <color rgb="FF000080"/>
      <name val="Comic Sans MS"/>
      <family val="4"/>
    </font>
    <font>
      <b/>
      <sz val="8"/>
      <color rgb="FFFFFFFF"/>
      <name val="Open Sans"/>
      <family val="2"/>
    </font>
    <font>
      <b/>
      <sz val="10"/>
      <color rgb="FF333399"/>
      <name val="Comic Sans MS"/>
      <family val="4"/>
    </font>
    <font>
      <b/>
      <sz val="10"/>
      <color rgb="FFFF0000"/>
      <name val="Comic Sans MS"/>
      <family val="4"/>
    </font>
    <font>
      <b/>
      <sz val="10"/>
      <color rgb="FF000000"/>
      <name val="Comic Sans MS"/>
      <family val="4"/>
    </font>
    <font>
      <b/>
      <sz val="10"/>
      <color rgb="FF000000"/>
      <name val="Open Sans"/>
      <family val="2"/>
    </font>
    <font>
      <b/>
      <sz val="10"/>
      <color rgb="FFFF0000"/>
      <name val="Open Sans"/>
      <family val="2"/>
    </font>
    <font>
      <b/>
      <sz val="11"/>
      <color rgb="FF008000"/>
      <name val="Times New Roman"/>
      <family val="1"/>
    </font>
    <font>
      <b/>
      <sz val="11"/>
      <color rgb="FFCC99FF"/>
      <name val="Times New Roman"/>
      <family val="1"/>
    </font>
    <font>
      <sz val="10"/>
      <color rgb="FFFF0000"/>
      <name val="Comic Sans MS"/>
      <family val="4"/>
    </font>
    <font>
      <b/>
      <i/>
      <sz val="10"/>
      <color rgb="FFFF00FF"/>
      <name val="Times New Roman"/>
      <family val="1"/>
    </font>
    <font>
      <b/>
      <sz val="12"/>
      <color rgb="FFFF0000"/>
      <name val="Open Sans"/>
      <family val="2"/>
    </font>
    <font>
      <b/>
      <i/>
      <sz val="11"/>
      <color rgb="FF0000FF"/>
      <name val="Times New Roman"/>
      <family val="1"/>
    </font>
    <font>
      <b/>
      <sz val="12"/>
      <color rgb="FF0000FF"/>
      <name val="Newbrunswick"/>
    </font>
    <font>
      <u/>
      <sz val="16"/>
      <color rgb="FF0000FF"/>
      <name val="Arial"/>
      <family val="2"/>
    </font>
    <font>
      <sz val="5"/>
      <color theme="1"/>
      <name val="Open Sans"/>
      <family val="2"/>
    </font>
    <font>
      <sz val="10"/>
      <name val="Arial"/>
      <family val="2"/>
      <charset val="163"/>
    </font>
    <font>
      <sz val="10"/>
      <name val="Arial"/>
      <family val="2"/>
    </font>
    <font>
      <sz val="10"/>
      <name val="Arial"/>
      <family val="2"/>
    </font>
    <font>
      <b/>
      <sz val="16"/>
      <name val="Times New Roman"/>
      <family val="1"/>
    </font>
    <font>
      <sz val="16"/>
      <color rgb="FFFF0000"/>
      <name val="Times New Roman"/>
      <family val="1"/>
    </font>
    <font>
      <sz val="11"/>
      <color theme="1"/>
      <name val="Arial"/>
      <family val="2"/>
    </font>
    <font>
      <sz val="14"/>
      <color rgb="FFFF0000"/>
      <name val="Times New Roman"/>
      <family val="1"/>
    </font>
    <font>
      <b/>
      <sz val="18"/>
      <name val="Times New Roman"/>
      <family val="1"/>
    </font>
    <font>
      <sz val="18"/>
      <color theme="1"/>
      <name val="Times New Roman"/>
      <family val="1"/>
    </font>
    <font>
      <sz val="18"/>
      <name val="Times New Roman"/>
      <family val="1"/>
    </font>
    <font>
      <sz val="14.5"/>
      <name val="Times New Roman"/>
      <family val="1"/>
    </font>
    <font>
      <b/>
      <sz val="14.5"/>
      <name val="Times New Roman"/>
      <family val="1"/>
    </font>
    <font>
      <sz val="18"/>
      <name val="Encysoft Times"/>
    </font>
    <font>
      <b/>
      <sz val="18"/>
      <color theme="1"/>
      <name val="Times New Roman"/>
      <family val="1"/>
    </font>
    <font>
      <b/>
      <sz val="20"/>
      <color rgb="FFFF0000"/>
      <name val="Times New Roman"/>
      <family val="1"/>
    </font>
    <font>
      <b/>
      <sz val="18"/>
      <color rgb="FFFF0000"/>
      <name val="Times New Roman"/>
      <family val="1"/>
    </font>
    <font>
      <b/>
      <sz val="18"/>
      <color indexed="8"/>
      <name val="Times New Roman"/>
      <family val="1"/>
    </font>
    <font>
      <sz val="16"/>
      <name val="Times New Roman"/>
      <family val="1"/>
    </font>
    <font>
      <b/>
      <sz val="22"/>
      <name val="Times New Roman"/>
      <family val="1"/>
    </font>
    <font>
      <sz val="22"/>
      <color theme="1"/>
      <name val="Times New Roman"/>
      <family val="1"/>
    </font>
    <font>
      <sz val="22"/>
      <name val="Times New Roman"/>
      <family val="1"/>
    </font>
    <font>
      <sz val="22"/>
      <color rgb="FFFF0000"/>
      <name val="Times New Roman"/>
      <family val="1"/>
    </font>
    <font>
      <b/>
      <sz val="22"/>
      <color rgb="FFFF0000"/>
      <name val="Times New Roman"/>
      <family val="1"/>
    </font>
    <font>
      <sz val="12.5"/>
      <name val="Times New Roman"/>
      <family val="1"/>
    </font>
    <font>
      <b/>
      <sz val="12.5"/>
      <name val="Times New Roman"/>
      <family val="1"/>
    </font>
    <font>
      <b/>
      <sz val="16"/>
      <color theme="1"/>
      <name val="Times New Roman"/>
      <family val="1"/>
    </font>
    <font>
      <sz val="16"/>
      <color theme="1"/>
      <name val="Times New Roman"/>
      <family val="1"/>
    </font>
    <font>
      <sz val="16"/>
      <color theme="1" tint="4.9989318521683403E-2"/>
      <name val="Times New Roman"/>
      <family val="1"/>
    </font>
    <font>
      <b/>
      <sz val="16"/>
      <color indexed="8"/>
      <name val="Times New Roman"/>
      <family val="1"/>
    </font>
    <font>
      <b/>
      <sz val="16"/>
      <color rgb="FFFFFFFF"/>
      <name val="Times New Roman"/>
      <family val="1"/>
    </font>
    <font>
      <sz val="12"/>
      <color theme="1"/>
      <name val="Times New Roman"/>
      <family val="2"/>
    </font>
    <font>
      <b/>
      <sz val="22"/>
      <color theme="1"/>
      <name val="Times New Roman"/>
      <family val="1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CCFFCC"/>
        <bgColor rgb="FFCCFFCC"/>
      </patternFill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indexed="3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D9D6D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/>
      <bottom style="hair">
        <color rgb="FF000000"/>
      </bottom>
      <diagonal/>
    </border>
    <border>
      <left style="thin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/>
      <bottom style="medium">
        <color rgb="FF000000"/>
      </bottom>
      <diagonal/>
    </border>
    <border>
      <left style="thin">
        <color rgb="FF000000"/>
      </left>
      <right style="hair">
        <color rgb="FF000000"/>
      </right>
      <top/>
      <bottom style="medium">
        <color rgb="FF000000"/>
      </bottom>
      <diagonal/>
    </border>
    <border>
      <left/>
      <right style="hair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</borders>
  <cellStyleXfs count="32">
    <xf numFmtId="0" fontId="0" fillId="0" borderId="0"/>
    <xf numFmtId="166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10" fillId="0" borderId="0"/>
    <xf numFmtId="0" fontId="7" fillId="0" borderId="0"/>
    <xf numFmtId="0" fontId="17" fillId="0" borderId="0"/>
    <xf numFmtId="0" fontId="52" fillId="0" borderId="0"/>
    <xf numFmtId="164" fontId="8" fillId="0" borderId="0" applyFont="0" applyFill="0" applyBorder="0" applyAlignment="0" applyProtection="0"/>
    <xf numFmtId="0" fontId="53" fillId="0" borderId="0" applyAlignment="0">
      <alignment vertical="top" wrapText="1"/>
      <protection locked="0"/>
    </xf>
    <xf numFmtId="0" fontId="7" fillId="16" borderId="0" applyNumberFormat="0" applyBorder="0" applyAlignment="0" applyProtection="0"/>
    <xf numFmtId="166" fontId="54" fillId="0" borderId="0" applyFont="0" applyFill="0" applyBorder="0" applyAlignment="0" applyProtection="0"/>
    <xf numFmtId="0" fontId="57" fillId="0" borderId="0"/>
    <xf numFmtId="0" fontId="6" fillId="0" borderId="0"/>
    <xf numFmtId="43" fontId="6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82" fillId="0" borderId="0"/>
    <xf numFmtId="0" fontId="4" fillId="0" borderId="0"/>
    <xf numFmtId="43" fontId="4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339">
    <xf numFmtId="0" fontId="0" fillId="0" borderId="0" xfId="0"/>
    <xf numFmtId="169" fontId="12" fillId="2" borderId="0" xfId="2" applyNumberFormat="1" applyFont="1" applyFill="1"/>
    <xf numFmtId="0" fontId="18" fillId="0" borderId="5" xfId="7" applyFont="1" applyBorder="1" applyAlignment="1">
      <alignment horizontal="center" vertical="center"/>
    </xf>
    <xf numFmtId="0" fontId="18" fillId="0" borderId="6" xfId="7" applyFont="1" applyBorder="1" applyAlignment="1">
      <alignment horizontal="center" vertical="center"/>
    </xf>
    <xf numFmtId="0" fontId="19" fillId="7" borderId="6" xfId="7" applyFont="1" applyFill="1" applyBorder="1" applyAlignment="1">
      <alignment horizontal="center" vertical="center"/>
    </xf>
    <xf numFmtId="0" fontId="19" fillId="0" borderId="6" xfId="7" applyFont="1" applyBorder="1" applyAlignment="1">
      <alignment horizontal="center" vertical="center"/>
    </xf>
    <xf numFmtId="0" fontId="19" fillId="0" borderId="7" xfId="7" applyFont="1" applyBorder="1" applyAlignment="1">
      <alignment horizontal="center" vertical="center"/>
    </xf>
    <xf numFmtId="0" fontId="19" fillId="0" borderId="0" xfId="7" applyFont="1" applyAlignment="1">
      <alignment horizontal="center" vertical="center"/>
    </xf>
    <xf numFmtId="0" fontId="18" fillId="0" borderId="0" xfId="7" applyFont="1" applyAlignment="1">
      <alignment horizontal="center" vertical="center"/>
    </xf>
    <xf numFmtId="0" fontId="17" fillId="0" borderId="0" xfId="7"/>
    <xf numFmtId="0" fontId="18" fillId="0" borderId="8" xfId="7" applyFont="1" applyBorder="1" applyAlignment="1">
      <alignment horizontal="center" vertical="center"/>
    </xf>
    <xf numFmtId="0" fontId="18" fillId="0" borderId="9" xfId="7" applyFont="1" applyBorder="1" applyAlignment="1">
      <alignment horizontal="center" vertical="center"/>
    </xf>
    <xf numFmtId="0" fontId="18" fillId="0" borderId="9" xfId="7" applyFont="1" applyBorder="1" applyAlignment="1">
      <alignment horizontal="right" vertical="center"/>
    </xf>
    <xf numFmtId="0" fontId="18" fillId="0" borderId="10" xfId="7" applyFont="1" applyBorder="1" applyAlignment="1">
      <alignment horizontal="center" vertical="center"/>
    </xf>
    <xf numFmtId="0" fontId="19" fillId="8" borderId="8" xfId="7" applyFont="1" applyFill="1" applyBorder="1" applyAlignment="1">
      <alignment horizontal="center" vertical="center"/>
    </xf>
    <xf numFmtId="0" fontId="19" fillId="8" borderId="9" xfId="7" applyFont="1" applyFill="1" applyBorder="1" applyAlignment="1">
      <alignment horizontal="center" vertical="center"/>
    </xf>
    <xf numFmtId="0" fontId="20" fillId="0" borderId="0" xfId="7" applyFont="1" applyAlignment="1">
      <alignment horizontal="left" vertical="center"/>
    </xf>
    <xf numFmtId="0" fontId="21" fillId="0" borderId="0" xfId="7" applyFont="1" applyAlignment="1">
      <alignment horizontal="left" vertical="center"/>
    </xf>
    <xf numFmtId="0" fontId="22" fillId="0" borderId="0" xfId="7" applyFont="1" applyAlignment="1">
      <alignment horizontal="left" vertical="center"/>
    </xf>
    <xf numFmtId="0" fontId="23" fillId="0" borderId="0" xfId="7" applyFont="1" applyAlignment="1">
      <alignment vertical="center"/>
    </xf>
    <xf numFmtId="0" fontId="18" fillId="0" borderId="0" xfId="7" applyFont="1" applyAlignment="1">
      <alignment vertical="center"/>
    </xf>
    <xf numFmtId="0" fontId="11" fillId="0" borderId="0" xfId="7" applyFont="1" applyAlignment="1">
      <alignment horizontal="left" vertical="center"/>
    </xf>
    <xf numFmtId="0" fontId="24" fillId="0" borderId="0" xfId="7" applyFont="1" applyAlignment="1">
      <alignment horizontal="center" vertical="center"/>
    </xf>
    <xf numFmtId="0" fontId="20" fillId="0" borderId="0" xfId="7" applyFont="1" applyAlignment="1">
      <alignment vertical="center"/>
    </xf>
    <xf numFmtId="0" fontId="20" fillId="0" borderId="0" xfId="7" applyFont="1" applyAlignment="1">
      <alignment horizontal="center" vertical="center"/>
    </xf>
    <xf numFmtId="0" fontId="18" fillId="0" borderId="11" xfId="7" applyFont="1" applyBorder="1" applyAlignment="1">
      <alignment horizontal="left" vertical="center"/>
    </xf>
    <xf numFmtId="0" fontId="18" fillId="0" borderId="12" xfId="7" applyFont="1" applyBorder="1" applyAlignment="1">
      <alignment horizontal="left" vertical="center"/>
    </xf>
    <xf numFmtId="0" fontId="18" fillId="0" borderId="12" xfId="7" applyFont="1" applyBorder="1" applyAlignment="1">
      <alignment horizontal="center" vertical="center"/>
    </xf>
    <xf numFmtId="0" fontId="18" fillId="0" borderId="13" xfId="7" applyFont="1" applyBorder="1" applyAlignment="1">
      <alignment horizontal="center" vertical="center"/>
    </xf>
    <xf numFmtId="0" fontId="18" fillId="0" borderId="14" xfId="7" applyFont="1" applyBorder="1" applyAlignment="1">
      <alignment horizontal="left" vertical="center"/>
    </xf>
    <xf numFmtId="0" fontId="18" fillId="0" borderId="0" xfId="7" applyFont="1" applyAlignment="1">
      <alignment horizontal="left" vertical="center"/>
    </xf>
    <xf numFmtId="0" fontId="18" fillId="0" borderId="15" xfId="7" applyFont="1" applyBorder="1" applyAlignment="1">
      <alignment horizontal="center" vertical="center"/>
    </xf>
    <xf numFmtId="0" fontId="20" fillId="0" borderId="14" xfId="7" applyFont="1" applyBorder="1" applyAlignment="1">
      <alignment vertical="center"/>
    </xf>
    <xf numFmtId="0" fontId="28" fillId="0" borderId="0" xfId="7" applyFont="1" applyAlignment="1">
      <alignment vertical="center"/>
    </xf>
    <xf numFmtId="0" fontId="28" fillId="0" borderId="0" xfId="7" applyFont="1" applyAlignment="1">
      <alignment horizontal="right" vertical="center"/>
    </xf>
    <xf numFmtId="0" fontId="18" fillId="0" borderId="15" xfId="7" applyFont="1" applyBorder="1" applyAlignment="1">
      <alignment vertical="center"/>
    </xf>
    <xf numFmtId="0" fontId="29" fillId="0" borderId="0" xfId="7" applyFont="1" applyAlignment="1">
      <alignment horizontal="right" vertical="center"/>
    </xf>
    <xf numFmtId="0" fontId="29" fillId="0" borderId="0" xfId="7" applyFont="1" applyAlignment="1">
      <alignment horizontal="left" vertical="center"/>
    </xf>
    <xf numFmtId="0" fontId="30" fillId="0" borderId="0" xfId="7" applyFont="1"/>
    <xf numFmtId="0" fontId="31" fillId="0" borderId="14" xfId="7" applyFont="1" applyBorder="1" applyAlignment="1">
      <alignment horizontal="center" vertical="center"/>
    </xf>
    <xf numFmtId="0" fontId="33" fillId="0" borderId="0" xfId="7" applyFont="1" applyAlignment="1">
      <alignment horizontal="center" vertical="center"/>
    </xf>
    <xf numFmtId="0" fontId="31" fillId="0" borderId="15" xfId="7" applyFont="1" applyBorder="1" applyAlignment="1">
      <alignment horizontal="center" vertical="center"/>
    </xf>
    <xf numFmtId="0" fontId="31" fillId="0" borderId="0" xfId="7" applyFont="1" applyAlignment="1">
      <alignment horizontal="center" vertical="center"/>
    </xf>
    <xf numFmtId="0" fontId="18" fillId="0" borderId="14" xfId="7" applyFont="1" applyBorder="1" applyAlignment="1">
      <alignment horizontal="center" vertical="center"/>
    </xf>
    <xf numFmtId="0" fontId="36" fillId="9" borderId="17" xfId="7" applyFont="1" applyFill="1" applyBorder="1" applyAlignment="1">
      <alignment horizontal="center" vertical="center"/>
    </xf>
    <xf numFmtId="0" fontId="36" fillId="10" borderId="18" xfId="7" applyFont="1" applyFill="1" applyBorder="1" applyAlignment="1">
      <alignment horizontal="center" vertical="center"/>
    </xf>
    <xf numFmtId="0" fontId="36" fillId="10" borderId="19" xfId="7" applyFont="1" applyFill="1" applyBorder="1" applyAlignment="1">
      <alignment horizontal="center" vertical="center"/>
    </xf>
    <xf numFmtId="0" fontId="36" fillId="10" borderId="20" xfId="7" applyFont="1" applyFill="1" applyBorder="1" applyAlignment="1">
      <alignment horizontal="center" vertical="center"/>
    </xf>
    <xf numFmtId="0" fontId="37" fillId="0" borderId="0" xfId="7" applyFont="1" applyAlignment="1">
      <alignment horizontal="center" vertical="center"/>
    </xf>
    <xf numFmtId="0" fontId="20" fillId="0" borderId="14" xfId="7" applyFont="1" applyBorder="1" applyAlignment="1">
      <alignment horizontal="center" vertical="center"/>
    </xf>
    <xf numFmtId="0" fontId="38" fillId="9" borderId="21" xfId="7" applyFont="1" applyFill="1" applyBorder="1" applyAlignment="1">
      <alignment horizontal="center" vertical="center"/>
    </xf>
    <xf numFmtId="0" fontId="39" fillId="0" borderId="22" xfId="7" applyFont="1" applyBorder="1" applyAlignment="1">
      <alignment horizontal="center" vertical="center"/>
    </xf>
    <xf numFmtId="0" fontId="24" fillId="0" borderId="23" xfId="7" applyFont="1" applyBorder="1" applyAlignment="1">
      <alignment horizontal="center" vertical="center"/>
    </xf>
    <xf numFmtId="0" fontId="39" fillId="0" borderId="24" xfId="7" applyFont="1" applyBorder="1" applyAlignment="1">
      <alignment horizontal="center" vertical="center"/>
    </xf>
    <xf numFmtId="0" fontId="40" fillId="9" borderId="25" xfId="7" applyFont="1" applyFill="1" applyBorder="1" applyAlignment="1">
      <alignment horizontal="center" vertical="center"/>
    </xf>
    <xf numFmtId="0" fontId="38" fillId="9" borderId="25" xfId="7" applyFont="1" applyFill="1" applyBorder="1" applyAlignment="1">
      <alignment horizontal="center" vertical="center"/>
    </xf>
    <xf numFmtId="0" fontId="39" fillId="11" borderId="26" xfId="7" applyFont="1" applyFill="1" applyBorder="1" applyAlignment="1">
      <alignment horizontal="center" vertical="center"/>
    </xf>
    <xf numFmtId="0" fontId="24" fillId="0" borderId="27" xfId="7" applyFont="1" applyBorder="1" applyAlignment="1">
      <alignment horizontal="center" vertical="center"/>
    </xf>
    <xf numFmtId="0" fontId="39" fillId="0" borderId="28" xfId="7" applyFont="1" applyBorder="1" applyAlignment="1">
      <alignment horizontal="center" vertical="center"/>
    </xf>
    <xf numFmtId="0" fontId="39" fillId="0" borderId="27" xfId="7" applyFont="1" applyBorder="1" applyAlignment="1">
      <alignment horizontal="center" vertical="center"/>
    </xf>
    <xf numFmtId="0" fontId="38" fillId="9" borderId="29" xfId="7" applyFont="1" applyFill="1" applyBorder="1" applyAlignment="1">
      <alignment horizontal="center" vertical="center"/>
    </xf>
    <xf numFmtId="0" fontId="39" fillId="11" borderId="30" xfId="7" applyFont="1" applyFill="1" applyBorder="1" applyAlignment="1">
      <alignment horizontal="center" vertical="center"/>
    </xf>
    <xf numFmtId="0" fontId="24" fillId="0" borderId="31" xfId="7" applyFont="1" applyBorder="1" applyAlignment="1">
      <alignment horizontal="center" vertical="center"/>
    </xf>
    <xf numFmtId="0" fontId="39" fillId="0" borderId="32" xfId="7" applyFont="1" applyBorder="1" applyAlignment="1">
      <alignment horizontal="center" vertical="center"/>
    </xf>
    <xf numFmtId="0" fontId="40" fillId="9" borderId="29" xfId="7" applyFont="1" applyFill="1" applyBorder="1" applyAlignment="1">
      <alignment horizontal="center" vertical="center"/>
    </xf>
    <xf numFmtId="0" fontId="39" fillId="0" borderId="30" xfId="7" applyFont="1" applyBorder="1" applyAlignment="1">
      <alignment horizontal="center" vertical="center"/>
    </xf>
    <xf numFmtId="0" fontId="41" fillId="0" borderId="0" xfId="7" applyFont="1" applyAlignment="1">
      <alignment horizontal="center" vertical="center"/>
    </xf>
    <xf numFmtId="0" fontId="42" fillId="11" borderId="0" xfId="7" applyFont="1" applyFill="1" applyAlignment="1">
      <alignment horizontal="center" vertical="center"/>
    </xf>
    <xf numFmtId="0" fontId="42" fillId="0" borderId="0" xfId="7" applyFont="1" applyAlignment="1">
      <alignment horizontal="center" vertical="center"/>
    </xf>
    <xf numFmtId="0" fontId="33" fillId="0" borderId="14" xfId="7" applyFont="1" applyBorder="1" applyAlignment="1">
      <alignment horizontal="center" vertical="center"/>
    </xf>
    <xf numFmtId="0" fontId="33" fillId="0" borderId="15" xfId="7" applyFont="1" applyBorder="1" applyAlignment="1">
      <alignment horizontal="center" vertical="center"/>
    </xf>
    <xf numFmtId="0" fontId="40" fillId="9" borderId="21" xfId="7" applyFont="1" applyFill="1" applyBorder="1" applyAlignment="1">
      <alignment horizontal="center" vertical="center"/>
    </xf>
    <xf numFmtId="0" fontId="40" fillId="0" borderId="0" xfId="7" applyFont="1" applyAlignment="1">
      <alignment horizontal="center" vertical="center"/>
    </xf>
    <xf numFmtId="0" fontId="39" fillId="11" borderId="0" xfId="7" applyFont="1" applyFill="1" applyAlignment="1">
      <alignment horizontal="center" vertical="center"/>
    </xf>
    <xf numFmtId="0" fontId="39" fillId="0" borderId="0" xfId="7" applyFont="1" applyAlignment="1">
      <alignment horizontal="center" vertical="center"/>
    </xf>
    <xf numFmtId="0" fontId="45" fillId="0" borderId="23" xfId="7" applyFont="1" applyBorder="1" applyAlignment="1">
      <alignment horizontal="center" vertical="center"/>
    </xf>
    <xf numFmtId="0" fontId="45" fillId="0" borderId="27" xfId="7" applyFont="1" applyBorder="1" applyAlignment="1">
      <alignment horizontal="center" vertical="center"/>
    </xf>
    <xf numFmtId="0" fontId="39" fillId="11" borderId="22" xfId="7" applyFont="1" applyFill="1" applyBorder="1" applyAlignment="1">
      <alignment horizontal="center" vertical="center"/>
    </xf>
    <xf numFmtId="0" fontId="24" fillId="11" borderId="23" xfId="7" applyFont="1" applyFill="1" applyBorder="1" applyAlignment="1">
      <alignment horizontal="center" vertical="center"/>
    </xf>
    <xf numFmtId="0" fontId="39" fillId="0" borderId="26" xfId="7" applyFont="1" applyBorder="1" applyAlignment="1">
      <alignment horizontal="center" vertical="center"/>
    </xf>
    <xf numFmtId="0" fontId="24" fillId="11" borderId="27" xfId="7" applyFont="1" applyFill="1" applyBorder="1" applyAlignment="1">
      <alignment horizontal="center" vertical="center"/>
    </xf>
    <xf numFmtId="0" fontId="18" fillId="0" borderId="33" xfId="7" applyFont="1" applyBorder="1" applyAlignment="1">
      <alignment horizontal="center" vertical="center"/>
    </xf>
    <xf numFmtId="0" fontId="18" fillId="0" borderId="16" xfId="7" applyFont="1" applyBorder="1" applyAlignment="1">
      <alignment horizontal="center" vertical="center"/>
    </xf>
    <xf numFmtId="0" fontId="46" fillId="0" borderId="16" xfId="7" applyFont="1" applyBorder="1" applyAlignment="1">
      <alignment horizontal="left" vertical="center"/>
    </xf>
    <xf numFmtId="0" fontId="18" fillId="0" borderId="16" xfId="7" applyFont="1" applyBorder="1" applyAlignment="1">
      <alignment horizontal="left" vertical="center"/>
    </xf>
    <xf numFmtId="0" fontId="47" fillId="0" borderId="16" xfId="7" applyFont="1" applyBorder="1" applyAlignment="1">
      <alignment horizontal="left" vertical="center"/>
    </xf>
    <xf numFmtId="0" fontId="48" fillId="0" borderId="16" xfId="7" applyFont="1" applyBorder="1" applyAlignment="1">
      <alignment horizontal="left" vertical="center"/>
    </xf>
    <xf numFmtId="0" fontId="49" fillId="0" borderId="16" xfId="7" applyFont="1" applyBorder="1" applyAlignment="1">
      <alignment horizontal="left" vertical="center"/>
    </xf>
    <xf numFmtId="0" fontId="50" fillId="0" borderId="16" xfId="7" applyFont="1" applyBorder="1" applyAlignment="1">
      <alignment horizontal="left" vertical="center"/>
    </xf>
    <xf numFmtId="0" fontId="50" fillId="0" borderId="16" xfId="7" applyFont="1" applyBorder="1" applyAlignment="1">
      <alignment horizontal="center" vertical="center"/>
    </xf>
    <xf numFmtId="0" fontId="51" fillId="0" borderId="16" xfId="7" applyFont="1" applyBorder="1" applyAlignment="1">
      <alignment horizontal="right" vertical="center"/>
    </xf>
    <xf numFmtId="0" fontId="51" fillId="0" borderId="32" xfId="7" applyFont="1" applyBorder="1" applyAlignment="1">
      <alignment horizontal="right" vertical="center"/>
    </xf>
    <xf numFmtId="175" fontId="13" fillId="2" borderId="0" xfId="1" applyNumberFormat="1" applyFont="1" applyFill="1"/>
    <xf numFmtId="0" fontId="12" fillId="2" borderId="0" xfId="0" applyFont="1" applyFill="1"/>
    <xf numFmtId="0" fontId="12" fillId="0" borderId="0" xfId="0" applyFont="1"/>
    <xf numFmtId="0" fontId="12" fillId="0" borderId="0" xfId="0" applyFont="1" applyAlignment="1">
      <alignment horizontal="center"/>
    </xf>
    <xf numFmtId="171" fontId="12" fillId="2" borderId="0" xfId="1" applyNumberFormat="1" applyFont="1" applyFill="1"/>
    <xf numFmtId="0" fontId="13" fillId="2" borderId="0" xfId="0" applyFont="1" applyFill="1" applyAlignment="1">
      <alignment horizontal="center"/>
    </xf>
    <xf numFmtId="0" fontId="12" fillId="2" borderId="0" xfId="0" applyFont="1" applyFill="1" applyAlignment="1">
      <alignment horizontal="center"/>
    </xf>
    <xf numFmtId="169" fontId="58" fillId="2" borderId="0" xfId="2" applyNumberFormat="1" applyFont="1" applyFill="1"/>
    <xf numFmtId="0" fontId="13" fillId="0" borderId="0" xfId="0" applyFont="1" applyAlignment="1">
      <alignment horizontal="center"/>
    </xf>
    <xf numFmtId="171" fontId="12" fillId="0" borderId="0" xfId="1" applyNumberFormat="1" applyFont="1" applyFill="1"/>
    <xf numFmtId="169" fontId="12" fillId="0" borderId="0" xfId="2" applyNumberFormat="1" applyFont="1" applyFill="1"/>
    <xf numFmtId="0" fontId="59" fillId="2" borderId="0" xfId="0" applyFont="1" applyFill="1"/>
    <xf numFmtId="169" fontId="61" fillId="2" borderId="0" xfId="2" applyNumberFormat="1" applyFont="1" applyFill="1" applyBorder="1"/>
    <xf numFmtId="0" fontId="61" fillId="2" borderId="0" xfId="0" applyFont="1" applyFill="1"/>
    <xf numFmtId="0" fontId="63" fillId="0" borderId="0" xfId="0" applyFont="1" applyAlignment="1">
      <alignment horizontal="center" vertical="center" wrapText="1"/>
    </xf>
    <xf numFmtId="14" fontId="59" fillId="2" borderId="0" xfId="2" applyNumberFormat="1" applyFont="1" applyFill="1" applyBorder="1" applyAlignment="1">
      <alignment horizontal="center"/>
    </xf>
    <xf numFmtId="169" fontId="60" fillId="2" borderId="0" xfId="1" applyNumberFormat="1" applyFont="1" applyFill="1" applyBorder="1" applyAlignment="1">
      <alignment horizontal="center"/>
    </xf>
    <xf numFmtId="0" fontId="68" fillId="2" borderId="0" xfId="3" applyNumberFormat="1" applyFont="1" applyFill="1" applyBorder="1" applyAlignment="1">
      <alignment horizontal="center" vertical="center" wrapText="1"/>
    </xf>
    <xf numFmtId="0" fontId="68" fillId="2" borderId="0" xfId="3" applyNumberFormat="1" applyFont="1" applyFill="1" applyBorder="1" applyAlignment="1">
      <alignment vertical="center" wrapText="1"/>
    </xf>
    <xf numFmtId="0" fontId="65" fillId="2" borderId="0" xfId="0" applyFont="1" applyFill="1" applyAlignment="1">
      <alignment horizontal="center" vertical="center" wrapText="1"/>
    </xf>
    <xf numFmtId="0" fontId="59" fillId="2" borderId="0" xfId="0" applyFont="1" applyFill="1" applyAlignment="1">
      <alignment horizontal="center" vertical="center" wrapText="1"/>
    </xf>
    <xf numFmtId="175" fontId="59" fillId="2" borderId="0" xfId="1" applyNumberFormat="1" applyFont="1" applyFill="1" applyBorder="1" applyAlignment="1">
      <alignment horizontal="center"/>
    </xf>
    <xf numFmtId="0" fontId="64" fillId="2" borderId="0" xfId="0" applyFont="1" applyFill="1"/>
    <xf numFmtId="169" fontId="59" fillId="2" borderId="0" xfId="2" applyNumberFormat="1" applyFont="1" applyFill="1" applyBorder="1" applyAlignment="1"/>
    <xf numFmtId="169" fontId="61" fillId="2" borderId="0" xfId="3" applyNumberFormat="1" applyFont="1" applyFill="1" applyBorder="1"/>
    <xf numFmtId="1" fontId="59" fillId="2" borderId="0" xfId="0" applyNumberFormat="1" applyFont="1" applyFill="1"/>
    <xf numFmtId="0" fontId="70" fillId="2" borderId="0" xfId="0" applyFont="1" applyFill="1" applyAlignment="1">
      <alignment horizontal="left"/>
    </xf>
    <xf numFmtId="0" fontId="70" fillId="2" borderId="0" xfId="0" applyFont="1" applyFill="1"/>
    <xf numFmtId="169" fontId="72" fillId="2" borderId="0" xfId="2" applyNumberFormat="1" applyFont="1" applyFill="1"/>
    <xf numFmtId="169" fontId="72" fillId="0" borderId="0" xfId="2" applyNumberFormat="1" applyFont="1" applyFill="1"/>
    <xf numFmtId="169" fontId="72" fillId="2" borderId="0" xfId="2" applyNumberFormat="1" applyFont="1" applyFill="1" applyBorder="1"/>
    <xf numFmtId="169" fontId="70" fillId="2" borderId="0" xfId="2" applyNumberFormat="1" applyFont="1" applyFill="1" applyBorder="1" applyAlignment="1">
      <alignment vertical="center"/>
    </xf>
    <xf numFmtId="169" fontId="73" fillId="2" borderId="0" xfId="2" applyNumberFormat="1" applyFont="1" applyFill="1" applyBorder="1"/>
    <xf numFmtId="169" fontId="73" fillId="2" borderId="0" xfId="0" applyNumberFormat="1" applyFont="1" applyFill="1"/>
    <xf numFmtId="169" fontId="70" fillId="2" borderId="0" xfId="0" applyNumberFormat="1" applyFont="1" applyFill="1" applyAlignment="1">
      <alignment vertical="center"/>
    </xf>
    <xf numFmtId="0" fontId="72" fillId="2" borderId="0" xfId="0" applyFont="1" applyFill="1"/>
    <xf numFmtId="169" fontId="70" fillId="2" borderId="0" xfId="2" applyNumberFormat="1" applyFont="1" applyFill="1" applyAlignment="1"/>
    <xf numFmtId="169" fontId="74" fillId="2" borderId="0" xfId="2" applyNumberFormat="1" applyFont="1" applyFill="1" applyAlignment="1"/>
    <xf numFmtId="169" fontId="70" fillId="2" borderId="0" xfId="2" applyNumberFormat="1" applyFont="1" applyFill="1" applyAlignment="1">
      <alignment vertical="center"/>
    </xf>
    <xf numFmtId="169" fontId="72" fillId="2" borderId="0" xfId="0" applyNumberFormat="1" applyFont="1" applyFill="1"/>
    <xf numFmtId="169" fontId="9" fillId="0" borderId="0" xfId="2" applyNumberFormat="1" applyFont="1" applyFill="1" applyAlignment="1">
      <alignment vertical="center"/>
    </xf>
    <xf numFmtId="169" fontId="69" fillId="0" borderId="0" xfId="2" applyNumberFormat="1" applyFont="1" applyFill="1" applyAlignment="1"/>
    <xf numFmtId="169" fontId="9" fillId="0" borderId="0" xfId="2" applyNumberFormat="1" applyFont="1" applyFill="1" applyAlignment="1"/>
    <xf numFmtId="14" fontId="59" fillId="0" borderId="36" xfId="2" applyNumberFormat="1" applyFont="1" applyFill="1" applyBorder="1" applyAlignment="1">
      <alignment vertical="center"/>
    </xf>
    <xf numFmtId="169" fontId="9" fillId="0" borderId="0" xfId="2" applyNumberFormat="1" applyFont="1" applyFill="1"/>
    <xf numFmtId="169" fontId="9" fillId="2" borderId="0" xfId="2" applyNumberFormat="1" applyFont="1" applyFill="1" applyBorder="1" applyAlignment="1">
      <alignment vertical="center"/>
    </xf>
    <xf numFmtId="169" fontId="69" fillId="2" borderId="0" xfId="2" applyNumberFormat="1" applyFont="1" applyFill="1" applyAlignment="1"/>
    <xf numFmtId="169" fontId="69" fillId="0" borderId="36" xfId="2" applyNumberFormat="1" applyFont="1" applyFill="1" applyBorder="1" applyAlignment="1"/>
    <xf numFmtId="169" fontId="69" fillId="0" borderId="0" xfId="2" applyNumberFormat="1" applyFont="1" applyFill="1" applyBorder="1" applyAlignment="1"/>
    <xf numFmtId="169" fontId="55" fillId="0" borderId="0" xfId="2" applyNumberFormat="1" applyFont="1" applyFill="1" applyBorder="1" applyAlignment="1"/>
    <xf numFmtId="169" fontId="9" fillId="0" borderId="0" xfId="2" applyNumberFormat="1" applyFont="1" applyFill="1" applyBorder="1" applyAlignment="1">
      <alignment vertical="center"/>
    </xf>
    <xf numFmtId="169" fontId="62" fillId="0" borderId="0" xfId="2" applyNumberFormat="1" applyFont="1" applyFill="1"/>
    <xf numFmtId="169" fontId="75" fillId="0" borderId="0" xfId="2" applyNumberFormat="1" applyFont="1" applyFill="1" applyAlignment="1">
      <alignment vertical="center"/>
    </xf>
    <xf numFmtId="169" fontId="75" fillId="0" borderId="0" xfId="2" applyNumberFormat="1" applyFont="1" applyFill="1" applyAlignment="1"/>
    <xf numFmtId="14" fontId="76" fillId="0" borderId="36" xfId="2" applyNumberFormat="1" applyFont="1" applyFill="1" applyBorder="1" applyAlignment="1">
      <alignment vertical="center"/>
    </xf>
    <xf numFmtId="169" fontId="75" fillId="0" borderId="0" xfId="2" applyNumberFormat="1" applyFont="1" applyFill="1"/>
    <xf numFmtId="169" fontId="70" fillId="0" borderId="0" xfId="2" applyNumberFormat="1" applyFont="1" applyFill="1" applyAlignment="1"/>
    <xf numFmtId="169" fontId="59" fillId="0" borderId="0" xfId="2" applyNumberFormat="1" applyFont="1" applyFill="1" applyBorder="1" applyAlignment="1"/>
    <xf numFmtId="0" fontId="69" fillId="0" borderId="1" xfId="0" applyFont="1" applyBorder="1" applyAlignment="1">
      <alignment horizontal="center" vertical="center"/>
    </xf>
    <xf numFmtId="0" fontId="70" fillId="0" borderId="0" xfId="0" applyFont="1" applyAlignment="1">
      <alignment horizontal="left"/>
    </xf>
    <xf numFmtId="169" fontId="55" fillId="0" borderId="1" xfId="2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78" fillId="0" borderId="1" xfId="0" applyFont="1" applyBorder="1" applyAlignment="1">
      <alignment horizontal="center" vertical="center"/>
    </xf>
    <xf numFmtId="168" fontId="69" fillId="0" borderId="1" xfId="3" applyNumberFormat="1" applyFont="1" applyFill="1" applyBorder="1" applyAlignment="1">
      <alignment vertical="center"/>
    </xf>
    <xf numFmtId="169" fontId="79" fillId="0" borderId="1" xfId="2" applyNumberFormat="1" applyFont="1" applyFill="1" applyBorder="1" applyAlignment="1">
      <alignment vertical="center"/>
    </xf>
    <xf numFmtId="169" fontId="69" fillId="0" borderId="1" xfId="2" applyNumberFormat="1" applyFont="1" applyFill="1" applyBorder="1" applyAlignment="1">
      <alignment vertical="center"/>
    </xf>
    <xf numFmtId="3" fontId="78" fillId="0" borderId="1" xfId="0" applyNumberFormat="1" applyFont="1" applyBorder="1" applyAlignment="1">
      <alignment horizontal="right" vertical="center" wrapText="1"/>
    </xf>
    <xf numFmtId="169" fontId="78" fillId="0" borderId="1" xfId="2" applyNumberFormat="1" applyFont="1" applyFill="1" applyBorder="1" applyAlignment="1">
      <alignment vertical="center"/>
    </xf>
    <xf numFmtId="172" fontId="69" fillId="0" borderId="1" xfId="2" applyNumberFormat="1" applyFont="1" applyFill="1" applyBorder="1" applyAlignment="1">
      <alignment vertical="center"/>
    </xf>
    <xf numFmtId="169" fontId="79" fillId="0" borderId="1" xfId="2" applyNumberFormat="1" applyFont="1" applyFill="1" applyBorder="1" applyAlignment="1">
      <alignment horizontal="center" vertical="center" wrapText="1"/>
    </xf>
    <xf numFmtId="0" fontId="69" fillId="0" borderId="1" xfId="0" applyFont="1" applyBorder="1" applyAlignment="1">
      <alignment vertical="center"/>
    </xf>
    <xf numFmtId="171" fontId="69" fillId="0" borderId="1" xfId="1" applyNumberFormat="1" applyFont="1" applyFill="1" applyBorder="1" applyAlignment="1">
      <alignment horizontal="center" vertical="center"/>
    </xf>
    <xf numFmtId="175" fontId="69" fillId="0" borderId="1" xfId="1" applyNumberFormat="1" applyFont="1" applyFill="1" applyBorder="1" applyAlignment="1">
      <alignment vertical="center"/>
    </xf>
    <xf numFmtId="3" fontId="69" fillId="0" borderId="1" xfId="0" applyNumberFormat="1" applyFont="1" applyBorder="1" applyAlignment="1">
      <alignment horizontal="right" vertical="center" wrapText="1"/>
    </xf>
    <xf numFmtId="169" fontId="69" fillId="0" borderId="1" xfId="2" applyNumberFormat="1" applyFont="1" applyFill="1" applyBorder="1" applyAlignment="1">
      <alignment horizontal="center" vertical="center" wrapText="1"/>
    </xf>
    <xf numFmtId="171" fontId="79" fillId="0" borderId="1" xfId="1" applyNumberFormat="1" applyFont="1" applyFill="1" applyBorder="1" applyAlignment="1">
      <alignment horizontal="center" vertical="center"/>
    </xf>
    <xf numFmtId="43" fontId="78" fillId="0" borderId="1" xfId="3" applyFont="1" applyFill="1" applyBorder="1" applyAlignment="1">
      <alignment vertical="center"/>
    </xf>
    <xf numFmtId="0" fontId="78" fillId="0" borderId="0" xfId="0" applyFont="1" applyAlignment="1">
      <alignment vertical="center"/>
    </xf>
    <xf numFmtId="168" fontId="78" fillId="0" borderId="1" xfId="3" applyNumberFormat="1" applyFont="1" applyFill="1" applyBorder="1" applyAlignment="1">
      <alignment vertical="center"/>
    </xf>
    <xf numFmtId="175" fontId="78" fillId="0" borderId="1" xfId="1" applyNumberFormat="1" applyFont="1" applyFill="1" applyBorder="1" applyAlignment="1">
      <alignment vertical="center"/>
    </xf>
    <xf numFmtId="168" fontId="78" fillId="0" borderId="1" xfId="2" applyNumberFormat="1" applyFont="1" applyFill="1" applyBorder="1" applyAlignment="1">
      <alignment vertical="center"/>
    </xf>
    <xf numFmtId="169" fontId="78" fillId="0" borderId="1" xfId="2" applyNumberFormat="1" applyFont="1" applyFill="1" applyBorder="1" applyAlignment="1">
      <alignment horizontal="center" vertical="center" wrapText="1"/>
    </xf>
    <xf numFmtId="169" fontId="78" fillId="0" borderId="1" xfId="0" applyNumberFormat="1" applyFont="1" applyBorder="1" applyAlignment="1">
      <alignment vertical="center"/>
    </xf>
    <xf numFmtId="173" fontId="80" fillId="0" borderId="1" xfId="3" applyNumberFormat="1" applyFont="1" applyFill="1" applyBorder="1" applyAlignment="1">
      <alignment horizontal="center" vertical="center" wrapText="1"/>
    </xf>
    <xf numFmtId="173" fontId="80" fillId="2" borderId="1" xfId="3" applyNumberFormat="1" applyFont="1" applyFill="1" applyBorder="1" applyAlignment="1">
      <alignment horizontal="center" vertical="center" wrapText="1"/>
    </xf>
    <xf numFmtId="173" fontId="77" fillId="2" borderId="1" xfId="3" applyNumberFormat="1" applyFont="1" applyFill="1" applyBorder="1" applyAlignment="1">
      <alignment horizontal="center" vertical="center" wrapText="1"/>
    </xf>
    <xf numFmtId="0" fontId="55" fillId="6" borderId="1" xfId="0" applyFont="1" applyFill="1" applyBorder="1" applyAlignment="1">
      <alignment horizontal="center" vertical="center" wrapText="1"/>
    </xf>
    <xf numFmtId="173" fontId="55" fillId="2" borderId="1" xfId="0" applyNumberFormat="1" applyFont="1" applyFill="1" applyBorder="1" applyAlignment="1">
      <alignment horizontal="center" vertical="center" wrapText="1"/>
    </xf>
    <xf numFmtId="173" fontId="55" fillId="0" borderId="1" xfId="0" applyNumberFormat="1" applyFont="1" applyBorder="1" applyAlignment="1">
      <alignment horizontal="center" vertical="center" wrapText="1"/>
    </xf>
    <xf numFmtId="169" fontId="77" fillId="0" borderId="1" xfId="2" applyNumberFormat="1" applyFont="1" applyFill="1" applyBorder="1" applyAlignment="1">
      <alignment horizontal="center" vertical="center" wrapText="1"/>
    </xf>
    <xf numFmtId="169" fontId="55" fillId="6" borderId="1" xfId="2" applyNumberFormat="1" applyFont="1" applyFill="1" applyBorder="1" applyAlignment="1">
      <alignment horizontal="center" vertical="center" wrapText="1"/>
    </xf>
    <xf numFmtId="0" fontId="81" fillId="15" borderId="1" xfId="0" applyFont="1" applyFill="1" applyBorder="1" applyAlignment="1">
      <alignment horizontal="center" vertical="center" wrapText="1"/>
    </xf>
    <xf numFmtId="0" fontId="55" fillId="0" borderId="0" xfId="0" applyFont="1" applyAlignment="1">
      <alignment horizontal="center" vertical="center"/>
    </xf>
    <xf numFmtId="174" fontId="80" fillId="0" borderId="1" xfId="3" applyNumberFormat="1" applyFont="1" applyFill="1" applyBorder="1" applyAlignment="1">
      <alignment horizontal="center" vertical="center" wrapText="1"/>
    </xf>
    <xf numFmtId="174" fontId="80" fillId="2" borderId="1" xfId="3" applyNumberFormat="1" applyFont="1" applyFill="1" applyBorder="1" applyAlignment="1">
      <alignment horizontal="center" vertical="center" wrapText="1"/>
    </xf>
    <xf numFmtId="174" fontId="55" fillId="2" borderId="1" xfId="0" applyNumberFormat="1" applyFont="1" applyFill="1" applyBorder="1" applyAlignment="1">
      <alignment horizontal="center" vertical="center" wrapText="1"/>
    </xf>
    <xf numFmtId="174" fontId="55" fillId="0" borderId="1" xfId="0" applyNumberFormat="1" applyFont="1" applyBorder="1" applyAlignment="1">
      <alignment horizontal="center" vertical="center" wrapText="1"/>
    </xf>
    <xf numFmtId="0" fontId="55" fillId="5" borderId="1" xfId="0" applyFont="1" applyFill="1" applyBorder="1" applyAlignment="1">
      <alignment horizontal="center" vertical="center" wrapText="1"/>
    </xf>
    <xf numFmtId="0" fontId="55" fillId="13" borderId="1" xfId="0" applyFont="1" applyFill="1" applyBorder="1" applyAlignment="1">
      <alignment horizontal="center" vertical="center" wrapText="1"/>
    </xf>
    <xf numFmtId="0" fontId="55" fillId="19" borderId="1" xfId="0" applyFont="1" applyFill="1" applyBorder="1" applyAlignment="1">
      <alignment horizontal="center" vertical="center" wrapText="1"/>
    </xf>
    <xf numFmtId="0" fontId="55" fillId="20" borderId="1" xfId="0" applyFont="1" applyFill="1" applyBorder="1" applyAlignment="1">
      <alignment horizontal="center" vertical="center" wrapText="1"/>
    </xf>
    <xf numFmtId="0" fontId="55" fillId="21" borderId="1" xfId="0" applyFont="1" applyFill="1" applyBorder="1" applyAlignment="1">
      <alignment horizontal="center" vertical="center" wrapText="1"/>
    </xf>
    <xf numFmtId="0" fontId="55" fillId="17" borderId="1" xfId="0" applyFont="1" applyFill="1" applyBorder="1" applyAlignment="1">
      <alignment horizontal="center" vertical="center" wrapText="1"/>
    </xf>
    <xf numFmtId="0" fontId="55" fillId="22" borderId="1" xfId="0" applyFont="1" applyFill="1" applyBorder="1" applyAlignment="1">
      <alignment horizontal="center" vertical="center" wrapText="1"/>
    </xf>
    <xf numFmtId="0" fontId="55" fillId="23" borderId="1" xfId="0" applyFont="1" applyFill="1" applyBorder="1" applyAlignment="1">
      <alignment horizontal="center" vertical="center" wrapText="1"/>
    </xf>
    <xf numFmtId="169" fontId="55" fillId="19" borderId="1" xfId="2" applyNumberFormat="1" applyFont="1" applyFill="1" applyBorder="1" applyAlignment="1">
      <alignment horizontal="center" vertical="center" wrapText="1"/>
    </xf>
    <xf numFmtId="169" fontId="55" fillId="20" borderId="1" xfId="2" applyNumberFormat="1" applyFont="1" applyFill="1" applyBorder="1" applyAlignment="1">
      <alignment horizontal="center" vertical="center" wrapText="1"/>
    </xf>
    <xf numFmtId="169" fontId="55" fillId="21" borderId="1" xfId="2" applyNumberFormat="1" applyFont="1" applyFill="1" applyBorder="1" applyAlignment="1">
      <alignment horizontal="center" vertical="center" wrapText="1"/>
    </xf>
    <xf numFmtId="169" fontId="55" fillId="2" borderId="1" xfId="2" applyNumberFormat="1" applyFont="1" applyFill="1" applyBorder="1" applyAlignment="1">
      <alignment horizontal="center" vertical="center" wrapText="1"/>
    </xf>
    <xf numFmtId="169" fontId="55" fillId="22" borderId="1" xfId="2" applyNumberFormat="1" applyFont="1" applyFill="1" applyBorder="1" applyAlignment="1">
      <alignment horizontal="center" vertical="center" wrapText="1"/>
    </xf>
    <xf numFmtId="169" fontId="55" fillId="23" borderId="1" xfId="2" applyNumberFormat="1" applyFont="1" applyFill="1" applyBorder="1" applyAlignment="1">
      <alignment horizontal="center" vertical="center" wrapText="1"/>
    </xf>
    <xf numFmtId="169" fontId="55" fillId="24" borderId="1" xfId="2" applyNumberFormat="1" applyFont="1" applyFill="1" applyBorder="1" applyAlignment="1">
      <alignment horizontal="center" vertical="center" wrapText="1"/>
    </xf>
    <xf numFmtId="170" fontId="55" fillId="4" borderId="1" xfId="4" applyNumberFormat="1" applyFont="1" applyFill="1" applyBorder="1" applyAlignment="1">
      <alignment horizontal="center" vertical="center" wrapText="1"/>
    </xf>
    <xf numFmtId="170" fontId="14" fillId="4" borderId="1" xfId="4" applyNumberFormat="1" applyFont="1" applyFill="1" applyBorder="1" applyAlignment="1">
      <alignment horizontal="center" vertical="center" wrapText="1"/>
    </xf>
    <xf numFmtId="0" fontId="55" fillId="0" borderId="0" xfId="0" applyFont="1" applyAlignment="1">
      <alignment horizontal="center" vertical="center" wrapText="1"/>
    </xf>
    <xf numFmtId="14" fontId="59" fillId="0" borderId="0" xfId="2" applyNumberFormat="1" applyFont="1" applyFill="1" applyBorder="1" applyAlignment="1"/>
    <xf numFmtId="169" fontId="70" fillId="14" borderId="0" xfId="2" applyNumberFormat="1" applyFont="1" applyFill="1" applyAlignment="1"/>
    <xf numFmtId="169" fontId="63" fillId="0" borderId="0" xfId="2" applyNumberFormat="1" applyFont="1" applyFill="1" applyAlignment="1"/>
    <xf numFmtId="169" fontId="69" fillId="0" borderId="0" xfId="2" applyNumberFormat="1" applyFont="1" applyFill="1" applyBorder="1" applyAlignment="1">
      <alignment vertical="center"/>
    </xf>
    <xf numFmtId="169" fontId="69" fillId="0" borderId="0" xfId="2" applyNumberFormat="1" applyFont="1" applyFill="1"/>
    <xf numFmtId="171" fontId="78" fillId="0" borderId="1" xfId="1" applyNumberFormat="1" applyFont="1" applyFill="1" applyBorder="1" applyAlignment="1">
      <alignment horizontal="right" vertical="center" wrapText="1"/>
    </xf>
    <xf numFmtId="0" fontId="70" fillId="0" borderId="0" xfId="0" applyFont="1"/>
    <xf numFmtId="14" fontId="59" fillId="0" borderId="0" xfId="2" applyNumberFormat="1" applyFont="1" applyFill="1" applyBorder="1" applyAlignment="1">
      <alignment vertical="center"/>
    </xf>
    <xf numFmtId="169" fontId="76" fillId="0" borderId="0" xfId="2" applyNumberFormat="1" applyFont="1" applyFill="1" applyBorder="1" applyAlignment="1"/>
    <xf numFmtId="169" fontId="63" fillId="0" borderId="0" xfId="2" applyNumberFormat="1" applyFont="1" applyFill="1" applyBorder="1" applyAlignment="1"/>
    <xf numFmtId="169" fontId="72" fillId="14" borderId="0" xfId="2" applyNumberFormat="1" applyFont="1" applyFill="1"/>
    <xf numFmtId="169" fontId="59" fillId="14" borderId="0" xfId="2" applyNumberFormat="1" applyFont="1" applyFill="1" applyBorder="1" applyAlignment="1"/>
    <xf numFmtId="0" fontId="70" fillId="2" borderId="0" xfId="2" applyNumberFormat="1" applyFont="1" applyFill="1" applyAlignment="1"/>
    <xf numFmtId="0" fontId="12" fillId="2" borderId="0" xfId="0" applyFont="1" applyFill="1" applyAlignment="1">
      <alignment horizontal="left" wrapText="1"/>
    </xf>
    <xf numFmtId="0" fontId="12" fillId="0" borderId="0" xfId="0" applyFont="1" applyAlignment="1">
      <alignment horizontal="left" wrapText="1"/>
    </xf>
    <xf numFmtId="169" fontId="69" fillId="0" borderId="0" xfId="0" applyNumberFormat="1" applyFont="1" applyAlignment="1">
      <alignment vertical="center"/>
    </xf>
    <xf numFmtId="166" fontId="67" fillId="2" borderId="0" xfId="1" applyFont="1" applyFill="1" applyBorder="1" applyAlignment="1">
      <alignment horizontal="center"/>
    </xf>
    <xf numFmtId="169" fontId="69" fillId="4" borderId="1" xfId="2" applyNumberFormat="1" applyFont="1" applyFill="1" applyBorder="1" applyAlignment="1">
      <alignment horizontal="center" vertical="center" wrapText="1"/>
    </xf>
    <xf numFmtId="169" fontId="69" fillId="25" borderId="1" xfId="2" applyNumberFormat="1" applyFont="1" applyFill="1" applyBorder="1" applyAlignment="1">
      <alignment horizontal="center" vertical="center" wrapText="1"/>
    </xf>
    <xf numFmtId="171" fontId="69" fillId="0" borderId="0" xfId="0" applyNumberFormat="1" applyFont="1" applyAlignment="1">
      <alignment vertical="center"/>
    </xf>
    <xf numFmtId="169" fontId="71" fillId="0" borderId="0" xfId="2" applyNumberFormat="1" applyFont="1" applyFill="1"/>
    <xf numFmtId="169" fontId="83" fillId="0" borderId="0" xfId="2" applyNumberFormat="1" applyFont="1" applyFill="1" applyAlignment="1"/>
    <xf numFmtId="169" fontId="65" fillId="0" borderId="0" xfId="2" applyNumberFormat="1" applyFont="1" applyFill="1" applyBorder="1" applyAlignment="1"/>
    <xf numFmtId="169" fontId="13" fillId="0" borderId="0" xfId="2" applyNumberFormat="1" applyFont="1" applyFill="1"/>
    <xf numFmtId="169" fontId="55" fillId="2" borderId="0" xfId="2" applyNumberFormat="1" applyFont="1" applyFill="1" applyAlignment="1"/>
    <xf numFmtId="166" fontId="14" fillId="2" borderId="0" xfId="1" applyFont="1" applyFill="1" applyBorder="1" applyAlignment="1">
      <alignment horizontal="left"/>
    </xf>
    <xf numFmtId="169" fontId="56" fillId="2" borderId="0" xfId="2" applyNumberFormat="1" applyFont="1" applyFill="1"/>
    <xf numFmtId="14" fontId="66" fillId="14" borderId="0" xfId="2" applyNumberFormat="1" applyFont="1" applyFill="1" applyBorder="1" applyAlignment="1"/>
    <xf numFmtId="0" fontId="70" fillId="2" borderId="0" xfId="0" applyFont="1" applyFill="1" applyAlignment="1">
      <alignment horizontal="left" wrapText="1"/>
    </xf>
    <xf numFmtId="169" fontId="70" fillId="2" borderId="0" xfId="2" applyNumberFormat="1" applyFont="1" applyFill="1" applyAlignment="1">
      <alignment wrapText="1"/>
    </xf>
    <xf numFmtId="169" fontId="66" fillId="14" borderId="0" xfId="1" applyNumberFormat="1" applyFont="1" applyFill="1" applyBorder="1" applyAlignment="1">
      <alignment wrapText="1"/>
    </xf>
    <xf numFmtId="0" fontId="12" fillId="4" borderId="0" xfId="0" applyFont="1" applyFill="1" applyAlignment="1">
      <alignment horizontal="center"/>
    </xf>
    <xf numFmtId="0" fontId="12" fillId="25" borderId="0" xfId="0" applyFont="1" applyFill="1" applyAlignment="1">
      <alignment horizontal="center"/>
    </xf>
    <xf numFmtId="0" fontId="72" fillId="2" borderId="0" xfId="0" applyFont="1" applyFill="1" applyAlignment="1">
      <alignment horizontal="center"/>
    </xf>
    <xf numFmtId="171" fontId="72" fillId="0" borderId="0" xfId="1" applyNumberFormat="1" applyFont="1" applyFill="1" applyAlignment="1">
      <alignment horizontal="center"/>
    </xf>
    <xf numFmtId="0" fontId="72" fillId="2" borderId="0" xfId="0" applyFont="1" applyFill="1" applyAlignment="1">
      <alignment horizontal="center" wrapText="1"/>
    </xf>
    <xf numFmtId="0" fontId="69" fillId="0" borderId="0" xfId="0" applyFont="1" applyAlignment="1">
      <alignment horizontal="center"/>
    </xf>
    <xf numFmtId="0" fontId="61" fillId="2" borderId="0" xfId="0" applyFont="1" applyFill="1" applyAlignment="1">
      <alignment horizontal="center"/>
    </xf>
    <xf numFmtId="171" fontId="61" fillId="0" borderId="0" xfId="1" applyNumberFormat="1" applyFont="1" applyFill="1" applyAlignment="1">
      <alignment horizontal="center"/>
    </xf>
    <xf numFmtId="0" fontId="61" fillId="2" borderId="0" xfId="0" applyFont="1" applyFill="1" applyAlignment="1">
      <alignment horizontal="center" wrapText="1"/>
    </xf>
    <xf numFmtId="0" fontId="66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0" fontId="66" fillId="25" borderId="1" xfId="0" applyFont="1" applyFill="1" applyBorder="1" applyAlignment="1">
      <alignment horizontal="center" vertical="center" wrapText="1"/>
    </xf>
    <xf numFmtId="0" fontId="63" fillId="0" borderId="1" xfId="0" applyFont="1" applyBorder="1" applyAlignment="1">
      <alignment horizontal="center" vertical="center" wrapText="1"/>
    </xf>
    <xf numFmtId="171" fontId="63" fillId="0" borderId="1" xfId="1" applyNumberFormat="1" applyFont="1" applyFill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171" fontId="12" fillId="0" borderId="0" xfId="1" applyNumberFormat="1" applyFont="1" applyFill="1" applyAlignment="1">
      <alignment horizontal="center"/>
    </xf>
    <xf numFmtId="0" fontId="12" fillId="2" borderId="0" xfId="0" applyFont="1" applyFill="1" applyAlignment="1">
      <alignment horizontal="center" wrapText="1"/>
    </xf>
    <xf numFmtId="0" fontId="12" fillId="0" borderId="0" xfId="0" applyFont="1" applyAlignment="1">
      <alignment horizontal="center" wrapText="1"/>
    </xf>
    <xf numFmtId="0" fontId="72" fillId="0" borderId="0" xfId="0" applyFont="1" applyAlignment="1">
      <alignment horizontal="center"/>
    </xf>
    <xf numFmtId="0" fontId="61" fillId="0" borderId="0" xfId="0" applyFont="1" applyAlignment="1">
      <alignment horizontal="center"/>
    </xf>
    <xf numFmtId="169" fontId="55" fillId="0" borderId="2" xfId="2" applyNumberFormat="1" applyFont="1" applyFill="1" applyBorder="1" applyAlignment="1">
      <alignment horizontal="center" vertical="center" wrapText="1"/>
    </xf>
    <xf numFmtId="169" fontId="55" fillId="6" borderId="3" xfId="2" applyNumberFormat="1" applyFont="1" applyFill="1" applyBorder="1" applyAlignment="1">
      <alignment horizontal="center" vertical="center" wrapText="1"/>
    </xf>
    <xf numFmtId="169" fontId="55" fillId="0" borderId="4" xfId="2" applyNumberFormat="1" applyFont="1" applyFill="1" applyBorder="1" applyAlignment="1">
      <alignment vertical="center" wrapText="1"/>
    </xf>
    <xf numFmtId="169" fontId="55" fillId="0" borderId="37" xfId="2" applyNumberFormat="1" applyFont="1" applyFill="1" applyBorder="1" applyAlignment="1">
      <alignment vertical="center" wrapText="1"/>
    </xf>
    <xf numFmtId="169" fontId="55" fillId="0" borderId="35" xfId="2" applyNumberFormat="1" applyFont="1" applyFill="1" applyBorder="1" applyAlignment="1">
      <alignment vertical="center" wrapText="1"/>
    </xf>
    <xf numFmtId="0" fontId="72" fillId="3" borderId="0" xfId="0" applyFont="1" applyFill="1" applyAlignment="1">
      <alignment horizontal="center"/>
    </xf>
    <xf numFmtId="0" fontId="61" fillId="3" borderId="0" xfId="0" applyFont="1" applyFill="1" applyAlignment="1">
      <alignment horizontal="center"/>
    </xf>
    <xf numFmtId="0" fontId="63" fillId="3" borderId="1" xfId="0" applyFont="1" applyFill="1" applyBorder="1" applyAlignment="1">
      <alignment horizontal="center" vertical="center" wrapText="1"/>
    </xf>
    <xf numFmtId="171" fontId="69" fillId="3" borderId="1" xfId="0" applyNumberFormat="1" applyFont="1" applyFill="1" applyBorder="1" applyAlignment="1">
      <alignment horizontal="center" vertical="center"/>
    </xf>
    <xf numFmtId="0" fontId="12" fillId="3" borderId="0" xfId="0" applyFont="1" applyFill="1" applyAlignment="1">
      <alignment horizontal="center"/>
    </xf>
    <xf numFmtId="169" fontId="69" fillId="14" borderId="0" xfId="2" applyNumberFormat="1" applyFont="1" applyFill="1" applyBorder="1" applyAlignment="1">
      <alignment vertical="center"/>
    </xf>
    <xf numFmtId="169" fontId="69" fillId="14" borderId="0" xfId="2" applyNumberFormat="1" applyFont="1" applyFill="1" applyAlignment="1"/>
    <xf numFmtId="169" fontId="69" fillId="14" borderId="0" xfId="2" applyNumberFormat="1" applyFont="1" applyFill="1" applyBorder="1" applyAlignment="1"/>
    <xf numFmtId="169" fontId="55" fillId="14" borderId="0" xfId="2" applyNumberFormat="1" applyFont="1" applyFill="1" applyBorder="1" applyAlignment="1"/>
    <xf numFmtId="171" fontId="78" fillId="14" borderId="1" xfId="1" applyNumberFormat="1" applyFont="1" applyFill="1" applyBorder="1" applyAlignment="1">
      <alignment horizontal="right" vertical="center" wrapText="1"/>
    </xf>
    <xf numFmtId="169" fontId="69" fillId="14" borderId="0" xfId="2" applyNumberFormat="1" applyFont="1" applyFill="1"/>
    <xf numFmtId="14" fontId="59" fillId="0" borderId="36" xfId="2" applyNumberFormat="1" applyFont="1" applyFill="1" applyBorder="1" applyAlignment="1">
      <alignment horizontal="center"/>
    </xf>
    <xf numFmtId="0" fontId="61" fillId="14" borderId="0" xfId="0" applyFont="1" applyFill="1"/>
    <xf numFmtId="0" fontId="59" fillId="2" borderId="34" xfId="0" applyFont="1" applyFill="1" applyBorder="1" applyAlignment="1">
      <alignment vertical="center" wrapText="1"/>
    </xf>
    <xf numFmtId="0" fontId="68" fillId="2" borderId="34" xfId="3" applyNumberFormat="1" applyFont="1" applyFill="1" applyBorder="1" applyAlignment="1">
      <alignment vertical="center" wrapText="1"/>
    </xf>
    <xf numFmtId="14" fontId="71" fillId="0" borderId="0" xfId="2" applyNumberFormat="1" applyFont="1" applyFill="1" applyAlignment="1">
      <alignment horizontal="center"/>
    </xf>
    <xf numFmtId="0" fontId="68" fillId="2" borderId="34" xfId="3" applyNumberFormat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49" fontId="77" fillId="0" borderId="1" xfId="0" applyNumberFormat="1" applyFont="1" applyBorder="1" applyAlignment="1">
      <alignment horizontal="center" vertical="center" wrapText="1"/>
    </xf>
    <xf numFmtId="0" fontId="77" fillId="0" borderId="38" xfId="0" applyFont="1" applyBorder="1" applyAlignment="1">
      <alignment horizontal="center" vertical="center"/>
    </xf>
    <xf numFmtId="0" fontId="77" fillId="0" borderId="39" xfId="0" applyFont="1" applyBorder="1" applyAlignment="1">
      <alignment horizontal="center" vertical="center"/>
    </xf>
    <xf numFmtId="171" fontId="55" fillId="0" borderId="1" xfId="1" applyNumberFormat="1" applyFont="1" applyBorder="1" applyAlignment="1">
      <alignment horizontal="center" vertical="center" wrapText="1"/>
    </xf>
    <xf numFmtId="0" fontId="14" fillId="18" borderId="1" xfId="0" applyFont="1" applyFill="1" applyBorder="1" applyAlignment="1">
      <alignment horizontal="center" vertical="center" wrapText="1"/>
    </xf>
    <xf numFmtId="0" fontId="55" fillId="6" borderId="1" xfId="0" applyFont="1" applyFill="1" applyBorder="1" applyAlignment="1">
      <alignment horizontal="center" vertical="center" wrapText="1"/>
    </xf>
    <xf numFmtId="171" fontId="55" fillId="14" borderId="2" xfId="1" applyNumberFormat="1" applyFont="1" applyFill="1" applyBorder="1" applyAlignment="1">
      <alignment horizontal="center" vertical="center" wrapText="1"/>
    </xf>
    <xf numFmtId="171" fontId="55" fillId="14" borderId="3" xfId="1" applyNumberFormat="1" applyFont="1" applyFill="1" applyBorder="1" applyAlignment="1">
      <alignment horizontal="center" vertical="center" wrapText="1"/>
    </xf>
    <xf numFmtId="49" fontId="55" fillId="17" borderId="1" xfId="0" applyNumberFormat="1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left" vertical="center" wrapText="1"/>
    </xf>
    <xf numFmtId="0" fontId="67" fillId="14" borderId="2" xfId="0" applyFont="1" applyFill="1" applyBorder="1" applyAlignment="1">
      <alignment horizontal="center" vertical="center" wrapText="1"/>
    </xf>
    <xf numFmtId="0" fontId="67" fillId="14" borderId="3" xfId="0" applyFont="1" applyFill="1" applyBorder="1" applyAlignment="1">
      <alignment horizontal="center" vertical="center" wrapText="1"/>
    </xf>
    <xf numFmtId="0" fontId="55" fillId="25" borderId="2" xfId="0" applyFont="1" applyFill="1" applyBorder="1" applyAlignment="1">
      <alignment horizontal="center" vertical="center" wrapText="1"/>
    </xf>
    <xf numFmtId="0" fontId="55" fillId="25" borderId="3" xfId="0" applyFont="1" applyFill="1" applyBorder="1" applyAlignment="1">
      <alignment horizontal="center" vertical="center" wrapText="1"/>
    </xf>
    <xf numFmtId="0" fontId="55" fillId="5" borderId="2" xfId="0" applyFont="1" applyFill="1" applyBorder="1" applyAlignment="1">
      <alignment horizontal="center" vertical="center" wrapText="1"/>
    </xf>
    <xf numFmtId="0" fontId="55" fillId="5" borderId="3" xfId="0" applyFont="1" applyFill="1" applyBorder="1" applyAlignment="1">
      <alignment horizontal="center" vertical="center" wrapText="1"/>
    </xf>
    <xf numFmtId="0" fontId="55" fillId="4" borderId="2" xfId="0" applyFont="1" applyFill="1" applyBorder="1" applyAlignment="1">
      <alignment horizontal="center" vertical="center" wrapText="1"/>
    </xf>
    <xf numFmtId="0" fontId="55" fillId="4" borderId="3" xfId="0" applyFont="1" applyFill="1" applyBorder="1" applyAlignment="1">
      <alignment horizontal="center" vertical="center" wrapText="1"/>
    </xf>
    <xf numFmtId="0" fontId="66" fillId="25" borderId="2" xfId="0" applyFont="1" applyFill="1" applyBorder="1" applyAlignment="1">
      <alignment horizontal="center" vertical="center" wrapText="1"/>
    </xf>
    <xf numFmtId="0" fontId="66" fillId="25" borderId="3" xfId="0" applyFont="1" applyFill="1" applyBorder="1" applyAlignment="1">
      <alignment horizontal="center" vertical="center" wrapText="1"/>
    </xf>
    <xf numFmtId="49" fontId="55" fillId="18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169" fontId="77" fillId="6" borderId="1" xfId="2" quotePrefix="1" applyNumberFormat="1" applyFont="1" applyFill="1" applyBorder="1" applyAlignment="1">
      <alignment horizontal="center" vertical="center" wrapText="1"/>
    </xf>
    <xf numFmtId="169" fontId="77" fillId="6" borderId="1" xfId="2" applyNumberFormat="1" applyFont="1" applyFill="1" applyBorder="1" applyAlignment="1">
      <alignment horizontal="center" vertical="center" wrapText="1"/>
    </xf>
    <xf numFmtId="169" fontId="77" fillId="0" borderId="1" xfId="2" applyNumberFormat="1" applyFont="1" applyFill="1" applyBorder="1" applyAlignment="1">
      <alignment horizontal="center" vertical="center" wrapText="1"/>
    </xf>
    <xf numFmtId="0" fontId="81" fillId="15" borderId="1" xfId="0" applyFont="1" applyFill="1" applyBorder="1" applyAlignment="1">
      <alignment horizontal="center" vertical="center" wrapText="1"/>
    </xf>
    <xf numFmtId="49" fontId="55" fillId="3" borderId="2" xfId="0" applyNumberFormat="1" applyFont="1" applyFill="1" applyBorder="1" applyAlignment="1">
      <alignment horizontal="center" vertical="center" wrapText="1"/>
    </xf>
    <xf numFmtId="49" fontId="55" fillId="3" borderId="3" xfId="0" applyNumberFormat="1" applyFont="1" applyFill="1" applyBorder="1" applyAlignment="1">
      <alignment horizontal="center" vertical="center" wrapText="1"/>
    </xf>
    <xf numFmtId="0" fontId="55" fillId="17" borderId="1" xfId="0" applyFont="1" applyFill="1" applyBorder="1" applyAlignment="1">
      <alignment horizontal="center" vertical="center"/>
    </xf>
    <xf numFmtId="174" fontId="55" fillId="6" borderId="2" xfId="0" applyNumberFormat="1" applyFont="1" applyFill="1" applyBorder="1" applyAlignment="1">
      <alignment horizontal="center" vertical="center" wrapText="1"/>
    </xf>
    <xf numFmtId="174" fontId="55" fillId="6" borderId="3" xfId="0" applyNumberFormat="1" applyFont="1" applyFill="1" applyBorder="1" applyAlignment="1">
      <alignment horizontal="center" vertical="center" wrapText="1"/>
    </xf>
    <xf numFmtId="169" fontId="77" fillId="13" borderId="1" xfId="2" applyNumberFormat="1" applyFont="1" applyFill="1" applyBorder="1" applyAlignment="1">
      <alignment horizontal="center" vertical="center" wrapText="1"/>
    </xf>
    <xf numFmtId="0" fontId="55" fillId="4" borderId="1" xfId="0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69" fontId="55" fillId="0" borderId="4" xfId="2" applyNumberFormat="1" applyFont="1" applyFill="1" applyBorder="1" applyAlignment="1">
      <alignment horizontal="center" vertical="center"/>
    </xf>
    <xf numFmtId="169" fontId="55" fillId="0" borderId="37" xfId="2" applyNumberFormat="1" applyFont="1" applyFill="1" applyBorder="1" applyAlignment="1">
      <alignment horizontal="center" vertical="center"/>
    </xf>
    <xf numFmtId="169" fontId="55" fillId="0" borderId="35" xfId="2" applyNumberFormat="1" applyFont="1" applyFill="1" applyBorder="1" applyAlignment="1">
      <alignment horizontal="center" vertical="center"/>
    </xf>
    <xf numFmtId="169" fontId="55" fillId="14" borderId="2" xfId="2" applyNumberFormat="1" applyFont="1" applyFill="1" applyBorder="1" applyAlignment="1">
      <alignment horizontal="center" vertical="center" wrapText="1"/>
    </xf>
    <xf numFmtId="169" fontId="55" fillId="14" borderId="3" xfId="2" applyNumberFormat="1" applyFont="1" applyFill="1" applyBorder="1" applyAlignment="1">
      <alignment horizontal="center" vertical="center" wrapText="1"/>
    </xf>
    <xf numFmtId="169" fontId="55" fillId="0" borderId="4" xfId="2" applyNumberFormat="1" applyFont="1" applyFill="1" applyBorder="1" applyAlignment="1">
      <alignment horizontal="center" vertical="center" wrapText="1"/>
    </xf>
    <xf numFmtId="169" fontId="55" fillId="0" borderId="35" xfId="2" applyNumberFormat="1" applyFont="1" applyFill="1" applyBorder="1" applyAlignment="1">
      <alignment horizontal="center" vertical="center" wrapText="1"/>
    </xf>
    <xf numFmtId="169" fontId="55" fillId="0" borderId="1" xfId="2" applyNumberFormat="1" applyFont="1" applyFill="1" applyBorder="1" applyAlignment="1">
      <alignment horizontal="center" vertical="center" wrapText="1"/>
    </xf>
    <xf numFmtId="169" fontId="55" fillId="12" borderId="1" xfId="2" applyNumberFormat="1" applyFont="1" applyFill="1" applyBorder="1" applyAlignment="1">
      <alignment horizontal="center" vertical="center" wrapText="1"/>
    </xf>
    <xf numFmtId="169" fontId="14" fillId="18" borderId="1" xfId="2" applyNumberFormat="1" applyFont="1" applyFill="1" applyBorder="1" applyAlignment="1">
      <alignment horizontal="center" vertical="center" wrapText="1"/>
    </xf>
    <xf numFmtId="0" fontId="81" fillId="6" borderId="1" xfId="0" applyFont="1" applyFill="1" applyBorder="1" applyAlignment="1">
      <alignment horizontal="center" vertical="center" wrapText="1"/>
    </xf>
    <xf numFmtId="0" fontId="35" fillId="0" borderId="16" xfId="7" applyFont="1" applyBorder="1" applyAlignment="1">
      <alignment horizontal="center" vertical="center"/>
    </xf>
    <xf numFmtId="0" fontId="9" fillId="0" borderId="16" xfId="7" applyFont="1" applyBorder="1"/>
    <xf numFmtId="0" fontId="34" fillId="0" borderId="16" xfId="7" applyFont="1" applyBorder="1" applyAlignment="1">
      <alignment horizontal="center" vertical="center"/>
    </xf>
    <xf numFmtId="0" fontId="43" fillId="0" borderId="16" xfId="7" applyFont="1" applyBorder="1" applyAlignment="1">
      <alignment horizontal="center" vertical="center"/>
    </xf>
    <xf numFmtId="0" fontId="44" fillId="0" borderId="16" xfId="7" applyFont="1" applyBorder="1" applyAlignment="1">
      <alignment horizontal="center" vertical="center"/>
    </xf>
    <xf numFmtId="0" fontId="32" fillId="0" borderId="16" xfId="7" applyFont="1" applyBorder="1" applyAlignment="1">
      <alignment horizontal="center" vertical="center"/>
    </xf>
    <xf numFmtId="0" fontId="20" fillId="9" borderId="0" xfId="7" applyFont="1" applyFill="1" applyAlignment="1">
      <alignment horizontal="center" vertical="center"/>
    </xf>
    <xf numFmtId="0" fontId="9" fillId="0" borderId="0" xfId="7" applyFont="1"/>
    <xf numFmtId="0" fontId="25" fillId="0" borderId="0" xfId="7" applyFont="1" applyAlignment="1">
      <alignment horizontal="center" vertical="top"/>
    </xf>
    <xf numFmtId="0" fontId="17" fillId="0" borderId="0" xfId="7"/>
    <xf numFmtId="0" fontId="26" fillId="0" borderId="0" xfId="7" applyFont="1" applyAlignment="1">
      <alignment horizontal="right" vertical="center"/>
    </xf>
    <xf numFmtId="0" fontId="27" fillId="0" borderId="0" xfId="7" applyFont="1" applyAlignment="1">
      <alignment horizontal="left" vertical="center"/>
    </xf>
  </cellXfs>
  <cellStyles count="32">
    <cellStyle name="20% - Accent1 2" xfId="11" xr:uid="{00000000-0005-0000-0000-000000000000}"/>
    <cellStyle name="Chuẩn 2 2" xfId="5" xr:uid="{00000000-0005-0000-0000-000001000000}"/>
    <cellStyle name="Comma" xfId="1" builtinId="3"/>
    <cellStyle name="Comma [0] 2" xfId="23" xr:uid="{00000000-0005-0000-0000-000003000000}"/>
    <cellStyle name="Comma 10" xfId="30" xr:uid="{00000000-0005-0000-0000-000004000000}"/>
    <cellStyle name="Comma 2" xfId="12" xr:uid="{00000000-0005-0000-0000-000005000000}"/>
    <cellStyle name="Comma 3" xfId="2" xr:uid="{00000000-0005-0000-0000-000006000000}"/>
    <cellStyle name="Comma 4" xfId="15" xr:uid="{00000000-0005-0000-0000-000007000000}"/>
    <cellStyle name="Comma 4 2" xfId="22" xr:uid="{00000000-0005-0000-0000-000008000000}"/>
    <cellStyle name="Comma 5" xfId="17" xr:uid="{00000000-0005-0000-0000-000009000000}"/>
    <cellStyle name="Comma 6" xfId="20" xr:uid="{00000000-0005-0000-0000-00000A000000}"/>
    <cellStyle name="Comma 7" xfId="26" xr:uid="{00000000-0005-0000-0000-00000B000000}"/>
    <cellStyle name="Comma 8" xfId="9" xr:uid="{00000000-0005-0000-0000-00000C000000}"/>
    <cellStyle name="Comma 9" xfId="3" xr:uid="{00000000-0005-0000-0000-00000D000000}"/>
    <cellStyle name="Normal" xfId="0" builtinId="0"/>
    <cellStyle name="Normal 2" xfId="7" xr:uid="{00000000-0005-0000-0000-00000F000000}"/>
    <cellStyle name="Normal 2 2" xfId="8" xr:uid="{00000000-0005-0000-0000-000010000000}"/>
    <cellStyle name="Normal 3" xfId="6" xr:uid="{00000000-0005-0000-0000-000011000000}"/>
    <cellStyle name="Normal 3 2" xfId="27" xr:uid="{00000000-0005-0000-0000-000012000000}"/>
    <cellStyle name="Normal 3 3" xfId="31" xr:uid="{B5EDAEE7-5A3C-4DEB-94BB-6E88C5ABD39B}"/>
    <cellStyle name="Normal 4" xfId="10" xr:uid="{00000000-0005-0000-0000-000013000000}"/>
    <cellStyle name="Normal 4 2" xfId="24" xr:uid="{00000000-0005-0000-0000-000014000000}"/>
    <cellStyle name="Normal 4 3" xfId="28" xr:uid="{00000000-0005-0000-0000-000015000000}"/>
    <cellStyle name="Normal 5" xfId="14" xr:uid="{00000000-0005-0000-0000-000016000000}"/>
    <cellStyle name="Normal 5 2" xfId="21" xr:uid="{00000000-0005-0000-0000-000017000000}"/>
    <cellStyle name="Normal 6" xfId="13" xr:uid="{00000000-0005-0000-0000-000018000000}"/>
    <cellStyle name="Normal 7" xfId="16" xr:uid="{00000000-0005-0000-0000-000019000000}"/>
    <cellStyle name="Normal 8" xfId="18" xr:uid="{00000000-0005-0000-0000-00001A000000}"/>
    <cellStyle name="Normal 9" xfId="19" xr:uid="{00000000-0005-0000-0000-00001B000000}"/>
    <cellStyle name="Percent 2" xfId="4" xr:uid="{00000000-0005-0000-0000-00001C000000}"/>
    <cellStyle name="Percent 3" xfId="25" xr:uid="{00000000-0005-0000-0000-00001D000000}"/>
    <cellStyle name="Percent 4" xfId="29" xr:uid="{00000000-0005-0000-0000-00001E000000}"/>
  </cellStyles>
  <dxfs count="21">
    <dxf>
      <font>
        <color rgb="FFFFFF00"/>
      </font>
      <fill>
        <patternFill patternType="solid">
          <fgColor rgb="FFFF00FF"/>
          <bgColor rgb="FFFF00FF"/>
        </patternFill>
      </fill>
    </dxf>
    <dxf>
      <font>
        <color rgb="FFFF00FF"/>
      </font>
      <fill>
        <patternFill patternType="none"/>
      </fill>
    </dxf>
    <dxf>
      <font>
        <color rgb="FFFFFF00"/>
      </font>
      <fill>
        <patternFill patternType="solid">
          <fgColor rgb="FFFF00FF"/>
          <bgColor rgb="FFFF00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57150</xdr:colOff>
      <xdr:row>7</xdr:row>
      <xdr:rowOff>114300</xdr:rowOff>
    </xdr:from>
    <xdr:ext cx="914400" cy="381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/>
      </xdr:nvGrpSpPr>
      <xdr:grpSpPr>
        <a:xfrm>
          <a:off x="4095750" y="266700"/>
          <a:ext cx="914400" cy="38100"/>
          <a:chOff x="4888800" y="3780000"/>
          <a:chExt cx="914400" cy="0"/>
        </a:xfrm>
      </xdr:grpSpPr>
      <xdr:cxnSp macro="">
        <xdr:nvCxnSpPr>
          <xdr:cNvPr id="3" name="Shape 3">
            <a:extLst>
              <a:ext uri="{FF2B5EF4-FFF2-40B4-BE49-F238E27FC236}">
                <a16:creationId xmlns:a16="http://schemas.microsoft.com/office/drawing/2014/main" id="{00000000-0008-0000-0000-000003000000}"/>
              </a:ext>
            </a:extLst>
          </xdr:cNvPr>
          <xdr:cNvCxnSpPr/>
        </xdr:nvCxnSpPr>
        <xdr:spPr>
          <a:xfrm rot="10800000">
            <a:off x="4888800" y="3780000"/>
            <a:ext cx="914400" cy="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</xdr:grpSp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DANH%20SACH%20TAI%20KHOAN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Users/ADMIN/Desktop/T&#224;i%20li&#7879;u/mau-bia-so-sach-ke-toan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H SACH TAI KHOAN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XXXX"/>
      <sheetName val="XXXXXXX0"/>
      <sheetName val="XXXXXXX1"/>
      <sheetName val="Calendar"/>
      <sheetName val="Thong tin"/>
      <sheetName val="Menu"/>
      <sheetName val="Thu-Chi"/>
      <sheetName val="So Sach"/>
      <sheetName val="So Cai"/>
      <sheetName val="So Cai (CTGS)"/>
      <sheetName val="NKC"/>
      <sheetName val="SO DKCTGS"/>
      <sheetName val="NVL"/>
      <sheetName val="SO NKSC"/>
      <sheetName val="NXT"/>
      <sheetName val="Quy Tien Mat"/>
      <sheetName val="Quy Tien Gui"/>
      <sheetName val="Z154"/>
      <sheetName val="Nhatkymay623"/>
      <sheetName val="CCDC"/>
      <sheetName val="BCTC"/>
      <sheetName val="HĐLĐ"/>
      <sheetName val="HĐKT"/>
      <sheetName val="Phiếu xuất kho"/>
      <sheetName val="Phiếu nhập kho"/>
      <sheetName val="Khung bia"/>
    </sheetNames>
    <sheetDataSet>
      <sheetData sheetId="0"/>
      <sheetData sheetId="1"/>
      <sheetData sheetId="2"/>
      <sheetData sheetId="3"/>
      <sheetData sheetId="4">
        <row r="10">
          <cell r="C10">
            <v>44927</v>
          </cell>
        </row>
        <row r="11">
          <cell r="C11">
            <v>45291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baseColWidth="10" defaultColWidth="9" defaultRowHeight="1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65E32-23ED-4BEB-B8CE-FDEF38B0F31F}">
  <sheetPr>
    <tabColor rgb="FFFF0000"/>
    <outlinePr summaryBelow="0"/>
  </sheetPr>
  <dimension ref="A1:EX165"/>
  <sheetViews>
    <sheetView tabSelected="1" zoomScale="50" zoomScaleNormal="60" zoomScaleSheetLayoutView="55" workbookViewId="0">
      <pane xSplit="9" ySplit="7" topLeftCell="DZ8" activePane="bottomRight" state="frozen"/>
      <selection activeCell="A190" sqref="A190:XFD190"/>
      <selection pane="topRight" activeCell="A190" sqref="A190:XFD190"/>
      <selection pane="bottomLeft" activeCell="A190" sqref="A190:XFD190"/>
      <selection pane="bottomRight" activeCell="EG8" sqref="EG8"/>
    </sheetView>
  </sheetViews>
  <sheetFormatPr baseColWidth="10" defaultColWidth="9.19921875" defaultRowHeight="20" outlineLevelCol="2"/>
  <cols>
    <col min="1" max="1" width="17.796875" style="95" customWidth="1"/>
    <col min="2" max="2" width="30.19921875" style="95" customWidth="1"/>
    <col min="3" max="3" width="45.796875" style="94" customWidth="1"/>
    <col min="4" max="4" width="24.3984375" style="100" customWidth="1" outlineLevel="1"/>
    <col min="5" max="5" width="29.19921875" style="100" customWidth="1" outlineLevel="1"/>
    <col min="6" max="6" width="15.3984375" style="100" customWidth="1" outlineLevel="1"/>
    <col min="7" max="7" width="31.796875" style="221" customWidth="1" outlineLevel="1"/>
    <col min="8" max="8" width="13.796875" style="95" customWidth="1"/>
    <col min="9" max="9" width="25.19921875" style="101" customWidth="1"/>
    <col min="10" max="40" width="11.796875" style="1" customWidth="1" outlineLevel="1"/>
    <col min="41" max="43" width="15.796875" style="92" customWidth="1" outlineLevel="1"/>
    <col min="44" max="44" width="14.3984375" style="1" customWidth="1" outlineLevel="1"/>
    <col min="45" max="45" width="14.59765625" style="233" customWidth="1" outlineLevel="1"/>
    <col min="46" max="54" width="13" style="1" customWidth="1" outlineLevel="1"/>
    <col min="55" max="55" width="13" style="102" customWidth="1" outlineLevel="1"/>
    <col min="56" max="59" width="13" style="1" customWidth="1" outlineLevel="1"/>
    <col min="60" max="60" width="15.796875" style="1" customWidth="1" outlineLevel="1"/>
    <col min="61" max="66" width="13" style="1" customWidth="1" outlineLevel="1"/>
    <col min="67" max="67" width="15.19921875" style="1" customWidth="1" outlineLevel="1"/>
    <col min="68" max="73" width="13" style="1" customWidth="1" outlineLevel="1"/>
    <col min="74" max="74" width="15" style="1" customWidth="1" outlineLevel="1"/>
    <col min="75" max="76" width="13" style="1" customWidth="1" outlineLevel="1"/>
    <col min="77" max="83" width="15.59765625" style="136" customWidth="1" outlineLevel="1"/>
    <col min="84" max="84" width="17.59765625" style="147" customWidth="1"/>
    <col min="85" max="85" width="16.59765625" style="136" customWidth="1"/>
    <col min="86" max="86" width="14" style="147" customWidth="1"/>
    <col min="87" max="87" width="15.796875" style="147" customWidth="1"/>
    <col min="88" max="88" width="16.796875" style="136" customWidth="1"/>
    <col min="89" max="93" width="14" style="136" customWidth="1"/>
    <col min="94" max="94" width="14" style="136" customWidth="1" outlineLevel="1"/>
    <col min="95" max="95" width="26.19921875" style="1" customWidth="1" outlineLevel="1"/>
    <col min="96" max="96" width="26.19921875" style="102" customWidth="1" outlineLevel="1"/>
    <col min="97" max="97" width="26.19921875" style="230" customWidth="1" outlineLevel="1"/>
    <col min="98" max="98" width="24.19921875" style="102" customWidth="1" outlineLevel="1"/>
    <col min="99" max="99" width="26" style="136" customWidth="1"/>
    <col min="100" max="100" width="21.796875" style="136" customWidth="1"/>
    <col min="101" max="101" width="21.19921875" style="136" customWidth="1"/>
    <col min="102" max="102" width="18.59765625" style="136" customWidth="1"/>
    <col min="103" max="103" width="16.19921875" style="136" customWidth="1"/>
    <col min="104" max="104" width="18.59765625" style="136" customWidth="1"/>
    <col min="105" max="105" width="20.796875" style="136" customWidth="1"/>
    <col min="106" max="107" width="16.3984375" style="136" customWidth="1"/>
    <col min="108" max="108" width="23.3984375" style="136" customWidth="1"/>
    <col min="109" max="110" width="27.796875" style="211" customWidth="1"/>
    <col min="111" max="111" width="27.796875" style="273" customWidth="1"/>
    <col min="112" max="112" width="25.19921875" style="136" customWidth="1"/>
    <col min="113" max="113" width="22.59765625" style="102" customWidth="1"/>
    <col min="114" max="114" width="24.796875" style="102" customWidth="1"/>
    <col min="115" max="115" width="27.59765625" style="102" customWidth="1"/>
    <col min="116" max="116" width="33.796875" style="102" customWidth="1"/>
    <col min="117" max="119" width="25.796875" style="102" customWidth="1"/>
    <col min="120" max="120" width="20.796875" style="143" customWidth="1"/>
    <col min="121" max="121" width="22.19921875" style="143" customWidth="1"/>
    <col min="122" max="122" width="22.796875" style="143" customWidth="1"/>
    <col min="123" max="123" width="31.796875" style="102" customWidth="1"/>
    <col min="124" max="124" width="26.59765625" style="102" customWidth="1"/>
    <col min="125" max="125" width="24.796875" style="102" customWidth="1" outlineLevel="2"/>
    <col min="126" max="126" width="27.3984375" style="102" customWidth="1" outlineLevel="2"/>
    <col min="127" max="127" width="27.3984375" style="99" customWidth="1" outlineLevel="2"/>
    <col min="128" max="128" width="27.3984375" style="102" customWidth="1" outlineLevel="2"/>
    <col min="129" max="129" width="23.59765625" style="94" customWidth="1" outlineLevel="2"/>
    <col min="130" max="131" width="22.19921875" style="94" customWidth="1" outlineLevel="2"/>
    <col min="132" max="132" width="28.19921875" style="94" customWidth="1" outlineLevel="2"/>
    <col min="133" max="133" width="27.796875" style="94" customWidth="1" outlineLevel="2"/>
    <col min="134" max="134" width="28.796875" style="94" customWidth="1" outlineLevel="2"/>
    <col min="135" max="135" width="29.19921875" style="102" customWidth="1" outlineLevel="2"/>
    <col min="136" max="136" width="21.796875" style="94" customWidth="1" outlineLevel="2"/>
    <col min="137" max="137" width="25.3984375" style="94" customWidth="1" outlineLevel="2"/>
    <col min="138" max="138" width="24.19921875" style="94" customWidth="1" outlineLevel="2"/>
    <col min="139" max="139" width="21.19921875" style="94" customWidth="1" outlineLevel="2"/>
    <col min="140" max="140" width="25" style="94" customWidth="1" outlineLevel="2"/>
    <col min="141" max="141" width="29.19921875" style="95" customWidth="1" outlineLevel="2"/>
    <col min="142" max="142" width="31.59765625" style="95" customWidth="1" outlineLevel="2"/>
    <col min="143" max="144" width="31.59765625" style="95" hidden="1" customWidth="1" outlineLevel="2"/>
    <col min="145" max="145" width="31.59765625" style="95" customWidth="1" outlineLevel="2"/>
    <col min="146" max="146" width="31.59765625" style="238" customWidth="1" outlineLevel="2"/>
    <col min="147" max="147" width="31.59765625" style="239" hidden="1" customWidth="1" outlineLevel="2"/>
    <col min="148" max="148" width="36.3984375" style="95" hidden="1" customWidth="1"/>
    <col min="149" max="149" width="35.796875" style="95" hidden="1" customWidth="1"/>
    <col min="150" max="150" width="35.796875" style="267" hidden="1" customWidth="1"/>
    <col min="151" max="151" width="27.19921875" style="253" hidden="1" customWidth="1"/>
    <col min="152" max="152" width="41.796875" style="255" hidden="1" customWidth="1"/>
    <col min="153" max="153" width="34.796875" style="94" hidden="1" customWidth="1"/>
    <col min="154" max="154" width="28.59765625" style="94" hidden="1" customWidth="1"/>
    <col min="155" max="156" width="0" style="94" hidden="1" customWidth="1"/>
    <col min="157" max="16384" width="9.19921875" style="94"/>
  </cols>
  <sheetData>
    <row r="1" spans="1:154" s="127" customFormat="1" ht="37.5" customHeight="1">
      <c r="A1" s="151"/>
      <c r="B1" s="151"/>
      <c r="C1" s="118"/>
      <c r="D1" s="118"/>
      <c r="E1" s="118"/>
      <c r="F1" s="118"/>
      <c r="G1" s="235"/>
      <c r="H1" s="118"/>
      <c r="I1" s="118"/>
      <c r="J1" s="119"/>
      <c r="K1" s="119"/>
      <c r="L1" s="119"/>
      <c r="M1" s="119"/>
      <c r="N1" s="119"/>
      <c r="O1" s="119"/>
      <c r="P1" s="119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3"/>
      <c r="AH1" s="213"/>
      <c r="AI1" s="213"/>
      <c r="AJ1" s="213"/>
      <c r="AK1" s="213"/>
      <c r="AL1" s="213"/>
      <c r="AM1" s="213"/>
      <c r="AN1" s="213"/>
      <c r="AO1" s="278"/>
      <c r="AP1" s="278"/>
      <c r="AQ1" s="278"/>
      <c r="AR1" s="278"/>
      <c r="AS1" s="278"/>
      <c r="AT1" s="120"/>
      <c r="AU1" s="120"/>
      <c r="AV1" s="120"/>
      <c r="AW1" s="120"/>
      <c r="AX1" s="120"/>
      <c r="AY1" s="120"/>
      <c r="AZ1" s="120"/>
      <c r="BA1" s="120"/>
      <c r="BB1" s="120"/>
      <c r="BC1" s="121"/>
      <c r="BD1" s="120"/>
      <c r="BE1" s="120"/>
      <c r="BF1" s="120"/>
      <c r="BG1" s="120"/>
      <c r="BH1" s="120"/>
      <c r="BI1" s="120"/>
      <c r="BJ1" s="120"/>
      <c r="BK1" s="120"/>
      <c r="BL1" s="120"/>
      <c r="BM1" s="120"/>
      <c r="BN1" s="120"/>
      <c r="BO1" s="120"/>
      <c r="BP1" s="120"/>
      <c r="BQ1" s="120"/>
      <c r="BR1" s="120"/>
      <c r="BS1" s="120"/>
      <c r="BT1" s="120"/>
      <c r="BU1" s="120"/>
      <c r="BV1" s="120"/>
      <c r="BW1" s="120"/>
      <c r="BX1" s="120"/>
      <c r="BY1" s="132"/>
      <c r="BZ1" s="132"/>
      <c r="CA1" s="132"/>
      <c r="CB1" s="132"/>
      <c r="CC1" s="132"/>
      <c r="CD1" s="132"/>
      <c r="CE1" s="132"/>
      <c r="CF1" s="144"/>
      <c r="CG1" s="132"/>
      <c r="CH1" s="144"/>
      <c r="CI1" s="144"/>
      <c r="CJ1" s="132"/>
      <c r="CK1" s="132"/>
      <c r="CL1" s="132"/>
      <c r="CM1" s="132"/>
      <c r="CN1" s="132"/>
      <c r="CO1" s="132"/>
      <c r="CP1" s="137"/>
      <c r="CQ1" s="122"/>
      <c r="CR1" s="122"/>
      <c r="CS1" s="227"/>
      <c r="CT1" s="120"/>
      <c r="CU1" s="142"/>
      <c r="CV1" s="142"/>
      <c r="CW1" s="142"/>
      <c r="CX1" s="142"/>
      <c r="CY1" s="142"/>
      <c r="CZ1" s="142"/>
      <c r="DA1" s="142"/>
      <c r="DB1" s="142"/>
      <c r="DC1" s="142"/>
      <c r="DD1" s="142"/>
      <c r="DE1" s="210"/>
      <c r="DF1" s="210"/>
      <c r="DG1" s="268"/>
      <c r="DH1" s="142"/>
      <c r="DI1" s="120"/>
      <c r="DJ1" s="122"/>
      <c r="DK1" s="121"/>
      <c r="DL1" s="121"/>
      <c r="DM1" s="121"/>
      <c r="DN1" s="121"/>
      <c r="DO1" s="121"/>
      <c r="DP1" s="143"/>
      <c r="DQ1" s="143"/>
      <c r="DR1" s="143"/>
      <c r="DS1" s="217"/>
      <c r="DT1" s="122"/>
      <c r="DU1" s="123"/>
      <c r="DV1" s="124"/>
      <c r="DW1" s="124"/>
      <c r="DX1" s="124"/>
      <c r="DY1" s="125"/>
      <c r="DZ1" s="126"/>
      <c r="EA1" s="123"/>
      <c r="EB1" s="126"/>
      <c r="EE1" s="120"/>
      <c r="EJ1" s="93"/>
      <c r="EK1" s="98"/>
      <c r="EL1" s="98"/>
      <c r="EM1" s="98"/>
      <c r="EN1" s="95"/>
      <c r="EO1" s="95"/>
      <c r="EP1" s="95"/>
      <c r="EQ1" s="95"/>
      <c r="ER1" s="256"/>
      <c r="ES1" s="240"/>
      <c r="ET1" s="263"/>
      <c r="EU1" s="241"/>
      <c r="EV1" s="242"/>
    </row>
    <row r="2" spans="1:154" s="127" customFormat="1" ht="37.5" customHeight="1">
      <c r="A2" s="148"/>
      <c r="B2" s="148"/>
      <c r="C2" s="128"/>
      <c r="D2" s="128"/>
      <c r="E2" s="219"/>
      <c r="F2" s="128"/>
      <c r="G2" s="236"/>
      <c r="H2" s="128"/>
      <c r="I2" s="128"/>
      <c r="J2" s="128"/>
      <c r="K2" s="128"/>
      <c r="L2" s="128"/>
      <c r="M2" s="12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  <c r="AD2" s="148"/>
      <c r="AE2" s="148"/>
      <c r="AF2" s="148"/>
      <c r="AG2" s="148"/>
      <c r="AH2" s="148"/>
      <c r="AI2" s="148"/>
      <c r="AJ2" s="148"/>
      <c r="AK2" s="148"/>
      <c r="AL2" s="148"/>
      <c r="AM2" s="148"/>
      <c r="AN2" s="148"/>
      <c r="AO2" s="148"/>
      <c r="AP2" s="148"/>
      <c r="AQ2" s="148"/>
      <c r="AR2" s="128"/>
      <c r="AS2" s="231"/>
      <c r="AT2" s="128"/>
      <c r="AU2" s="128"/>
      <c r="AV2" s="128"/>
      <c r="AW2" s="128"/>
      <c r="AX2" s="128"/>
      <c r="AY2" s="128"/>
      <c r="AZ2" s="128"/>
      <c r="BA2" s="128"/>
      <c r="BB2" s="128"/>
      <c r="BC2" s="128"/>
      <c r="BD2" s="128"/>
      <c r="BE2" s="128"/>
      <c r="BF2" s="128"/>
      <c r="BG2" s="128"/>
      <c r="BH2" s="128"/>
      <c r="BI2" s="128"/>
      <c r="BJ2" s="128"/>
      <c r="BK2" s="128"/>
      <c r="BL2" s="128"/>
      <c r="BM2" s="128"/>
      <c r="BN2" s="128"/>
      <c r="BO2" s="128"/>
      <c r="BP2" s="128"/>
      <c r="BQ2" s="128"/>
      <c r="BR2" s="128"/>
      <c r="BS2" s="128"/>
      <c r="BT2" s="128"/>
      <c r="BU2" s="128"/>
      <c r="BV2" s="128"/>
      <c r="BW2" s="128"/>
      <c r="BX2" s="128"/>
      <c r="BY2" s="132"/>
      <c r="BZ2" s="132"/>
      <c r="CA2" s="132"/>
      <c r="CB2" s="132"/>
      <c r="CC2" s="132"/>
      <c r="CD2" s="132"/>
      <c r="CE2" s="132"/>
      <c r="CF2" s="145"/>
      <c r="CG2" s="133"/>
      <c r="CH2" s="145"/>
      <c r="CI2" s="145"/>
      <c r="CJ2" s="133"/>
      <c r="CK2" s="133"/>
      <c r="CL2" s="133"/>
      <c r="CM2" s="133"/>
      <c r="CN2" s="133"/>
      <c r="CO2" s="133"/>
      <c r="CP2" s="138"/>
      <c r="CQ2" s="128"/>
      <c r="CR2" s="128"/>
      <c r="CS2" s="228"/>
      <c r="CT2" s="128"/>
      <c r="CU2" s="133"/>
      <c r="CV2" s="133"/>
      <c r="CW2" s="133"/>
      <c r="CX2" s="133"/>
      <c r="CY2" s="133"/>
      <c r="CZ2" s="133"/>
      <c r="DA2" s="133"/>
      <c r="DB2" s="133"/>
      <c r="DC2" s="133"/>
      <c r="DD2" s="133"/>
      <c r="DE2" s="133"/>
      <c r="DF2" s="133"/>
      <c r="DG2" s="269"/>
      <c r="DH2" s="133"/>
      <c r="DI2" s="128"/>
      <c r="DJ2" s="128"/>
      <c r="DK2" s="148"/>
      <c r="DL2" s="148"/>
      <c r="DM2" s="148"/>
      <c r="DN2" s="148"/>
      <c r="DO2" s="148"/>
      <c r="DP2" s="209"/>
      <c r="DQ2" s="209"/>
      <c r="DR2" s="209"/>
      <c r="DS2" s="208"/>
      <c r="DT2" s="128"/>
      <c r="DU2" s="123"/>
      <c r="DV2" s="124"/>
      <c r="DW2" s="124"/>
      <c r="DX2" s="124"/>
      <c r="DY2" s="125"/>
      <c r="DZ2" s="126"/>
      <c r="EA2" s="123"/>
      <c r="EB2" s="126"/>
      <c r="EE2" s="120"/>
      <c r="EJ2" s="93"/>
      <c r="EK2" s="98"/>
      <c r="EL2" s="243"/>
      <c r="EM2" s="95"/>
      <c r="EN2" s="95"/>
      <c r="EO2" s="95"/>
      <c r="EP2" s="95"/>
      <c r="EQ2" s="95"/>
      <c r="ER2" s="256"/>
      <c r="ES2" s="240"/>
      <c r="ET2" s="263"/>
      <c r="EU2" s="241"/>
      <c r="EV2" s="242"/>
    </row>
    <row r="3" spans="1:154" s="127" customFormat="1" ht="37.5" customHeight="1">
      <c r="A3" s="148" t="s">
        <v>126</v>
      </c>
      <c r="B3" s="148"/>
      <c r="C3" s="128"/>
      <c r="D3" s="128"/>
      <c r="E3" s="219"/>
      <c r="F3" s="128"/>
      <c r="G3" s="236"/>
      <c r="H3" s="128"/>
      <c r="I3" s="128"/>
      <c r="J3" s="128"/>
      <c r="K3" s="128"/>
      <c r="L3" s="128"/>
      <c r="M3" s="12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148"/>
      <c r="Z3" s="148"/>
      <c r="AA3" s="148"/>
      <c r="AB3" s="148"/>
      <c r="AC3" s="148"/>
      <c r="AD3" s="148"/>
      <c r="AE3" s="148"/>
      <c r="AF3" s="148"/>
      <c r="AG3" s="148"/>
      <c r="AH3" s="148"/>
      <c r="AI3" s="148"/>
      <c r="AJ3" s="148"/>
      <c r="AK3" s="148"/>
      <c r="AL3" s="148"/>
      <c r="AM3" s="148"/>
      <c r="AN3" s="148"/>
      <c r="AO3" s="148"/>
      <c r="AP3" s="148"/>
      <c r="AQ3" s="148"/>
      <c r="AR3" s="128"/>
      <c r="AS3" s="231"/>
      <c r="AT3" s="128"/>
      <c r="AU3" s="128"/>
      <c r="AV3" s="128"/>
      <c r="AW3" s="128"/>
      <c r="AX3" s="128"/>
      <c r="AY3" s="128"/>
      <c r="AZ3" s="128"/>
      <c r="BA3" s="128"/>
      <c r="BB3" s="128"/>
      <c r="BC3" s="128"/>
      <c r="BD3" s="128"/>
      <c r="BE3" s="128"/>
      <c r="BF3" s="128"/>
      <c r="BG3" s="128"/>
      <c r="BH3" s="128"/>
      <c r="BI3" s="128"/>
      <c r="BJ3" s="128"/>
      <c r="BK3" s="128"/>
      <c r="BL3" s="128"/>
      <c r="BM3" s="128"/>
      <c r="BN3" s="128"/>
      <c r="BO3" s="128"/>
      <c r="BP3" s="128"/>
      <c r="BQ3" s="128"/>
      <c r="BR3" s="128"/>
      <c r="BS3" s="128"/>
      <c r="BT3" s="128"/>
      <c r="BU3" s="128"/>
      <c r="BV3" s="128"/>
      <c r="BW3" s="128"/>
      <c r="BX3" s="128"/>
      <c r="BY3" s="133"/>
      <c r="BZ3" s="133"/>
      <c r="CA3" s="133"/>
      <c r="CB3" s="134"/>
      <c r="CC3" s="134"/>
      <c r="CD3" s="133"/>
      <c r="CE3" s="133"/>
      <c r="CF3" s="146"/>
      <c r="CG3" s="135"/>
      <c r="CH3" s="146"/>
      <c r="CI3" s="146"/>
      <c r="CJ3" s="135"/>
      <c r="CK3" s="135"/>
      <c r="CL3" s="135"/>
      <c r="CM3" s="135"/>
      <c r="CN3" s="135"/>
      <c r="CO3" s="139"/>
      <c r="CP3" s="140"/>
      <c r="CQ3" s="128"/>
      <c r="CR3" s="128"/>
      <c r="CS3" s="228"/>
      <c r="CT3" s="128"/>
      <c r="CU3" s="140"/>
      <c r="CV3" s="140"/>
      <c r="CW3" s="140"/>
      <c r="CX3" s="140"/>
      <c r="CY3" s="140"/>
      <c r="CZ3" s="140"/>
      <c r="DA3" s="140"/>
      <c r="DB3" s="140"/>
      <c r="DC3" s="140"/>
      <c r="DD3" s="140"/>
      <c r="DE3" s="140"/>
      <c r="DF3" s="140"/>
      <c r="DG3" s="270"/>
      <c r="DH3" s="140"/>
      <c r="DI3" s="128"/>
      <c r="DJ3" s="128"/>
      <c r="DK3" s="148"/>
      <c r="DL3" s="148"/>
      <c r="DM3" s="148"/>
      <c r="DN3" s="148"/>
      <c r="DO3" s="148"/>
      <c r="DP3" s="209"/>
      <c r="DQ3" s="209"/>
      <c r="DR3" s="209"/>
      <c r="DS3" s="208"/>
      <c r="DT3" s="128"/>
      <c r="DU3" s="128"/>
      <c r="DV3" s="128"/>
      <c r="DW3" s="129"/>
      <c r="DX3" s="128"/>
      <c r="DY3" s="130"/>
      <c r="DZ3" s="130"/>
      <c r="EA3" s="130"/>
      <c r="EC3" s="131"/>
      <c r="ED3" s="131"/>
      <c r="EE3" s="120"/>
      <c r="EJ3" s="93"/>
      <c r="EK3" s="98"/>
      <c r="EL3" s="98"/>
      <c r="EM3" s="98"/>
      <c r="EN3" s="95"/>
      <c r="EO3" s="95"/>
      <c r="EP3" s="95"/>
      <c r="EQ3" s="95"/>
      <c r="ER3" s="256"/>
      <c r="ES3" s="240"/>
      <c r="ET3" s="263"/>
      <c r="EU3" s="241"/>
      <c r="EV3" s="242"/>
    </row>
    <row r="4" spans="1:154" s="105" customFormat="1" ht="63" customHeight="1">
      <c r="A4" s="207"/>
      <c r="B4" s="207"/>
      <c r="C4" s="107"/>
      <c r="D4" s="107"/>
      <c r="E4" s="234" t="s">
        <v>76</v>
      </c>
      <c r="F4" s="275"/>
      <c r="G4" s="237"/>
      <c r="H4" s="108"/>
      <c r="I4" s="274"/>
      <c r="J4" s="279" t="s">
        <v>68</v>
      </c>
      <c r="K4" s="279"/>
      <c r="L4" s="276">
        <v>3</v>
      </c>
      <c r="M4" s="276"/>
      <c r="N4" s="277" t="s">
        <v>69</v>
      </c>
      <c r="O4" s="277"/>
      <c r="P4" s="277">
        <v>2026</v>
      </c>
      <c r="Q4" s="277"/>
      <c r="R4" s="109"/>
      <c r="S4" s="279"/>
      <c r="T4" s="279"/>
      <c r="U4" s="279"/>
      <c r="V4" s="109"/>
      <c r="W4" s="279"/>
      <c r="X4" s="279"/>
      <c r="Y4" s="279"/>
      <c r="Z4" s="279"/>
      <c r="AA4" s="279"/>
      <c r="AB4" s="279"/>
      <c r="AC4" s="279"/>
      <c r="AD4" s="279"/>
      <c r="AE4" s="109"/>
      <c r="AF4" s="110"/>
      <c r="AG4" s="279"/>
      <c r="AH4" s="279"/>
      <c r="AI4" s="279"/>
      <c r="AJ4" s="109"/>
      <c r="AK4" s="109"/>
      <c r="AL4" s="109"/>
      <c r="AM4" s="111"/>
      <c r="AN4" s="112"/>
      <c r="AO4" s="113"/>
      <c r="AP4" s="113"/>
      <c r="AQ4" s="113"/>
      <c r="AR4" s="223"/>
      <c r="AS4" s="232"/>
      <c r="AT4" s="279" t="s">
        <v>68</v>
      </c>
      <c r="AU4" s="279"/>
      <c r="AV4" s="276">
        <f>L4</f>
        <v>3</v>
      </c>
      <c r="AW4" s="276"/>
      <c r="AX4" s="277" t="s">
        <v>69</v>
      </c>
      <c r="AY4" s="277"/>
      <c r="AZ4" s="277">
        <f>P4</f>
        <v>2026</v>
      </c>
      <c r="BA4" s="277"/>
      <c r="BB4" s="109"/>
      <c r="BC4" s="279"/>
      <c r="BD4" s="279"/>
      <c r="BE4" s="279"/>
      <c r="BF4" s="109"/>
      <c r="BG4" s="279"/>
      <c r="BH4" s="279"/>
      <c r="BI4" s="279"/>
      <c r="BJ4" s="279"/>
      <c r="BK4" s="279"/>
      <c r="BL4" s="279"/>
      <c r="BM4" s="279"/>
      <c r="BN4" s="279"/>
      <c r="BO4" s="109"/>
      <c r="BP4" s="110"/>
      <c r="BQ4" s="279"/>
      <c r="BR4" s="279"/>
      <c r="BS4" s="279"/>
      <c r="BT4" s="114"/>
      <c r="BU4" s="114" t="str">
        <f>IF(WEEKDAY(BU5,1)=1,"CN","")</f>
        <v/>
      </c>
      <c r="BV4" s="114"/>
      <c r="BW4" s="114"/>
      <c r="BX4" s="114" t="str">
        <f>IF(WEEKDAY(BX5,1)=1,"CN","")</f>
        <v/>
      </c>
      <c r="BY4" s="214"/>
      <c r="BZ4" s="214"/>
      <c r="CA4" s="214"/>
      <c r="CB4" s="214"/>
      <c r="CC4" s="214"/>
      <c r="CD4" s="214"/>
      <c r="CE4" s="214"/>
      <c r="CF4" s="215"/>
      <c r="CG4" s="141"/>
      <c r="CH4" s="215"/>
      <c r="CI4" s="215"/>
      <c r="CJ4" s="141"/>
      <c r="CK4" s="141"/>
      <c r="CL4" s="141"/>
      <c r="CM4" s="141"/>
      <c r="CN4" s="141"/>
      <c r="CO4" s="141"/>
      <c r="CP4" s="141"/>
      <c r="CQ4" s="115"/>
      <c r="CR4" s="115"/>
      <c r="CS4" s="229"/>
      <c r="CT4" s="115"/>
      <c r="CU4" s="141"/>
      <c r="CV4" s="141"/>
      <c r="CW4" s="141"/>
      <c r="CX4" s="141"/>
      <c r="CY4" s="141"/>
      <c r="CZ4" s="141"/>
      <c r="DA4" s="141"/>
      <c r="DB4" s="141"/>
      <c r="DC4" s="141"/>
      <c r="DD4" s="141"/>
      <c r="DE4" s="141"/>
      <c r="DF4" s="141"/>
      <c r="DG4" s="271"/>
      <c r="DH4" s="141"/>
      <c r="DI4" s="115"/>
      <c r="DJ4" s="115"/>
      <c r="DK4" s="149"/>
      <c r="DL4" s="149"/>
      <c r="DM4" s="149"/>
      <c r="DN4" s="149"/>
      <c r="DO4" s="149"/>
      <c r="DP4" s="216"/>
      <c r="DQ4" s="216"/>
      <c r="DR4" s="216"/>
      <c r="DS4" s="218"/>
      <c r="DT4" s="115"/>
      <c r="DU4" s="115"/>
      <c r="DV4" s="115"/>
      <c r="DW4" s="115"/>
      <c r="DX4" s="115"/>
      <c r="DY4" s="116"/>
      <c r="DZ4" s="117"/>
      <c r="EA4" s="103"/>
      <c r="EB4" s="115"/>
      <c r="EE4" s="104"/>
      <c r="EJ4" s="93"/>
      <c r="EK4" s="98"/>
      <c r="EL4" s="98"/>
      <c r="EM4" s="98"/>
      <c r="EN4" s="95"/>
      <c r="EO4" s="95"/>
      <c r="EP4" s="95"/>
      <c r="EQ4" s="95"/>
      <c r="ER4" s="257"/>
      <c r="ES4" s="244"/>
      <c r="ET4" s="264"/>
      <c r="EU4" s="245"/>
      <c r="EV4" s="246"/>
    </row>
    <row r="5" spans="1:154" s="184" customFormat="1" ht="92.25" customHeight="1">
      <c r="A5" s="280" t="s">
        <v>0</v>
      </c>
      <c r="B5" s="281" t="s">
        <v>2</v>
      </c>
      <c r="C5" s="280" t="s">
        <v>1</v>
      </c>
      <c r="D5" s="282" t="s">
        <v>77</v>
      </c>
      <c r="E5" s="283" t="s">
        <v>122</v>
      </c>
      <c r="F5" s="280" t="s">
        <v>75</v>
      </c>
      <c r="G5" s="280" t="s">
        <v>70</v>
      </c>
      <c r="H5" s="280" t="s">
        <v>3</v>
      </c>
      <c r="I5" s="285" t="s">
        <v>4</v>
      </c>
      <c r="J5" s="175">
        <f>+DATE(P4,L4,1)</f>
        <v>46082</v>
      </c>
      <c r="K5" s="175">
        <f t="shared" ref="K5:AN5" si="0">J5+1</f>
        <v>46083</v>
      </c>
      <c r="L5" s="175">
        <f t="shared" si="0"/>
        <v>46084</v>
      </c>
      <c r="M5" s="176">
        <f t="shared" si="0"/>
        <v>46085</v>
      </c>
      <c r="N5" s="176">
        <f t="shared" si="0"/>
        <v>46086</v>
      </c>
      <c r="O5" s="176">
        <f t="shared" si="0"/>
        <v>46087</v>
      </c>
      <c r="P5" s="176">
        <f t="shared" si="0"/>
        <v>46088</v>
      </c>
      <c r="Q5" s="176">
        <f t="shared" si="0"/>
        <v>46089</v>
      </c>
      <c r="R5" s="176">
        <f t="shared" si="0"/>
        <v>46090</v>
      </c>
      <c r="S5" s="176">
        <f t="shared" si="0"/>
        <v>46091</v>
      </c>
      <c r="T5" s="176">
        <f t="shared" si="0"/>
        <v>46092</v>
      </c>
      <c r="U5" s="176">
        <f t="shared" si="0"/>
        <v>46093</v>
      </c>
      <c r="V5" s="176">
        <f t="shared" si="0"/>
        <v>46094</v>
      </c>
      <c r="W5" s="176">
        <f t="shared" si="0"/>
        <v>46095</v>
      </c>
      <c r="X5" s="176">
        <f t="shared" si="0"/>
        <v>46096</v>
      </c>
      <c r="Y5" s="176">
        <f t="shared" si="0"/>
        <v>46097</v>
      </c>
      <c r="Z5" s="176">
        <f t="shared" si="0"/>
        <v>46098</v>
      </c>
      <c r="AA5" s="176">
        <f t="shared" si="0"/>
        <v>46099</v>
      </c>
      <c r="AB5" s="176">
        <f t="shared" si="0"/>
        <v>46100</v>
      </c>
      <c r="AC5" s="176">
        <f t="shared" si="0"/>
        <v>46101</v>
      </c>
      <c r="AD5" s="176">
        <f t="shared" si="0"/>
        <v>46102</v>
      </c>
      <c r="AE5" s="176">
        <f t="shared" si="0"/>
        <v>46103</v>
      </c>
      <c r="AF5" s="177">
        <f t="shared" si="0"/>
        <v>46104</v>
      </c>
      <c r="AG5" s="177">
        <f t="shared" si="0"/>
        <v>46105</v>
      </c>
      <c r="AH5" s="177">
        <f t="shared" si="0"/>
        <v>46106</v>
      </c>
      <c r="AI5" s="177">
        <f t="shared" si="0"/>
        <v>46107</v>
      </c>
      <c r="AJ5" s="177">
        <f t="shared" si="0"/>
        <v>46108</v>
      </c>
      <c r="AK5" s="177">
        <f t="shared" si="0"/>
        <v>46109</v>
      </c>
      <c r="AL5" s="177">
        <f t="shared" si="0"/>
        <v>46110</v>
      </c>
      <c r="AM5" s="177">
        <f t="shared" si="0"/>
        <v>46111</v>
      </c>
      <c r="AN5" s="177">
        <f t="shared" si="0"/>
        <v>46112</v>
      </c>
      <c r="AO5" s="286" t="s">
        <v>82</v>
      </c>
      <c r="AP5" s="286" t="s">
        <v>83</v>
      </c>
      <c r="AQ5" s="286" t="s">
        <v>84</v>
      </c>
      <c r="AR5" s="287" t="s">
        <v>5</v>
      </c>
      <c r="AS5" s="287" t="s">
        <v>6</v>
      </c>
      <c r="AT5" s="179">
        <f>+J5</f>
        <v>46082</v>
      </c>
      <c r="AU5" s="179">
        <f t="shared" ref="AU5:BX5" si="1">+AT5+1</f>
        <v>46083</v>
      </c>
      <c r="AV5" s="179">
        <f t="shared" si="1"/>
        <v>46084</v>
      </c>
      <c r="AW5" s="179">
        <f t="shared" si="1"/>
        <v>46085</v>
      </c>
      <c r="AX5" s="179">
        <f t="shared" si="1"/>
        <v>46086</v>
      </c>
      <c r="AY5" s="179">
        <f t="shared" si="1"/>
        <v>46087</v>
      </c>
      <c r="AZ5" s="179">
        <f t="shared" si="1"/>
        <v>46088</v>
      </c>
      <c r="BA5" s="179">
        <f t="shared" si="1"/>
        <v>46089</v>
      </c>
      <c r="BB5" s="179">
        <f t="shared" si="1"/>
        <v>46090</v>
      </c>
      <c r="BC5" s="180">
        <f t="shared" si="1"/>
        <v>46091</v>
      </c>
      <c r="BD5" s="179">
        <f t="shared" si="1"/>
        <v>46092</v>
      </c>
      <c r="BE5" s="179">
        <f t="shared" si="1"/>
        <v>46093</v>
      </c>
      <c r="BF5" s="179">
        <f t="shared" si="1"/>
        <v>46094</v>
      </c>
      <c r="BG5" s="179">
        <f t="shared" si="1"/>
        <v>46095</v>
      </c>
      <c r="BH5" s="179">
        <f t="shared" si="1"/>
        <v>46096</v>
      </c>
      <c r="BI5" s="179">
        <f t="shared" si="1"/>
        <v>46097</v>
      </c>
      <c r="BJ5" s="179">
        <f t="shared" si="1"/>
        <v>46098</v>
      </c>
      <c r="BK5" s="179">
        <f t="shared" si="1"/>
        <v>46099</v>
      </c>
      <c r="BL5" s="179">
        <f t="shared" si="1"/>
        <v>46100</v>
      </c>
      <c r="BM5" s="179">
        <f t="shared" si="1"/>
        <v>46101</v>
      </c>
      <c r="BN5" s="179">
        <f t="shared" si="1"/>
        <v>46102</v>
      </c>
      <c r="BO5" s="179">
        <f t="shared" si="1"/>
        <v>46103</v>
      </c>
      <c r="BP5" s="179">
        <f t="shared" si="1"/>
        <v>46104</v>
      </c>
      <c r="BQ5" s="179">
        <f t="shared" si="1"/>
        <v>46105</v>
      </c>
      <c r="BR5" s="179">
        <f t="shared" si="1"/>
        <v>46106</v>
      </c>
      <c r="BS5" s="179">
        <f t="shared" si="1"/>
        <v>46107</v>
      </c>
      <c r="BT5" s="179">
        <f t="shared" si="1"/>
        <v>46108</v>
      </c>
      <c r="BU5" s="179">
        <f t="shared" si="1"/>
        <v>46109</v>
      </c>
      <c r="BV5" s="179">
        <f t="shared" si="1"/>
        <v>46110</v>
      </c>
      <c r="BW5" s="179">
        <f t="shared" si="1"/>
        <v>46111</v>
      </c>
      <c r="BX5" s="179">
        <f t="shared" si="1"/>
        <v>46112</v>
      </c>
      <c r="BY5" s="311" t="s">
        <v>86</v>
      </c>
      <c r="BZ5" s="311" t="s">
        <v>87</v>
      </c>
      <c r="CA5" s="311" t="s">
        <v>88</v>
      </c>
      <c r="CB5" s="311" t="s">
        <v>89</v>
      </c>
      <c r="CC5" s="311" t="s">
        <v>90</v>
      </c>
      <c r="CD5" s="311" t="s">
        <v>91</v>
      </c>
      <c r="CE5" s="311" t="s">
        <v>92</v>
      </c>
      <c r="CF5" s="310" t="s">
        <v>19</v>
      </c>
      <c r="CG5" s="310"/>
      <c r="CH5" s="310"/>
      <c r="CI5" s="310"/>
      <c r="CJ5" s="310"/>
      <c r="CK5" s="310"/>
      <c r="CL5" s="310"/>
      <c r="CM5" s="310"/>
      <c r="CN5" s="310"/>
      <c r="CO5" s="310"/>
      <c r="CP5" s="310"/>
      <c r="CQ5" s="316" t="s">
        <v>59</v>
      </c>
      <c r="CR5" s="317"/>
      <c r="CS5" s="318"/>
      <c r="CT5" s="323" t="s">
        <v>60</v>
      </c>
      <c r="CU5" s="260" t="s">
        <v>103</v>
      </c>
      <c r="CV5" s="261"/>
      <c r="CW5" s="261"/>
      <c r="CX5" s="261"/>
      <c r="CY5" s="261"/>
      <c r="CZ5" s="261"/>
      <c r="DA5" s="261"/>
      <c r="DB5" s="261"/>
      <c r="DC5" s="261"/>
      <c r="DD5" s="262" t="s">
        <v>129</v>
      </c>
      <c r="DE5" s="262" t="s">
        <v>129</v>
      </c>
      <c r="DF5" s="258" t="s">
        <v>130</v>
      </c>
      <c r="DG5" s="319" t="s">
        <v>119</v>
      </c>
      <c r="DH5" s="324" t="s">
        <v>113</v>
      </c>
      <c r="DI5" s="321" t="s">
        <v>81</v>
      </c>
      <c r="DJ5" s="322"/>
      <c r="DK5" s="305" t="s">
        <v>61</v>
      </c>
      <c r="DL5" s="313" t="s">
        <v>8</v>
      </c>
      <c r="DM5" s="306" t="s">
        <v>71</v>
      </c>
      <c r="DN5" s="306"/>
      <c r="DO5" s="306"/>
      <c r="DP5" s="306"/>
      <c r="DQ5" s="306"/>
      <c r="DR5" s="306"/>
      <c r="DS5" s="325" t="s">
        <v>12</v>
      </c>
      <c r="DT5" s="306" t="s">
        <v>128</v>
      </c>
      <c r="DU5" s="281" t="s">
        <v>13</v>
      </c>
      <c r="DV5" s="314" t="s">
        <v>64</v>
      </c>
      <c r="DW5" s="315"/>
      <c r="DX5" s="314"/>
      <c r="DY5" s="303" t="s">
        <v>63</v>
      </c>
      <c r="DZ5" s="303"/>
      <c r="EA5" s="303"/>
      <c r="EB5" s="303"/>
      <c r="EC5" s="304" t="s">
        <v>131</v>
      </c>
      <c r="ED5" s="306" t="s">
        <v>7</v>
      </c>
      <c r="EE5" s="307" t="s">
        <v>65</v>
      </c>
      <c r="EF5" s="307"/>
      <c r="EG5" s="307" t="s">
        <v>66</v>
      </c>
      <c r="EH5" s="307" t="s">
        <v>67</v>
      </c>
      <c r="EI5" s="307" t="s">
        <v>72</v>
      </c>
      <c r="EJ5" s="326" t="s">
        <v>78</v>
      </c>
      <c r="EK5" s="326" t="s">
        <v>80</v>
      </c>
      <c r="EL5" s="326" t="s">
        <v>79</v>
      </c>
      <c r="EM5" s="292" t="s">
        <v>127</v>
      </c>
      <c r="EN5" s="294"/>
      <c r="EO5" s="296" t="s">
        <v>132</v>
      </c>
      <c r="EP5" s="298" t="s">
        <v>118</v>
      </c>
      <c r="EQ5" s="300" t="s">
        <v>133</v>
      </c>
      <c r="ER5" s="302" t="s">
        <v>125</v>
      </c>
      <c r="ES5" s="302" t="s">
        <v>124</v>
      </c>
      <c r="ET5" s="308" t="s">
        <v>120</v>
      </c>
      <c r="EU5" s="288" t="s">
        <v>123</v>
      </c>
      <c r="EV5" s="290" t="s">
        <v>121</v>
      </c>
    </row>
    <row r="6" spans="1:154" s="206" customFormat="1" ht="148.5" customHeight="1">
      <c r="A6" s="280"/>
      <c r="B6" s="281"/>
      <c r="C6" s="280"/>
      <c r="D6" s="282"/>
      <c r="E6" s="284"/>
      <c r="F6" s="280"/>
      <c r="G6" s="280"/>
      <c r="H6" s="280"/>
      <c r="I6" s="285"/>
      <c r="J6" s="185" t="str">
        <f t="shared" ref="J6:AN6" si="2">IF(WEEKDAY(J5)=1,"CN",WEEKDAY(J5))</f>
        <v>CN</v>
      </c>
      <c r="K6" s="185">
        <f t="shared" si="2"/>
        <v>2</v>
      </c>
      <c r="L6" s="185">
        <f t="shared" si="2"/>
        <v>3</v>
      </c>
      <c r="M6" s="186">
        <f t="shared" si="2"/>
        <v>4</v>
      </c>
      <c r="N6" s="186">
        <f t="shared" si="2"/>
        <v>5</v>
      </c>
      <c r="O6" s="186">
        <f t="shared" si="2"/>
        <v>6</v>
      </c>
      <c r="P6" s="186">
        <f t="shared" si="2"/>
        <v>7</v>
      </c>
      <c r="Q6" s="186" t="str">
        <f t="shared" si="2"/>
        <v>CN</v>
      </c>
      <c r="R6" s="186">
        <f t="shared" si="2"/>
        <v>2</v>
      </c>
      <c r="S6" s="186">
        <f t="shared" si="2"/>
        <v>3</v>
      </c>
      <c r="T6" s="186">
        <f t="shared" si="2"/>
        <v>4</v>
      </c>
      <c r="U6" s="186">
        <f t="shared" si="2"/>
        <v>5</v>
      </c>
      <c r="V6" s="186">
        <f t="shared" si="2"/>
        <v>6</v>
      </c>
      <c r="W6" s="186">
        <f t="shared" si="2"/>
        <v>7</v>
      </c>
      <c r="X6" s="186" t="str">
        <f t="shared" si="2"/>
        <v>CN</v>
      </c>
      <c r="Y6" s="186">
        <f t="shared" si="2"/>
        <v>2</v>
      </c>
      <c r="Z6" s="186">
        <f t="shared" si="2"/>
        <v>3</v>
      </c>
      <c r="AA6" s="186">
        <f t="shared" si="2"/>
        <v>4</v>
      </c>
      <c r="AB6" s="186">
        <f t="shared" si="2"/>
        <v>5</v>
      </c>
      <c r="AC6" s="186">
        <f t="shared" si="2"/>
        <v>6</v>
      </c>
      <c r="AD6" s="186">
        <f t="shared" si="2"/>
        <v>7</v>
      </c>
      <c r="AE6" s="186" t="str">
        <f t="shared" si="2"/>
        <v>CN</v>
      </c>
      <c r="AF6" s="186">
        <f t="shared" si="2"/>
        <v>2</v>
      </c>
      <c r="AG6" s="186">
        <f t="shared" si="2"/>
        <v>3</v>
      </c>
      <c r="AH6" s="186">
        <f t="shared" si="2"/>
        <v>4</v>
      </c>
      <c r="AI6" s="186">
        <f t="shared" si="2"/>
        <v>5</v>
      </c>
      <c r="AJ6" s="186">
        <f t="shared" si="2"/>
        <v>6</v>
      </c>
      <c r="AK6" s="186">
        <f t="shared" si="2"/>
        <v>7</v>
      </c>
      <c r="AL6" s="186" t="str">
        <f t="shared" si="2"/>
        <v>CN</v>
      </c>
      <c r="AM6" s="186">
        <f t="shared" si="2"/>
        <v>2</v>
      </c>
      <c r="AN6" s="186">
        <f t="shared" si="2"/>
        <v>3</v>
      </c>
      <c r="AO6" s="286"/>
      <c r="AP6" s="286"/>
      <c r="AQ6" s="286"/>
      <c r="AR6" s="287"/>
      <c r="AS6" s="287"/>
      <c r="AT6" s="187" t="str">
        <f>+J6</f>
        <v>CN</v>
      </c>
      <c r="AU6" s="187">
        <f t="shared" ref="AU6:BX6" si="3">+K6</f>
        <v>2</v>
      </c>
      <c r="AV6" s="187">
        <f t="shared" si="3"/>
        <v>3</v>
      </c>
      <c r="AW6" s="187">
        <f t="shared" si="3"/>
        <v>4</v>
      </c>
      <c r="AX6" s="187">
        <f t="shared" si="3"/>
        <v>5</v>
      </c>
      <c r="AY6" s="187">
        <f t="shared" si="3"/>
        <v>6</v>
      </c>
      <c r="AZ6" s="187">
        <f t="shared" si="3"/>
        <v>7</v>
      </c>
      <c r="BA6" s="187" t="str">
        <f t="shared" si="3"/>
        <v>CN</v>
      </c>
      <c r="BB6" s="187">
        <f t="shared" si="3"/>
        <v>2</v>
      </c>
      <c r="BC6" s="188">
        <f t="shared" si="3"/>
        <v>3</v>
      </c>
      <c r="BD6" s="187">
        <f t="shared" si="3"/>
        <v>4</v>
      </c>
      <c r="BE6" s="187">
        <f t="shared" si="3"/>
        <v>5</v>
      </c>
      <c r="BF6" s="187">
        <f t="shared" si="3"/>
        <v>6</v>
      </c>
      <c r="BG6" s="187">
        <f t="shared" si="3"/>
        <v>7</v>
      </c>
      <c r="BH6" s="187" t="str">
        <f t="shared" si="3"/>
        <v>CN</v>
      </c>
      <c r="BI6" s="187">
        <f t="shared" si="3"/>
        <v>2</v>
      </c>
      <c r="BJ6" s="187">
        <f t="shared" si="3"/>
        <v>3</v>
      </c>
      <c r="BK6" s="187">
        <f t="shared" si="3"/>
        <v>4</v>
      </c>
      <c r="BL6" s="187">
        <f t="shared" si="3"/>
        <v>5</v>
      </c>
      <c r="BM6" s="187">
        <f t="shared" si="3"/>
        <v>6</v>
      </c>
      <c r="BN6" s="187">
        <f t="shared" si="3"/>
        <v>7</v>
      </c>
      <c r="BO6" s="187" t="str">
        <f t="shared" si="3"/>
        <v>CN</v>
      </c>
      <c r="BP6" s="187">
        <f t="shared" si="3"/>
        <v>2</v>
      </c>
      <c r="BQ6" s="187">
        <f t="shared" si="3"/>
        <v>3</v>
      </c>
      <c r="BR6" s="187">
        <f t="shared" si="3"/>
        <v>4</v>
      </c>
      <c r="BS6" s="187">
        <f t="shared" si="3"/>
        <v>5</v>
      </c>
      <c r="BT6" s="187">
        <f t="shared" si="3"/>
        <v>6</v>
      </c>
      <c r="BU6" s="187">
        <f t="shared" si="3"/>
        <v>7</v>
      </c>
      <c r="BV6" s="187" t="str">
        <f t="shared" si="3"/>
        <v>CN</v>
      </c>
      <c r="BW6" s="187">
        <f t="shared" si="3"/>
        <v>2</v>
      </c>
      <c r="BX6" s="187">
        <f t="shared" si="3"/>
        <v>3</v>
      </c>
      <c r="BY6" s="312"/>
      <c r="BZ6" s="312"/>
      <c r="CA6" s="312"/>
      <c r="CB6" s="312"/>
      <c r="CC6" s="312"/>
      <c r="CD6" s="312"/>
      <c r="CE6" s="312"/>
      <c r="CF6" s="189" t="s">
        <v>93</v>
      </c>
      <c r="CG6" s="189" t="s">
        <v>94</v>
      </c>
      <c r="CH6" s="189" t="s">
        <v>57</v>
      </c>
      <c r="CI6" s="178" t="s">
        <v>95</v>
      </c>
      <c r="CJ6" s="190" t="s">
        <v>96</v>
      </c>
      <c r="CK6" s="191" t="s">
        <v>97</v>
      </c>
      <c r="CL6" s="192" t="s">
        <v>98</v>
      </c>
      <c r="CM6" s="193" t="s">
        <v>99</v>
      </c>
      <c r="CN6" s="194" t="s">
        <v>100</v>
      </c>
      <c r="CO6" s="195" t="s">
        <v>101</v>
      </c>
      <c r="CP6" s="196" t="s">
        <v>102</v>
      </c>
      <c r="CQ6" s="152" t="s">
        <v>14</v>
      </c>
      <c r="CR6" s="152" t="s">
        <v>15</v>
      </c>
      <c r="CS6" s="181" t="s">
        <v>58</v>
      </c>
      <c r="CT6" s="323"/>
      <c r="CU6" s="189" t="s">
        <v>104</v>
      </c>
      <c r="CV6" s="182" t="s">
        <v>105</v>
      </c>
      <c r="CW6" s="190" t="s">
        <v>106</v>
      </c>
      <c r="CX6" s="197" t="s">
        <v>107</v>
      </c>
      <c r="CY6" s="198" t="s">
        <v>108</v>
      </c>
      <c r="CZ6" s="199" t="s">
        <v>109</v>
      </c>
      <c r="DA6" s="200" t="s">
        <v>110</v>
      </c>
      <c r="DB6" s="201" t="s">
        <v>111</v>
      </c>
      <c r="DC6" s="202" t="s">
        <v>112</v>
      </c>
      <c r="DD6" s="203" t="s">
        <v>58</v>
      </c>
      <c r="DE6" s="182" t="s">
        <v>117</v>
      </c>
      <c r="DF6" s="259" t="s">
        <v>134</v>
      </c>
      <c r="DG6" s="320"/>
      <c r="DH6" s="324"/>
      <c r="DI6" s="152" t="s">
        <v>14</v>
      </c>
      <c r="DJ6" s="152" t="s">
        <v>15</v>
      </c>
      <c r="DK6" s="305"/>
      <c r="DL6" s="313"/>
      <c r="DM6" s="181" t="s">
        <v>9</v>
      </c>
      <c r="DN6" s="181" t="s">
        <v>10</v>
      </c>
      <c r="DO6" s="181" t="s">
        <v>11</v>
      </c>
      <c r="DP6" s="181" t="s">
        <v>114</v>
      </c>
      <c r="DQ6" s="181" t="s">
        <v>115</v>
      </c>
      <c r="DR6" s="181" t="s">
        <v>116</v>
      </c>
      <c r="DS6" s="325"/>
      <c r="DT6" s="306"/>
      <c r="DU6" s="281"/>
      <c r="DV6" s="204">
        <v>0.17499999999999999</v>
      </c>
      <c r="DW6" s="205">
        <v>0.03</v>
      </c>
      <c r="DX6" s="204">
        <v>0.01</v>
      </c>
      <c r="DY6" s="153" t="s">
        <v>16</v>
      </c>
      <c r="DZ6" s="153" t="s">
        <v>17</v>
      </c>
      <c r="EA6" s="152" t="s">
        <v>18</v>
      </c>
      <c r="EB6" s="152" t="s">
        <v>62</v>
      </c>
      <c r="EC6" s="305"/>
      <c r="ED6" s="306"/>
      <c r="EE6" s="183" t="s">
        <v>73</v>
      </c>
      <c r="EF6" s="183" t="s">
        <v>74</v>
      </c>
      <c r="EG6" s="307"/>
      <c r="EH6" s="307"/>
      <c r="EI6" s="307"/>
      <c r="EJ6" s="326"/>
      <c r="EK6" s="326"/>
      <c r="EL6" s="326"/>
      <c r="EM6" s="293"/>
      <c r="EN6" s="295"/>
      <c r="EO6" s="297"/>
      <c r="EP6" s="299"/>
      <c r="EQ6" s="301"/>
      <c r="ER6" s="302"/>
      <c r="ES6" s="302"/>
      <c r="ET6" s="309"/>
      <c r="EU6" s="289"/>
      <c r="EV6" s="290"/>
    </row>
    <row r="7" spans="1:154" s="106" customFormat="1" ht="87.75" customHeight="1">
      <c r="A7" s="291" t="s">
        <v>85</v>
      </c>
      <c r="B7" s="291"/>
      <c r="C7" s="291"/>
      <c r="D7" s="291"/>
      <c r="E7" s="291"/>
      <c r="F7" s="291"/>
      <c r="G7" s="291"/>
      <c r="H7" s="291"/>
      <c r="I7" s="291"/>
      <c r="J7" s="291"/>
      <c r="K7" s="291"/>
      <c r="L7" s="291"/>
      <c r="M7" s="291"/>
      <c r="N7" s="291"/>
      <c r="O7" s="291"/>
      <c r="P7" s="291"/>
      <c r="Q7" s="291"/>
      <c r="R7" s="291"/>
      <c r="S7" s="291"/>
      <c r="T7" s="291"/>
      <c r="U7" s="291"/>
      <c r="V7" s="291"/>
      <c r="W7" s="291"/>
      <c r="X7" s="291"/>
      <c r="Y7" s="291"/>
      <c r="Z7" s="291"/>
      <c r="AA7" s="291"/>
      <c r="AB7" s="291"/>
      <c r="AC7" s="291"/>
      <c r="AD7" s="291"/>
      <c r="AE7" s="291"/>
      <c r="AF7" s="291"/>
      <c r="AG7" s="291"/>
      <c r="AH7" s="291"/>
      <c r="AI7" s="291"/>
      <c r="AJ7" s="291"/>
      <c r="AK7" s="291"/>
      <c r="AL7" s="291"/>
      <c r="AM7" s="291"/>
      <c r="AN7" s="291"/>
      <c r="AO7" s="291"/>
      <c r="AP7" s="291"/>
      <c r="AQ7" s="291"/>
      <c r="AR7" s="291"/>
      <c r="AS7" s="291"/>
      <c r="AT7" s="291"/>
      <c r="AU7" s="291"/>
      <c r="AV7" s="291"/>
      <c r="AW7" s="291"/>
      <c r="AX7" s="291"/>
      <c r="AY7" s="291"/>
      <c r="AZ7" s="291"/>
      <c r="BA7" s="291"/>
      <c r="BB7" s="291"/>
      <c r="BC7" s="291"/>
      <c r="BD7" s="291"/>
      <c r="BE7" s="291"/>
      <c r="BF7" s="291"/>
      <c r="BG7" s="291"/>
      <c r="BH7" s="291"/>
      <c r="BI7" s="291"/>
      <c r="BJ7" s="291"/>
      <c r="BK7" s="291"/>
      <c r="BL7" s="291"/>
      <c r="BM7" s="291"/>
      <c r="BN7" s="291"/>
      <c r="BO7" s="291"/>
      <c r="BP7" s="291"/>
      <c r="BQ7" s="291"/>
      <c r="BR7" s="291"/>
      <c r="BS7" s="291"/>
      <c r="BT7" s="291"/>
      <c r="BU7" s="291"/>
      <c r="BV7" s="291"/>
      <c r="BW7" s="291"/>
      <c r="BX7" s="291"/>
      <c r="BY7" s="291"/>
      <c r="BZ7" s="291"/>
      <c r="CA7" s="291"/>
      <c r="CB7" s="291"/>
      <c r="CC7" s="291"/>
      <c r="CD7" s="291"/>
      <c r="CE7" s="291"/>
      <c r="CF7" s="291"/>
      <c r="CG7" s="291"/>
      <c r="CH7" s="291"/>
      <c r="CI7" s="291"/>
      <c r="CJ7" s="291"/>
      <c r="CK7" s="291"/>
      <c r="CL7" s="291"/>
      <c r="CM7" s="291"/>
      <c r="CN7" s="291"/>
      <c r="CO7" s="291"/>
      <c r="CP7" s="291"/>
      <c r="CQ7" s="291"/>
      <c r="CR7" s="291"/>
      <c r="CS7" s="291"/>
      <c r="CT7" s="291"/>
      <c r="CU7" s="291"/>
      <c r="CV7" s="291"/>
      <c r="CW7" s="291"/>
      <c r="CX7" s="291"/>
      <c r="CY7" s="291"/>
      <c r="CZ7" s="291"/>
      <c r="DA7" s="291"/>
      <c r="DB7" s="291"/>
      <c r="DC7" s="291"/>
      <c r="DD7" s="291"/>
      <c r="DE7" s="291"/>
      <c r="DF7" s="291"/>
      <c r="DG7" s="291"/>
      <c r="DH7" s="291"/>
      <c r="DI7" s="291"/>
      <c r="DJ7" s="291"/>
      <c r="DK7" s="291"/>
      <c r="DL7" s="291"/>
      <c r="DM7" s="291"/>
      <c r="DN7" s="291"/>
      <c r="DO7" s="291"/>
      <c r="DP7" s="291"/>
      <c r="DQ7" s="291"/>
      <c r="DR7" s="291"/>
      <c r="DS7" s="291"/>
      <c r="DT7" s="291"/>
      <c r="DU7" s="291"/>
      <c r="DV7" s="291"/>
      <c r="DW7" s="291"/>
      <c r="DX7" s="291"/>
      <c r="DY7" s="291"/>
      <c r="DZ7" s="291"/>
      <c r="EA7" s="291"/>
      <c r="EB7" s="291"/>
      <c r="EC7" s="291"/>
      <c r="ED7" s="291"/>
      <c r="EE7" s="291"/>
      <c r="EF7" s="291"/>
      <c r="EG7" s="291"/>
      <c r="EH7" s="291"/>
      <c r="EI7" s="291"/>
      <c r="EJ7" s="291"/>
      <c r="EK7" s="291"/>
      <c r="EL7" s="291"/>
      <c r="EM7" s="247"/>
      <c r="EN7" s="247"/>
      <c r="EO7" s="247"/>
      <c r="EP7" s="248"/>
      <c r="EQ7" s="249"/>
      <c r="ER7" s="250"/>
      <c r="ES7" s="250"/>
      <c r="ET7" s="265"/>
      <c r="EU7" s="251"/>
      <c r="EV7" s="250"/>
    </row>
    <row r="8" spans="1:154" s="169" customFormat="1" ht="84" customHeight="1">
      <c r="A8" s="150"/>
      <c r="B8" s="150"/>
      <c r="C8" s="162"/>
      <c r="D8" s="162"/>
      <c r="E8" s="162"/>
      <c r="F8" s="150"/>
      <c r="G8" s="162"/>
      <c r="H8" s="154"/>
      <c r="I8" s="167"/>
      <c r="J8" s="150"/>
      <c r="K8" s="150"/>
      <c r="L8" s="150"/>
      <c r="M8" s="150"/>
      <c r="N8" s="150"/>
      <c r="O8" s="150"/>
      <c r="P8" s="150"/>
      <c r="Q8" s="150"/>
      <c r="R8" s="150"/>
      <c r="S8" s="150"/>
      <c r="T8" s="150"/>
      <c r="U8" s="150"/>
      <c r="V8" s="150"/>
      <c r="W8" s="150"/>
      <c r="X8" s="150"/>
      <c r="Y8" s="150"/>
      <c r="Z8" s="150"/>
      <c r="AA8" s="150"/>
      <c r="AB8" s="150"/>
      <c r="AC8" s="150"/>
      <c r="AD8" s="150"/>
      <c r="AE8" s="150"/>
      <c r="AF8" s="150"/>
      <c r="AG8" s="150"/>
      <c r="AH8" s="150"/>
      <c r="AI8" s="150"/>
      <c r="AJ8" s="150"/>
      <c r="AK8" s="150"/>
      <c r="AL8" s="150"/>
      <c r="AM8" s="150"/>
      <c r="AN8" s="150"/>
      <c r="AO8" s="168">
        <f t="shared" ref="AO8" si="4">COUNTIF(J8:AN8,"N")+(COUNTIF(J8:AN8,"N/2")/2)</f>
        <v>0</v>
      </c>
      <c r="AP8" s="168">
        <f t="shared" ref="AP8" si="5">COUNTIF(J8:AN8,"Đ")</f>
        <v>0</v>
      </c>
      <c r="AQ8" s="168">
        <f t="shared" ref="AQ8" si="6">AO8+AP8</f>
        <v>0</v>
      </c>
      <c r="AR8" s="159">
        <f t="shared" ref="AR8" si="7">COUNTIF(J8:AN8,"PL")</f>
        <v>0</v>
      </c>
      <c r="AS8" s="156">
        <f t="shared" ref="AS8" si="8">IF(AQ8&gt;=20,1,0)</f>
        <v>0</v>
      </c>
      <c r="AT8" s="155">
        <f t="shared" ref="AT8" si="9">+IF(J8="N","0.5N",IF(J8="Đ","0.5Đ",0))</f>
        <v>0</v>
      </c>
      <c r="AU8" s="155">
        <f t="shared" ref="AU8" si="10">+IF(K8="N","0.5N",IF(K8="Đ","0.5Đ",0))</f>
        <v>0</v>
      </c>
      <c r="AV8" s="155">
        <f t="shared" ref="AV8" si="11">+IF(L8="N","0.5N",IF(L8="Đ","0.5Đ",0))</f>
        <v>0</v>
      </c>
      <c r="AW8" s="155">
        <f t="shared" ref="AW8" si="12">+IF(M8="N","0.5N",IF(M8="Đ","0.5Đ",0))</f>
        <v>0</v>
      </c>
      <c r="AX8" s="155">
        <f t="shared" ref="AX8" si="13">+IF(N8="N","0.5N",IF(N8="Đ","0.5Đ",0))</f>
        <v>0</v>
      </c>
      <c r="AY8" s="155">
        <f t="shared" ref="AY8" si="14">+IF(O8="N","0.5N",IF(O8="Đ","0.5Đ",0))</f>
        <v>0</v>
      </c>
      <c r="AZ8" s="155">
        <f t="shared" ref="AZ8" si="15">+IF(P8="N","0.5N",IF(P8="Đ","0.5Đ",0))</f>
        <v>0</v>
      </c>
      <c r="BA8" s="155">
        <f t="shared" ref="BA8" si="16">+IF(Q8="N","0.5N",IF(Q8="Đ","0.5Đ",0))</f>
        <v>0</v>
      </c>
      <c r="BB8" s="155">
        <f t="shared" ref="BB8" si="17">+IF(R8="N","0.5N",IF(R8="Đ","0.5Đ",0))</f>
        <v>0</v>
      </c>
      <c r="BC8" s="155">
        <f t="shared" ref="BC8" si="18">+IF(S8="N","0.5N",IF(S8="Đ","0.5Đ",0))</f>
        <v>0</v>
      </c>
      <c r="BD8" s="155">
        <f t="shared" ref="BD8" si="19">+IF(T8="N","0.5N",IF(T8="Đ","0.5Đ",0))</f>
        <v>0</v>
      </c>
      <c r="BE8" s="155">
        <f t="shared" ref="BE8" si="20">+IF(U8="N","0.5N",IF(U8="Đ","0.5Đ",0))</f>
        <v>0</v>
      </c>
      <c r="BF8" s="155">
        <f t="shared" ref="BF8" si="21">+IF(V8="N","0.5N",IF(V8="Đ","0.5Đ",0))</f>
        <v>0</v>
      </c>
      <c r="BG8" s="155">
        <f t="shared" ref="BG8" si="22">+IF(W8="N","0.5N",IF(W8="Đ","0.5Đ",0))</f>
        <v>0</v>
      </c>
      <c r="BH8" s="155">
        <f t="shared" ref="BH8" si="23">+IF(X8="N","0.5N",IF(X8="Đ","0.5Đ",0))</f>
        <v>0</v>
      </c>
      <c r="BI8" s="155">
        <f t="shared" ref="BI8" si="24">+IF(Y8="N","0.5N",IF(Y8="Đ","0.5Đ",0))</f>
        <v>0</v>
      </c>
      <c r="BJ8" s="155">
        <f t="shared" ref="BJ8" si="25">+IF(Z8="N","0.5N",IF(Z8="Đ","0.5Đ",0))</f>
        <v>0</v>
      </c>
      <c r="BK8" s="155">
        <f t="shared" ref="BK8" si="26">+IF(AA8="N","0.5N",IF(AA8="Đ","0.5Đ",0))</f>
        <v>0</v>
      </c>
      <c r="BL8" s="155">
        <f t="shared" ref="BL8" si="27">+IF(AB8="N","0.5N",IF(AB8="Đ","0.5Đ",0))</f>
        <v>0</v>
      </c>
      <c r="BM8" s="155">
        <f t="shared" ref="BM8" si="28">+IF(AC8="N","0.5N",IF(AC8="Đ","0.5Đ",0))</f>
        <v>0</v>
      </c>
      <c r="BN8" s="155">
        <f t="shared" ref="BN8" si="29">+IF(AD8="N","0.5N",IF(AD8="Đ","0.5Đ",0))</f>
        <v>0</v>
      </c>
      <c r="BO8" s="155">
        <f t="shared" ref="BO8" si="30">+IF(AE8="N","0.5N",IF(AE8="Đ","0.5Đ",0))</f>
        <v>0</v>
      </c>
      <c r="BP8" s="155">
        <f t="shared" ref="BP8" si="31">+IF(AF8="N","0.5N",IF(AF8="Đ","0.5Đ",0))</f>
        <v>0</v>
      </c>
      <c r="BQ8" s="155">
        <f t="shared" ref="BQ8" si="32">+IF(AG8="N","0.5N",IF(AG8="Đ","0.5Đ",0))</f>
        <v>0</v>
      </c>
      <c r="BR8" s="155">
        <f t="shared" ref="BR8" si="33">+IF(AH8="N","0.5N",IF(AH8="Đ","0.5Đ",0))</f>
        <v>0</v>
      </c>
      <c r="BS8" s="155">
        <f t="shared" ref="BS8" si="34">+IF(AI8="N","0.5N",IF(AI8="Đ","0.5Đ",0))</f>
        <v>0</v>
      </c>
      <c r="BT8" s="155">
        <f t="shared" ref="BT8" si="35">+IF(AJ8="N","0.5N",IF(AJ8="Đ","0.5Đ",0))</f>
        <v>0</v>
      </c>
      <c r="BU8" s="155">
        <f t="shared" ref="BU8" si="36">+IF(AK8="N","0.5N",IF(AK8="Đ","0.5Đ",0))</f>
        <v>0</v>
      </c>
      <c r="BV8" s="155">
        <f t="shared" ref="BV8" si="37">+IF(AL8="N","0.5N",IF(AL8="Đ","0.5Đ",0))</f>
        <v>0</v>
      </c>
      <c r="BW8" s="155">
        <f t="shared" ref="BW8" si="38">+IF(AM8="N","0.5N",IF(AM8="Đ","0.5Đ",0))</f>
        <v>0</v>
      </c>
      <c r="BX8" s="155">
        <f t="shared" ref="BX8" si="39">+IF(AN8="N","0.5N",IF(AN8="Đ","0.5Đ",0))</f>
        <v>0</v>
      </c>
      <c r="BY8" s="168">
        <f>+BZ8+CA8+CB8*8+CC8+CD8+CE8</f>
        <v>0</v>
      </c>
      <c r="BZ8" s="168">
        <f t="shared" ref="BZ8" si="40">COUNTIF(AT8:BX8,"1Đ")+(COUNTIF(AT8:BX8,"2Đ")*2)+(COUNTIF(AT8:BX8,"0.5Đ")/2)</f>
        <v>0</v>
      </c>
      <c r="CA8" s="168">
        <f t="shared" ref="CA8" si="41">COUNTIF(AT8:BX8,"1N")+(COUNTIF(AT8:BX8,"2N")*2)+(COUNTIF(AT8:BX8,"0.5N")/2)</f>
        <v>0</v>
      </c>
      <c r="CB8" s="168">
        <f t="shared" ref="CB8" si="42">COUNTIF(AT8:BX8,"1LN")</f>
        <v>0</v>
      </c>
      <c r="CC8" s="168">
        <f t="shared" ref="CC8" si="43">COUNTIF(AT8:BX8,"1LĐ")</f>
        <v>0</v>
      </c>
      <c r="CD8" s="164">
        <f>COUNTIF(AT8:BX8,"CNN")*8+(COUNTIF(AT8:BX8,"CNN/2")*4)</f>
        <v>0</v>
      </c>
      <c r="CE8" s="171">
        <f t="shared" ref="CE8" si="44">COUNTIF(AT8:BX8,"CNĐ")+(COUNTIF(AT8:BX8,"CNĐ/2")/2)</f>
        <v>0</v>
      </c>
      <c r="CF8" s="172">
        <f t="shared" ref="CF8" si="45">+AO8</f>
        <v>0</v>
      </c>
      <c r="CG8" s="172">
        <f t="shared" ref="CG8" si="46">+AP8*8*0.3125</f>
        <v>0</v>
      </c>
      <c r="CH8" s="172">
        <f t="shared" ref="CH8" si="47">+AR8+AS8</f>
        <v>0</v>
      </c>
      <c r="CI8" s="172">
        <f t="shared" ref="CI8" si="48">+CA8</f>
        <v>0</v>
      </c>
      <c r="CJ8" s="172">
        <f t="shared" ref="CJ8" si="49">+AP8*8*0.6875</f>
        <v>0</v>
      </c>
      <c r="CK8" s="172">
        <f t="shared" ref="CK8" si="50">+BZ8</f>
        <v>0</v>
      </c>
      <c r="CL8" s="172"/>
      <c r="CM8" s="172">
        <f t="shared" ref="CM8" si="51">+CE8</f>
        <v>0</v>
      </c>
      <c r="CN8" s="172">
        <f t="shared" ref="CN8" si="52">+CD8</f>
        <v>0</v>
      </c>
      <c r="CO8" s="170">
        <f t="shared" ref="CO8" si="53">+CB8</f>
        <v>0</v>
      </c>
      <c r="CP8" s="159">
        <f t="shared" ref="CP8" si="54">+CC8</f>
        <v>0</v>
      </c>
      <c r="CQ8" s="159">
        <f>+IF(F8="x",500000,0)</f>
        <v>0</v>
      </c>
      <c r="CR8" s="156"/>
      <c r="CS8" s="159">
        <f t="shared" ref="CS8" si="55">IF($G$4&lt;20000000000,0,IF($G$4&lt;=30000000000,2000000,IF($G$4&lt;=50000000000,2300000,IF($G$4&lt;=50000000000,2000000,IF($G$4&lt;=70000000000,3000000,IF($G$4&gt;70000000000,3500000,0))))))</f>
        <v>0</v>
      </c>
      <c r="CT8" s="157">
        <f t="shared" ref="CT8" si="56">+I8+CQ8+CR8+CS8</f>
        <v>0</v>
      </c>
      <c r="CU8" s="158">
        <f t="shared" ref="CU8" si="57">+I8/26*(CF8+(CG8/8)+CH8)</f>
        <v>0</v>
      </c>
      <c r="CV8" s="158">
        <f t="shared" ref="CV8" si="58">+(I8/26/8)*150%*CI8</f>
        <v>0</v>
      </c>
      <c r="CW8" s="158">
        <f t="shared" ref="CW8" si="59">+(I8/26/8)*130%*CJ8</f>
        <v>0</v>
      </c>
      <c r="CX8" s="158">
        <f t="shared" ref="CX8" si="60">+(I8/26/8)*200%*CK8</f>
        <v>0</v>
      </c>
      <c r="CY8" s="158">
        <f t="shared" ref="CY8" si="61">+(I8/26/8)*210%*CL8</f>
        <v>0</v>
      </c>
      <c r="CZ8" s="158">
        <f t="shared" ref="CZ8" si="62">+(I8/26/8)*270%*CM8</f>
        <v>0</v>
      </c>
      <c r="DA8" s="158">
        <f t="shared" ref="DA8" si="63">+(I8/26/8)*200%*CN8</f>
        <v>0</v>
      </c>
      <c r="DB8" s="158">
        <f t="shared" ref="DB8" si="64">+(I8/3.25)*300%*CO8</f>
        <v>0</v>
      </c>
      <c r="DC8" s="158">
        <f t="shared" ref="DC8" si="65">+(I8/26/8)*390%*CP8</f>
        <v>0</v>
      </c>
      <c r="DD8" s="159">
        <f t="shared" ref="DD8" si="66">+CS8/26*(CF8+(CG8+CJ8)/8)</f>
        <v>0</v>
      </c>
      <c r="DE8" s="212">
        <f t="shared" ref="DE8" si="67">IF(OR(H8="CV",H8="KTT",H8="QL",H8="QĐ",H8="TL",H8="PGĐ"),2000000,IF(OR(H8="NV",H8="KT", H8="TK"),1500000,IF(OR(H8="CN",H8="LX"),1000000,0)))/26*(CF8+(CG8+CJ8)/8)</f>
        <v>0</v>
      </c>
      <c r="DF8" s="212">
        <f t="shared" ref="DF8" si="68">+DD8+DE8</f>
        <v>0</v>
      </c>
      <c r="DG8" s="272"/>
      <c r="DH8" s="158">
        <f t="shared" ref="DH8" si="69">+CU8+CV8+CW8+CX8+CY8+CZ8+DA8+DB8+DC8+DF8+DG8</f>
        <v>0</v>
      </c>
      <c r="DI8" s="165">
        <f t="shared" ref="DI8" si="70">+CQ8/26*AQ8</f>
        <v>0</v>
      </c>
      <c r="DJ8" s="165">
        <f t="shared" ref="DJ8" si="71">+CR8/26*AQ8</f>
        <v>0</v>
      </c>
      <c r="DK8" s="165">
        <f t="shared" ref="DK8" si="72">+DH8+DI8+DJ8</f>
        <v>0</v>
      </c>
      <c r="DL8" s="173">
        <f t="shared" ref="DL8" si="73">I8</f>
        <v>0</v>
      </c>
      <c r="DM8" s="159">
        <f t="shared" ref="DM8" si="74">DL8*8%</f>
        <v>0</v>
      </c>
      <c r="DN8" s="159">
        <f t="shared" ref="DN8" si="75">DL8*1.5%</f>
        <v>0</v>
      </c>
      <c r="DO8" s="159">
        <f t="shared" ref="DO8" si="76">DL8*1%</f>
        <v>0</v>
      </c>
      <c r="DP8" s="159">
        <f t="shared" ref="DP8" si="77">EI8</f>
        <v>0</v>
      </c>
      <c r="DQ8" s="159">
        <f t="shared" ref="DQ8" si="78">+SUM(DM8:DP8)</f>
        <v>0</v>
      </c>
      <c r="DR8" s="159">
        <f t="shared" ref="DR8" si="79">SUM(DM8:DO8)</f>
        <v>0</v>
      </c>
      <c r="DS8" s="160">
        <f t="shared" ref="DS8" si="80">ROUNDDOWN(DK8-DQ8,-3)</f>
        <v>0</v>
      </c>
      <c r="DT8" s="157"/>
      <c r="DU8" s="159">
        <f>+DL8*2%</f>
        <v>0</v>
      </c>
      <c r="DV8" s="159">
        <f>DL8*$DV$6</f>
        <v>0</v>
      </c>
      <c r="DW8" s="159">
        <f>DL8*$DW$6</f>
        <v>0</v>
      </c>
      <c r="DX8" s="159">
        <f>DL8*$DX$6</f>
        <v>0</v>
      </c>
      <c r="DY8" s="174">
        <f>+DM8+DV8</f>
        <v>0</v>
      </c>
      <c r="DZ8" s="174">
        <f>+DN8+DW8</f>
        <v>0</v>
      </c>
      <c r="EA8" s="159">
        <f>DO8+DX8</f>
        <v>0</v>
      </c>
      <c r="EB8" s="174">
        <f t="shared" ref="EB8" si="81">DY8+DZ8+EA8</f>
        <v>0</v>
      </c>
      <c r="EC8" s="165">
        <f>+IF(F8="x",500000,0)</f>
        <v>0</v>
      </c>
      <c r="ED8" s="166">
        <f>+DK8-DJ8+EC8</f>
        <v>0</v>
      </c>
      <c r="EE8" s="166">
        <f>15500000+DR8+EF8*6200000</f>
        <v>15500000</v>
      </c>
      <c r="EF8" s="161">
        <v>0</v>
      </c>
      <c r="EG8" s="173">
        <f t="shared" ref="EG8" si="82">+ED8-EE8</f>
        <v>-15500000</v>
      </c>
      <c r="EH8" s="173">
        <f t="shared" ref="EH8" si="83">IF(EG8&lt;=5000000,EG8*5/100,IF(EG8&lt;=10000000,EG8*10/100-250000,IF(EG8&lt;=18000000,EG8*15/100-750000,IF(EG8&lt;=32000000,EG8*20/100-1650000,IF(EG8&lt;=52000000,EG8*25/100-3250000,IF(EG8&lt;=80000000,EG8*30%-5850000,EG8*35%-9850000))))))</f>
        <v>-775000</v>
      </c>
      <c r="EI8" s="173">
        <f t="shared" ref="EI8" si="84">+IF(EH8&lt;0,0,EH8)</f>
        <v>0</v>
      </c>
      <c r="EJ8" s="166" t="b">
        <f>+IF(AQ8&gt;0,I8/26)</f>
        <v>0</v>
      </c>
      <c r="EK8" s="166" t="b">
        <f>+IF(AQ8&gt;0,ED8*6%)</f>
        <v>0</v>
      </c>
      <c r="EL8" s="166">
        <f t="shared" ref="EL8" si="85">+EJ8+EK8</f>
        <v>0</v>
      </c>
      <c r="EM8" s="166"/>
      <c r="EN8" s="166"/>
      <c r="EO8" s="166">
        <f>DS8+EC8+EN8</f>
        <v>0</v>
      </c>
      <c r="EP8" s="224">
        <f t="shared" ref="EP8" si="86">EM8-EO8</f>
        <v>0</v>
      </c>
      <c r="EQ8" s="225">
        <f t="shared" ref="EQ8" si="87">EM8</f>
        <v>0</v>
      </c>
      <c r="ER8" s="150"/>
      <c r="ES8" s="150"/>
      <c r="ET8" s="266">
        <f t="shared" ref="ET8" si="88">EQ8-EU8</f>
        <v>0</v>
      </c>
      <c r="EU8" s="163"/>
      <c r="EV8" s="252"/>
      <c r="EW8" s="222">
        <f t="shared" ref="EW8" si="89">EQ8-ET8-EU8</f>
        <v>0</v>
      </c>
      <c r="EX8" s="226">
        <f t="shared" ref="EX8" si="90">+EM8-ET8-EU8</f>
        <v>0</v>
      </c>
    </row>
    <row r="9" spans="1:154" s="93" customFormat="1">
      <c r="A9" s="95"/>
      <c r="B9" s="95"/>
      <c r="D9" s="97"/>
      <c r="E9" s="97"/>
      <c r="F9" s="97"/>
      <c r="G9" s="220"/>
      <c r="H9" s="98"/>
      <c r="I9" s="96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92"/>
      <c r="AP9" s="92"/>
      <c r="AQ9" s="92"/>
      <c r="AR9" s="1"/>
      <c r="AS9" s="233"/>
      <c r="AT9" s="1"/>
      <c r="AU9" s="1"/>
      <c r="AV9" s="1"/>
      <c r="AW9" s="1"/>
      <c r="AX9" s="1"/>
      <c r="AY9" s="1"/>
      <c r="AZ9" s="1"/>
      <c r="BA9" s="1"/>
      <c r="BB9" s="1"/>
      <c r="BC9" s="102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36"/>
      <c r="BZ9" s="136"/>
      <c r="CA9" s="136"/>
      <c r="CB9" s="136"/>
      <c r="CC9" s="136"/>
      <c r="CD9" s="136"/>
      <c r="CE9" s="136"/>
      <c r="CF9" s="147"/>
      <c r="CG9" s="136"/>
      <c r="CH9" s="147"/>
      <c r="CI9" s="147"/>
      <c r="CJ9" s="136"/>
      <c r="CK9" s="136"/>
      <c r="CL9" s="136"/>
      <c r="CM9" s="136"/>
      <c r="CN9" s="136"/>
      <c r="CO9" s="136"/>
      <c r="CP9" s="136"/>
      <c r="CQ9" s="1"/>
      <c r="CR9" s="1"/>
      <c r="CS9" s="230"/>
      <c r="CT9" s="1"/>
      <c r="CU9" s="136"/>
      <c r="CV9" s="136"/>
      <c r="CW9" s="136"/>
      <c r="CX9" s="136"/>
      <c r="CY9" s="136"/>
      <c r="CZ9" s="136"/>
      <c r="DA9" s="136"/>
      <c r="DB9" s="136"/>
      <c r="DC9" s="136"/>
      <c r="DD9" s="136"/>
      <c r="DE9" s="211"/>
      <c r="DF9" s="211"/>
      <c r="DG9" s="273"/>
      <c r="DH9" s="136"/>
      <c r="DI9" s="1"/>
      <c r="DJ9" s="1"/>
      <c r="DK9" s="102"/>
      <c r="DL9" s="102"/>
      <c r="DM9" s="102"/>
      <c r="DN9" s="102"/>
      <c r="DO9" s="102"/>
      <c r="DP9" s="143"/>
      <c r="DQ9" s="143"/>
      <c r="DR9" s="143"/>
      <c r="DS9" s="102"/>
      <c r="DT9" s="1"/>
      <c r="DU9" s="1"/>
      <c r="DV9" s="1"/>
      <c r="DW9" s="99"/>
      <c r="DX9" s="1"/>
      <c r="EE9" s="1"/>
      <c r="EK9" s="98"/>
      <c r="EL9" s="98"/>
      <c r="EM9" s="98"/>
      <c r="EN9" s="98"/>
      <c r="EO9" s="98"/>
      <c r="EP9" s="238"/>
      <c r="EQ9" s="239"/>
      <c r="ER9" s="98"/>
      <c r="ES9" s="98"/>
      <c r="ET9" s="267"/>
      <c r="EU9" s="253"/>
      <c r="EV9" s="254"/>
    </row>
    <row r="10" spans="1:154" s="93" customFormat="1">
      <c r="A10" s="95"/>
      <c r="B10" s="95"/>
      <c r="D10" s="97"/>
      <c r="E10" s="97"/>
      <c r="F10" s="97"/>
      <c r="G10" s="220"/>
      <c r="H10" s="98"/>
      <c r="I10" s="96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92"/>
      <c r="AP10" s="92"/>
      <c r="AQ10" s="92"/>
      <c r="AR10" s="1"/>
      <c r="AS10" s="233"/>
      <c r="AT10" s="1"/>
      <c r="AU10" s="1"/>
      <c r="AV10" s="1"/>
      <c r="AW10" s="1"/>
      <c r="AX10" s="1"/>
      <c r="AY10" s="1"/>
      <c r="AZ10" s="1"/>
      <c r="BA10" s="1"/>
      <c r="BB10" s="1"/>
      <c r="BC10" s="102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36"/>
      <c r="BZ10" s="136"/>
      <c r="CA10" s="136"/>
      <c r="CB10" s="136"/>
      <c r="CC10" s="136"/>
      <c r="CD10" s="136"/>
      <c r="CE10" s="136"/>
      <c r="CF10" s="147"/>
      <c r="CG10" s="136"/>
      <c r="CH10" s="147"/>
      <c r="CI10" s="147"/>
      <c r="CJ10" s="136"/>
      <c r="CK10" s="136"/>
      <c r="CL10" s="136"/>
      <c r="CM10" s="136"/>
      <c r="CN10" s="136"/>
      <c r="CO10" s="136"/>
      <c r="CP10" s="136"/>
      <c r="CQ10" s="1"/>
      <c r="CR10" s="1"/>
      <c r="CS10" s="230"/>
      <c r="CT10" s="1"/>
      <c r="CU10" s="136"/>
      <c r="CV10" s="136"/>
      <c r="CW10" s="136"/>
      <c r="CX10" s="136"/>
      <c r="CY10" s="136"/>
      <c r="CZ10" s="136"/>
      <c r="DA10" s="136"/>
      <c r="DB10" s="136"/>
      <c r="DC10" s="136"/>
      <c r="DD10" s="136"/>
      <c r="DE10" s="211"/>
      <c r="DF10" s="211"/>
      <c r="DG10" s="273"/>
      <c r="DH10" s="136"/>
      <c r="DI10" s="1"/>
      <c r="DJ10" s="1"/>
      <c r="DK10" s="102"/>
      <c r="DL10" s="102"/>
      <c r="DM10" s="102"/>
      <c r="DN10" s="102"/>
      <c r="DO10" s="102"/>
      <c r="DP10" s="143"/>
      <c r="DQ10" s="143"/>
      <c r="DR10" s="143"/>
      <c r="DS10" s="102"/>
      <c r="DT10" s="1"/>
      <c r="DU10" s="1"/>
      <c r="DV10" s="1"/>
      <c r="DW10" s="99"/>
      <c r="DX10" s="1"/>
      <c r="EE10" s="1"/>
      <c r="EK10" s="98"/>
      <c r="EL10" s="98"/>
      <c r="EM10" s="98"/>
      <c r="EN10" s="98"/>
      <c r="EO10" s="98"/>
      <c r="EP10" s="238"/>
      <c r="EQ10" s="239"/>
      <c r="ER10" s="98"/>
      <c r="ES10" s="98"/>
      <c r="ET10" s="267"/>
      <c r="EU10" s="253"/>
      <c r="EV10" s="254"/>
    </row>
    <row r="11" spans="1:154" s="93" customFormat="1">
      <c r="A11" s="95"/>
      <c r="B11" s="95"/>
      <c r="D11" s="97"/>
      <c r="E11" s="97"/>
      <c r="F11" s="97"/>
      <c r="G11" s="220"/>
      <c r="H11" s="98"/>
      <c r="I11" s="96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92"/>
      <c r="AP11" s="92"/>
      <c r="AQ11" s="92"/>
      <c r="AR11" s="1"/>
      <c r="AS11" s="233"/>
      <c r="AT11" s="1"/>
      <c r="AU11" s="1"/>
      <c r="AV11" s="1"/>
      <c r="AW11" s="1"/>
      <c r="AX11" s="1"/>
      <c r="AY11" s="1"/>
      <c r="AZ11" s="1"/>
      <c r="BA11" s="1"/>
      <c r="BB11" s="1"/>
      <c r="BC11" s="102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36"/>
      <c r="BZ11" s="136"/>
      <c r="CA11" s="136"/>
      <c r="CB11" s="136"/>
      <c r="CC11" s="136"/>
      <c r="CD11" s="136"/>
      <c r="CE11" s="136"/>
      <c r="CF11" s="147"/>
      <c r="CG11" s="136"/>
      <c r="CH11" s="147"/>
      <c r="CI11" s="147"/>
      <c r="CJ11" s="136"/>
      <c r="CK11" s="136"/>
      <c r="CL11" s="136"/>
      <c r="CM11" s="136"/>
      <c r="CN11" s="136"/>
      <c r="CO11" s="136"/>
      <c r="CP11" s="136"/>
      <c r="CQ11" s="1"/>
      <c r="CR11" s="1"/>
      <c r="CS11" s="230"/>
      <c r="CT11" s="1"/>
      <c r="CU11" s="136"/>
      <c r="CV11" s="136"/>
      <c r="CW11" s="136"/>
      <c r="CX11" s="136"/>
      <c r="CY11" s="136"/>
      <c r="CZ11" s="136"/>
      <c r="DA11" s="136"/>
      <c r="DB11" s="136"/>
      <c r="DC11" s="136"/>
      <c r="DD11" s="136"/>
      <c r="DE11" s="211"/>
      <c r="DF11" s="211"/>
      <c r="DG11" s="273"/>
      <c r="DH11" s="136"/>
      <c r="DI11" s="1"/>
      <c r="DJ11" s="1"/>
      <c r="DK11" s="102"/>
      <c r="DL11" s="102"/>
      <c r="DM11" s="102"/>
      <c r="DN11" s="102"/>
      <c r="DO11" s="102"/>
      <c r="DP11" s="143"/>
      <c r="DQ11" s="143"/>
      <c r="DR11" s="143"/>
      <c r="DS11" s="102"/>
      <c r="DT11" s="1"/>
      <c r="DU11" s="1"/>
      <c r="DV11" s="1"/>
      <c r="DW11" s="99"/>
      <c r="DX11" s="1"/>
      <c r="EE11" s="1"/>
      <c r="EK11" s="98"/>
      <c r="EL11" s="98"/>
      <c r="EM11" s="98"/>
      <c r="EN11" s="98"/>
      <c r="EO11" s="98"/>
      <c r="EP11" s="238"/>
      <c r="EQ11" s="239"/>
      <c r="ER11" s="98"/>
      <c r="ES11" s="98"/>
      <c r="ET11" s="267"/>
      <c r="EU11" s="253"/>
      <c r="EV11" s="254"/>
    </row>
    <row r="12" spans="1:154" s="93" customFormat="1">
      <c r="A12" s="95"/>
      <c r="B12" s="95"/>
      <c r="D12" s="97"/>
      <c r="E12" s="97"/>
      <c r="F12" s="97"/>
      <c r="G12" s="220"/>
      <c r="H12" s="98"/>
      <c r="I12" s="96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92"/>
      <c r="AP12" s="92"/>
      <c r="AQ12" s="92"/>
      <c r="AR12" s="1"/>
      <c r="AS12" s="233"/>
      <c r="AT12" s="1"/>
      <c r="AU12" s="1"/>
      <c r="AV12" s="1"/>
      <c r="AW12" s="1"/>
      <c r="AX12" s="1"/>
      <c r="AY12" s="1"/>
      <c r="AZ12" s="1"/>
      <c r="BA12" s="1"/>
      <c r="BB12" s="1"/>
      <c r="BC12" s="102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36"/>
      <c r="BZ12" s="136"/>
      <c r="CA12" s="136"/>
      <c r="CB12" s="136"/>
      <c r="CC12" s="136"/>
      <c r="CD12" s="136"/>
      <c r="CE12" s="136"/>
      <c r="CF12" s="147"/>
      <c r="CG12" s="136"/>
      <c r="CH12" s="147"/>
      <c r="CI12" s="147"/>
      <c r="CJ12" s="136"/>
      <c r="CK12" s="136"/>
      <c r="CL12" s="136"/>
      <c r="CM12" s="136"/>
      <c r="CN12" s="136"/>
      <c r="CO12" s="136"/>
      <c r="CP12" s="136"/>
      <c r="CQ12" s="1"/>
      <c r="CR12" s="1"/>
      <c r="CS12" s="230"/>
      <c r="CT12" s="1"/>
      <c r="CU12" s="136"/>
      <c r="CV12" s="136"/>
      <c r="CW12" s="136"/>
      <c r="CX12" s="136"/>
      <c r="CY12" s="136"/>
      <c r="CZ12" s="136"/>
      <c r="DA12" s="136"/>
      <c r="DB12" s="136"/>
      <c r="DC12" s="136"/>
      <c r="DD12" s="136"/>
      <c r="DE12" s="211"/>
      <c r="DF12" s="211"/>
      <c r="DG12" s="273"/>
      <c r="DH12" s="136"/>
      <c r="DI12" s="1"/>
      <c r="DJ12" s="1"/>
      <c r="DK12" s="102"/>
      <c r="DL12" s="102"/>
      <c r="DM12" s="102"/>
      <c r="DN12" s="102"/>
      <c r="DO12" s="102"/>
      <c r="DP12" s="143"/>
      <c r="DQ12" s="143"/>
      <c r="DR12" s="143"/>
      <c r="DS12" s="102"/>
      <c r="DT12" s="1"/>
      <c r="DU12" s="1"/>
      <c r="DV12" s="1"/>
      <c r="DW12" s="99"/>
      <c r="DX12" s="1"/>
      <c r="EE12" s="1"/>
      <c r="EK12" s="98"/>
      <c r="EL12" s="98"/>
      <c r="EM12" s="98"/>
      <c r="EN12" s="98"/>
      <c r="EO12" s="98"/>
      <c r="EP12" s="238"/>
      <c r="EQ12" s="239"/>
      <c r="ER12" s="98"/>
      <c r="ES12" s="98"/>
      <c r="ET12" s="267"/>
      <c r="EU12" s="253"/>
      <c r="EV12" s="254"/>
    </row>
    <row r="13" spans="1:154" s="93" customFormat="1">
      <c r="A13" s="95"/>
      <c r="B13" s="95"/>
      <c r="D13" s="97"/>
      <c r="E13" s="97"/>
      <c r="F13" s="97"/>
      <c r="G13" s="220"/>
      <c r="H13" s="98"/>
      <c r="I13" s="96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92"/>
      <c r="AP13" s="92"/>
      <c r="AQ13" s="92"/>
      <c r="AR13" s="1"/>
      <c r="AS13" s="233"/>
      <c r="AT13" s="1"/>
      <c r="AU13" s="1"/>
      <c r="AV13" s="1"/>
      <c r="AW13" s="1"/>
      <c r="AX13" s="1"/>
      <c r="AY13" s="1"/>
      <c r="AZ13" s="1"/>
      <c r="BA13" s="1"/>
      <c r="BB13" s="1"/>
      <c r="BC13" s="102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36"/>
      <c r="BZ13" s="136"/>
      <c r="CA13" s="136"/>
      <c r="CB13" s="136"/>
      <c r="CC13" s="136"/>
      <c r="CD13" s="136"/>
      <c r="CE13" s="136"/>
      <c r="CF13" s="147"/>
      <c r="CG13" s="136"/>
      <c r="CH13" s="147"/>
      <c r="CI13" s="147"/>
      <c r="CJ13" s="136"/>
      <c r="CK13" s="136"/>
      <c r="CL13" s="136"/>
      <c r="CM13" s="136"/>
      <c r="CN13" s="136"/>
      <c r="CO13" s="136"/>
      <c r="CP13" s="136"/>
      <c r="CQ13" s="1"/>
      <c r="CR13" s="1"/>
      <c r="CS13" s="230"/>
      <c r="CT13" s="1"/>
      <c r="CU13" s="136"/>
      <c r="CV13" s="136"/>
      <c r="CW13" s="136"/>
      <c r="CX13" s="136"/>
      <c r="CY13" s="136"/>
      <c r="CZ13" s="136"/>
      <c r="DA13" s="136"/>
      <c r="DB13" s="136"/>
      <c r="DC13" s="136"/>
      <c r="DD13" s="136"/>
      <c r="DE13" s="211"/>
      <c r="DF13" s="211"/>
      <c r="DG13" s="273"/>
      <c r="DH13" s="136"/>
      <c r="DI13" s="1"/>
      <c r="DJ13" s="1"/>
      <c r="DK13" s="102"/>
      <c r="DL13" s="102"/>
      <c r="DM13" s="102"/>
      <c r="DN13" s="102"/>
      <c r="DO13" s="102"/>
      <c r="DP13" s="143"/>
      <c r="DQ13" s="143"/>
      <c r="DR13" s="143"/>
      <c r="DS13" s="102"/>
      <c r="DT13" s="1"/>
      <c r="DU13" s="1"/>
      <c r="DV13" s="1"/>
      <c r="DW13" s="99"/>
      <c r="DX13" s="1"/>
      <c r="EE13" s="1"/>
      <c r="EK13" s="98"/>
      <c r="EL13" s="98"/>
      <c r="EM13" s="98"/>
      <c r="EN13" s="98"/>
      <c r="EO13" s="98"/>
      <c r="EP13" s="238"/>
      <c r="EQ13" s="239"/>
      <c r="ER13" s="98"/>
      <c r="ES13" s="98"/>
      <c r="ET13" s="267"/>
      <c r="EU13" s="253"/>
      <c r="EV13" s="254"/>
    </row>
    <row r="14" spans="1:154" s="93" customFormat="1">
      <c r="A14" s="95"/>
      <c r="B14" s="95"/>
      <c r="D14" s="97"/>
      <c r="E14" s="97"/>
      <c r="F14" s="97"/>
      <c r="G14" s="220"/>
      <c r="H14" s="98"/>
      <c r="I14" s="96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92"/>
      <c r="AP14" s="92"/>
      <c r="AQ14" s="92"/>
      <c r="AR14" s="1"/>
      <c r="AS14" s="233"/>
      <c r="AT14" s="1"/>
      <c r="AU14" s="1"/>
      <c r="AV14" s="1"/>
      <c r="AW14" s="1"/>
      <c r="AX14" s="1"/>
      <c r="AY14" s="1"/>
      <c r="AZ14" s="1"/>
      <c r="BA14" s="1"/>
      <c r="BB14" s="1"/>
      <c r="BC14" s="102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36"/>
      <c r="BZ14" s="136"/>
      <c r="CA14" s="136"/>
      <c r="CB14" s="136"/>
      <c r="CC14" s="136"/>
      <c r="CD14" s="136"/>
      <c r="CE14" s="136"/>
      <c r="CF14" s="147"/>
      <c r="CG14" s="136"/>
      <c r="CH14" s="147"/>
      <c r="CI14" s="147"/>
      <c r="CJ14" s="136"/>
      <c r="CK14" s="136"/>
      <c r="CL14" s="136"/>
      <c r="CM14" s="136"/>
      <c r="CN14" s="136"/>
      <c r="CO14" s="136"/>
      <c r="CP14" s="136"/>
      <c r="CQ14" s="1"/>
      <c r="CR14" s="1"/>
      <c r="CS14" s="230"/>
      <c r="CT14" s="1"/>
      <c r="CU14" s="136"/>
      <c r="CV14" s="136"/>
      <c r="CW14" s="136"/>
      <c r="CX14" s="136"/>
      <c r="CY14" s="136"/>
      <c r="CZ14" s="136"/>
      <c r="DA14" s="136"/>
      <c r="DB14" s="136"/>
      <c r="DC14" s="136"/>
      <c r="DD14" s="136"/>
      <c r="DE14" s="211"/>
      <c r="DF14" s="211"/>
      <c r="DG14" s="273"/>
      <c r="DH14" s="136"/>
      <c r="DI14" s="1"/>
      <c r="DJ14" s="1"/>
      <c r="DK14" s="102"/>
      <c r="DL14" s="102"/>
      <c r="DM14" s="102"/>
      <c r="DN14" s="102"/>
      <c r="DO14" s="102"/>
      <c r="DP14" s="143"/>
      <c r="DQ14" s="143"/>
      <c r="DR14" s="143"/>
      <c r="DS14" s="102"/>
      <c r="DT14" s="1"/>
      <c r="DU14" s="1"/>
      <c r="DV14" s="1"/>
      <c r="DW14" s="99"/>
      <c r="DX14" s="1"/>
      <c r="EE14" s="1"/>
      <c r="EK14" s="98"/>
      <c r="EL14" s="98"/>
      <c r="EM14" s="98"/>
      <c r="EN14" s="98"/>
      <c r="EO14" s="98"/>
      <c r="EP14" s="238"/>
      <c r="EQ14" s="239"/>
      <c r="ER14" s="98"/>
      <c r="ES14" s="98"/>
      <c r="ET14" s="267"/>
      <c r="EU14" s="253"/>
      <c r="EV14" s="254"/>
    </row>
    <row r="15" spans="1:154" s="93" customFormat="1">
      <c r="A15" s="95"/>
      <c r="B15" s="95"/>
      <c r="D15" s="97"/>
      <c r="E15" s="97"/>
      <c r="F15" s="97"/>
      <c r="G15" s="220"/>
      <c r="H15" s="98"/>
      <c r="I15" s="96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92"/>
      <c r="AP15" s="92"/>
      <c r="AQ15" s="92"/>
      <c r="AR15" s="1"/>
      <c r="AS15" s="233"/>
      <c r="AT15" s="1"/>
      <c r="AU15" s="1"/>
      <c r="AV15" s="1"/>
      <c r="AW15" s="1"/>
      <c r="AX15" s="1"/>
      <c r="AY15" s="1"/>
      <c r="AZ15" s="1"/>
      <c r="BA15" s="1"/>
      <c r="BB15" s="1"/>
      <c r="BC15" s="102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36"/>
      <c r="BZ15" s="136"/>
      <c r="CA15" s="136"/>
      <c r="CB15" s="136"/>
      <c r="CC15" s="136"/>
      <c r="CD15" s="136"/>
      <c r="CE15" s="136"/>
      <c r="CF15" s="147"/>
      <c r="CG15" s="136"/>
      <c r="CH15" s="147"/>
      <c r="CI15" s="147"/>
      <c r="CJ15" s="136"/>
      <c r="CK15" s="136"/>
      <c r="CL15" s="136"/>
      <c r="CM15" s="136"/>
      <c r="CN15" s="136"/>
      <c r="CO15" s="136"/>
      <c r="CP15" s="136"/>
      <c r="CQ15" s="1"/>
      <c r="CR15" s="1"/>
      <c r="CS15" s="230"/>
      <c r="CT15" s="1"/>
      <c r="CU15" s="136"/>
      <c r="CV15" s="136"/>
      <c r="CW15" s="136"/>
      <c r="CX15" s="136"/>
      <c r="CY15" s="136"/>
      <c r="CZ15" s="136"/>
      <c r="DA15" s="136"/>
      <c r="DB15" s="136"/>
      <c r="DC15" s="136"/>
      <c r="DD15" s="136"/>
      <c r="DE15" s="211"/>
      <c r="DF15" s="211"/>
      <c r="DG15" s="273"/>
      <c r="DH15" s="136"/>
      <c r="DI15" s="1"/>
      <c r="DJ15" s="1"/>
      <c r="DK15" s="102"/>
      <c r="DL15" s="102"/>
      <c r="DM15" s="102"/>
      <c r="DN15" s="102"/>
      <c r="DO15" s="102"/>
      <c r="DP15" s="143"/>
      <c r="DQ15" s="143"/>
      <c r="DR15" s="143"/>
      <c r="DS15" s="102"/>
      <c r="DT15" s="1"/>
      <c r="DU15" s="1"/>
      <c r="DV15" s="1"/>
      <c r="DW15" s="99"/>
      <c r="DX15" s="1"/>
      <c r="EE15" s="1"/>
      <c r="EK15" s="98"/>
      <c r="EL15" s="98"/>
      <c r="EM15" s="98"/>
      <c r="EN15" s="98"/>
      <c r="EO15" s="98"/>
      <c r="EP15" s="238"/>
      <c r="EQ15" s="239"/>
      <c r="ER15" s="98"/>
      <c r="ES15" s="98"/>
      <c r="ET15" s="267"/>
      <c r="EU15" s="253"/>
      <c r="EV15" s="254"/>
    </row>
    <row r="16" spans="1:154" s="93" customFormat="1">
      <c r="A16" s="95"/>
      <c r="B16" s="95"/>
      <c r="D16" s="97"/>
      <c r="E16" s="97"/>
      <c r="F16" s="97"/>
      <c r="G16" s="220"/>
      <c r="H16" s="98"/>
      <c r="I16" s="96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92"/>
      <c r="AP16" s="92"/>
      <c r="AQ16" s="92"/>
      <c r="AR16" s="1"/>
      <c r="AS16" s="233"/>
      <c r="AT16" s="1"/>
      <c r="AU16" s="1"/>
      <c r="AV16" s="1"/>
      <c r="AW16" s="1"/>
      <c r="AX16" s="1"/>
      <c r="AY16" s="1"/>
      <c r="AZ16" s="1"/>
      <c r="BA16" s="1"/>
      <c r="BB16" s="1"/>
      <c r="BC16" s="102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36"/>
      <c r="BZ16" s="136"/>
      <c r="CA16" s="136"/>
      <c r="CB16" s="136"/>
      <c r="CC16" s="136"/>
      <c r="CD16" s="136"/>
      <c r="CE16" s="136"/>
      <c r="CF16" s="147"/>
      <c r="CG16" s="136"/>
      <c r="CH16" s="147"/>
      <c r="CI16" s="147"/>
      <c r="CJ16" s="136"/>
      <c r="CK16" s="136"/>
      <c r="CL16" s="136"/>
      <c r="CM16" s="136"/>
      <c r="CN16" s="136"/>
      <c r="CO16" s="136"/>
      <c r="CP16" s="136"/>
      <c r="CQ16" s="1"/>
      <c r="CR16" s="1"/>
      <c r="CS16" s="230"/>
      <c r="CT16" s="1"/>
      <c r="CU16" s="136"/>
      <c r="CV16" s="136"/>
      <c r="CW16" s="136"/>
      <c r="CX16" s="136"/>
      <c r="CY16" s="136"/>
      <c r="CZ16" s="136"/>
      <c r="DA16" s="136"/>
      <c r="DB16" s="136"/>
      <c r="DC16" s="136"/>
      <c r="DD16" s="136"/>
      <c r="DE16" s="211"/>
      <c r="DF16" s="211"/>
      <c r="DG16" s="273"/>
      <c r="DH16" s="136"/>
      <c r="DI16" s="1"/>
      <c r="DJ16" s="1"/>
      <c r="DK16" s="102"/>
      <c r="DL16" s="102"/>
      <c r="DM16" s="102"/>
      <c r="DN16" s="102"/>
      <c r="DO16" s="102"/>
      <c r="DP16" s="143"/>
      <c r="DQ16" s="143"/>
      <c r="DR16" s="143"/>
      <c r="DS16" s="102"/>
      <c r="DT16" s="1"/>
      <c r="DU16" s="1"/>
      <c r="DV16" s="1"/>
      <c r="DW16" s="99"/>
      <c r="DX16" s="1"/>
      <c r="EE16" s="1"/>
      <c r="EK16" s="98"/>
      <c r="EL16" s="98"/>
      <c r="EM16" s="98"/>
      <c r="EN16" s="98"/>
      <c r="EO16" s="98"/>
      <c r="EP16" s="238"/>
      <c r="EQ16" s="239"/>
      <c r="ER16" s="98"/>
      <c r="ES16" s="98"/>
      <c r="ET16" s="267"/>
      <c r="EU16" s="253"/>
      <c r="EV16" s="254"/>
    </row>
    <row r="17" spans="1:152" s="93" customFormat="1">
      <c r="A17" s="95"/>
      <c r="B17" s="95"/>
      <c r="D17" s="97"/>
      <c r="E17" s="97"/>
      <c r="F17" s="97"/>
      <c r="G17" s="220"/>
      <c r="H17" s="98"/>
      <c r="I17" s="96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92"/>
      <c r="AP17" s="92"/>
      <c r="AQ17" s="92"/>
      <c r="AR17" s="1"/>
      <c r="AS17" s="233"/>
      <c r="AT17" s="1"/>
      <c r="AU17" s="1"/>
      <c r="AV17" s="1"/>
      <c r="AW17" s="1"/>
      <c r="AX17" s="1"/>
      <c r="AY17" s="1"/>
      <c r="AZ17" s="1"/>
      <c r="BA17" s="1"/>
      <c r="BB17" s="1"/>
      <c r="BC17" s="102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36"/>
      <c r="BZ17" s="136"/>
      <c r="CA17" s="136"/>
      <c r="CB17" s="136"/>
      <c r="CC17" s="136"/>
      <c r="CD17" s="136"/>
      <c r="CE17" s="136"/>
      <c r="CF17" s="147"/>
      <c r="CG17" s="136"/>
      <c r="CH17" s="147"/>
      <c r="CI17" s="147"/>
      <c r="CJ17" s="136"/>
      <c r="CK17" s="136"/>
      <c r="CL17" s="136"/>
      <c r="CM17" s="136"/>
      <c r="CN17" s="136"/>
      <c r="CO17" s="136"/>
      <c r="CP17" s="136"/>
      <c r="CQ17" s="1"/>
      <c r="CR17" s="1"/>
      <c r="CS17" s="230"/>
      <c r="CT17" s="1"/>
      <c r="CU17" s="136"/>
      <c r="CV17" s="136"/>
      <c r="CW17" s="136"/>
      <c r="CX17" s="136"/>
      <c r="CY17" s="136"/>
      <c r="CZ17" s="136"/>
      <c r="DA17" s="136"/>
      <c r="DB17" s="136"/>
      <c r="DC17" s="136"/>
      <c r="DD17" s="136"/>
      <c r="DE17" s="211"/>
      <c r="DF17" s="211"/>
      <c r="DG17" s="273"/>
      <c r="DH17" s="136"/>
      <c r="DI17" s="1"/>
      <c r="DJ17" s="1"/>
      <c r="DK17" s="102"/>
      <c r="DL17" s="102"/>
      <c r="DM17" s="102"/>
      <c r="DN17" s="102"/>
      <c r="DO17" s="102"/>
      <c r="DP17" s="143"/>
      <c r="DQ17" s="143"/>
      <c r="DR17" s="143"/>
      <c r="DS17" s="102"/>
      <c r="DT17" s="1"/>
      <c r="DU17" s="1"/>
      <c r="DV17" s="1"/>
      <c r="DW17" s="99"/>
      <c r="DX17" s="1"/>
      <c r="EE17" s="1"/>
      <c r="EK17" s="98"/>
      <c r="EL17" s="98"/>
      <c r="EM17" s="98"/>
      <c r="EN17" s="98"/>
      <c r="EO17" s="98"/>
      <c r="EP17" s="238"/>
      <c r="EQ17" s="239"/>
      <c r="ER17" s="98"/>
      <c r="ES17" s="98"/>
      <c r="ET17" s="267"/>
      <c r="EU17" s="253"/>
      <c r="EV17" s="254"/>
    </row>
    <row r="18" spans="1:152" s="93" customFormat="1">
      <c r="A18" s="95"/>
      <c r="B18" s="95"/>
      <c r="D18" s="97"/>
      <c r="E18" s="97"/>
      <c r="F18" s="97"/>
      <c r="G18" s="220"/>
      <c r="H18" s="98"/>
      <c r="I18" s="96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92"/>
      <c r="AP18" s="92"/>
      <c r="AQ18" s="92"/>
      <c r="AR18" s="1"/>
      <c r="AS18" s="233"/>
      <c r="AT18" s="1"/>
      <c r="AU18" s="1"/>
      <c r="AV18" s="1"/>
      <c r="AW18" s="1"/>
      <c r="AX18" s="1"/>
      <c r="AY18" s="1"/>
      <c r="AZ18" s="1"/>
      <c r="BA18" s="1"/>
      <c r="BB18" s="1"/>
      <c r="BC18" s="102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36"/>
      <c r="BZ18" s="136"/>
      <c r="CA18" s="136"/>
      <c r="CB18" s="136"/>
      <c r="CC18" s="136"/>
      <c r="CD18" s="136"/>
      <c r="CE18" s="136"/>
      <c r="CF18" s="147"/>
      <c r="CG18" s="136"/>
      <c r="CH18" s="147"/>
      <c r="CI18" s="147"/>
      <c r="CJ18" s="136"/>
      <c r="CK18" s="136"/>
      <c r="CL18" s="136"/>
      <c r="CM18" s="136"/>
      <c r="CN18" s="136"/>
      <c r="CO18" s="136"/>
      <c r="CP18" s="136"/>
      <c r="CQ18" s="1"/>
      <c r="CR18" s="1"/>
      <c r="CS18" s="230"/>
      <c r="CT18" s="1"/>
      <c r="CU18" s="136"/>
      <c r="CV18" s="136"/>
      <c r="CW18" s="136"/>
      <c r="CX18" s="136"/>
      <c r="CY18" s="136"/>
      <c r="CZ18" s="136"/>
      <c r="DA18" s="136"/>
      <c r="DB18" s="136"/>
      <c r="DC18" s="136"/>
      <c r="DD18" s="136"/>
      <c r="DE18" s="211"/>
      <c r="DF18" s="211"/>
      <c r="DG18" s="273"/>
      <c r="DH18" s="136"/>
      <c r="DI18" s="1"/>
      <c r="DJ18" s="1"/>
      <c r="DK18" s="102"/>
      <c r="DL18" s="102"/>
      <c r="DM18" s="102"/>
      <c r="DN18" s="102"/>
      <c r="DO18" s="102"/>
      <c r="DP18" s="143"/>
      <c r="DQ18" s="143"/>
      <c r="DR18" s="143"/>
      <c r="DS18" s="102"/>
      <c r="DT18" s="1"/>
      <c r="DU18" s="1"/>
      <c r="DV18" s="1"/>
      <c r="DW18" s="99"/>
      <c r="DX18" s="1"/>
      <c r="EE18" s="1"/>
      <c r="EK18" s="98"/>
      <c r="EL18" s="98"/>
      <c r="EM18" s="98"/>
      <c r="EN18" s="98"/>
      <c r="EO18" s="98"/>
      <c r="EP18" s="238"/>
      <c r="EQ18" s="239"/>
      <c r="ER18" s="98"/>
      <c r="ES18" s="98"/>
      <c r="ET18" s="267"/>
      <c r="EU18" s="253"/>
      <c r="EV18" s="254"/>
    </row>
    <row r="19" spans="1:152" s="93" customFormat="1">
      <c r="A19" s="95"/>
      <c r="B19" s="95"/>
      <c r="D19" s="97"/>
      <c r="E19" s="97"/>
      <c r="F19" s="97"/>
      <c r="G19" s="220"/>
      <c r="H19" s="98"/>
      <c r="I19" s="96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92"/>
      <c r="AP19" s="92"/>
      <c r="AQ19" s="92"/>
      <c r="AR19" s="1"/>
      <c r="AS19" s="233"/>
      <c r="AT19" s="1"/>
      <c r="AU19" s="1"/>
      <c r="AV19" s="1"/>
      <c r="AW19" s="1"/>
      <c r="AX19" s="1"/>
      <c r="AY19" s="1"/>
      <c r="AZ19" s="1"/>
      <c r="BA19" s="1"/>
      <c r="BB19" s="1"/>
      <c r="BC19" s="102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36"/>
      <c r="BZ19" s="136"/>
      <c r="CA19" s="136"/>
      <c r="CB19" s="136"/>
      <c r="CC19" s="136"/>
      <c r="CD19" s="136"/>
      <c r="CE19" s="136"/>
      <c r="CF19" s="147"/>
      <c r="CG19" s="136"/>
      <c r="CH19" s="147"/>
      <c r="CI19" s="147"/>
      <c r="CJ19" s="136"/>
      <c r="CK19" s="136"/>
      <c r="CL19" s="136"/>
      <c r="CM19" s="136"/>
      <c r="CN19" s="136"/>
      <c r="CO19" s="136"/>
      <c r="CP19" s="136"/>
      <c r="CQ19" s="1"/>
      <c r="CR19" s="1"/>
      <c r="CS19" s="230"/>
      <c r="CT19" s="1"/>
      <c r="CU19" s="136"/>
      <c r="CV19" s="136"/>
      <c r="CW19" s="136"/>
      <c r="CX19" s="136"/>
      <c r="CY19" s="136"/>
      <c r="CZ19" s="136"/>
      <c r="DA19" s="136"/>
      <c r="DB19" s="136"/>
      <c r="DC19" s="136"/>
      <c r="DD19" s="136"/>
      <c r="DE19" s="211"/>
      <c r="DF19" s="211"/>
      <c r="DG19" s="273"/>
      <c r="DH19" s="136"/>
      <c r="DI19" s="1"/>
      <c r="DJ19" s="1"/>
      <c r="DK19" s="102"/>
      <c r="DL19" s="102"/>
      <c r="DM19" s="102"/>
      <c r="DN19" s="102"/>
      <c r="DO19" s="102"/>
      <c r="DP19" s="143"/>
      <c r="DQ19" s="143"/>
      <c r="DR19" s="143"/>
      <c r="DS19" s="102"/>
      <c r="DT19" s="1"/>
      <c r="DU19" s="1"/>
      <c r="DV19" s="1"/>
      <c r="DW19" s="99"/>
      <c r="DX19" s="1"/>
      <c r="EE19" s="1"/>
      <c r="EK19" s="98"/>
      <c r="EL19" s="98"/>
      <c r="EM19" s="98"/>
      <c r="EN19" s="98"/>
      <c r="EO19" s="98"/>
      <c r="EP19" s="238"/>
      <c r="EQ19" s="239"/>
      <c r="ER19" s="98"/>
      <c r="ES19" s="98"/>
      <c r="ET19" s="267"/>
      <c r="EU19" s="253"/>
      <c r="EV19" s="254"/>
    </row>
    <row r="20" spans="1:152" s="93" customFormat="1">
      <c r="A20" s="95"/>
      <c r="B20" s="95"/>
      <c r="D20" s="97"/>
      <c r="E20" s="97"/>
      <c r="F20" s="97"/>
      <c r="G20" s="220"/>
      <c r="H20" s="98"/>
      <c r="I20" s="96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92"/>
      <c r="AP20" s="92"/>
      <c r="AQ20" s="92"/>
      <c r="AR20" s="1"/>
      <c r="AS20" s="233"/>
      <c r="AT20" s="1"/>
      <c r="AU20" s="1"/>
      <c r="AV20" s="1"/>
      <c r="AW20" s="1"/>
      <c r="AX20" s="1"/>
      <c r="AY20" s="1"/>
      <c r="AZ20" s="1"/>
      <c r="BA20" s="1"/>
      <c r="BB20" s="1"/>
      <c r="BC20" s="102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36"/>
      <c r="BZ20" s="136"/>
      <c r="CA20" s="136"/>
      <c r="CB20" s="136"/>
      <c r="CC20" s="136"/>
      <c r="CD20" s="136"/>
      <c r="CE20" s="136"/>
      <c r="CF20" s="147"/>
      <c r="CG20" s="136"/>
      <c r="CH20" s="147"/>
      <c r="CI20" s="147"/>
      <c r="CJ20" s="136"/>
      <c r="CK20" s="136"/>
      <c r="CL20" s="136"/>
      <c r="CM20" s="136"/>
      <c r="CN20" s="136"/>
      <c r="CO20" s="136"/>
      <c r="CP20" s="136"/>
      <c r="CQ20" s="1"/>
      <c r="CR20" s="1"/>
      <c r="CS20" s="230"/>
      <c r="CT20" s="1"/>
      <c r="CU20" s="136"/>
      <c r="CV20" s="136"/>
      <c r="CW20" s="136"/>
      <c r="CX20" s="136"/>
      <c r="CY20" s="136"/>
      <c r="CZ20" s="136"/>
      <c r="DA20" s="136"/>
      <c r="DB20" s="136"/>
      <c r="DC20" s="136"/>
      <c r="DD20" s="136"/>
      <c r="DE20" s="211"/>
      <c r="DF20" s="211"/>
      <c r="DG20" s="273"/>
      <c r="DH20" s="136"/>
      <c r="DI20" s="1"/>
      <c r="DJ20" s="1"/>
      <c r="DK20" s="102"/>
      <c r="DL20" s="102"/>
      <c r="DM20" s="102"/>
      <c r="DN20" s="102"/>
      <c r="DO20" s="102"/>
      <c r="DP20" s="143"/>
      <c r="DQ20" s="143"/>
      <c r="DR20" s="143"/>
      <c r="DS20" s="102"/>
      <c r="DT20" s="1"/>
      <c r="DU20" s="1"/>
      <c r="DV20" s="1"/>
      <c r="DW20" s="99"/>
      <c r="DX20" s="1"/>
      <c r="EE20" s="1"/>
      <c r="EK20" s="98"/>
      <c r="EL20" s="98"/>
      <c r="EM20" s="98"/>
      <c r="EN20" s="98"/>
      <c r="EO20" s="98"/>
      <c r="EP20" s="238"/>
      <c r="EQ20" s="239"/>
      <c r="ER20" s="98"/>
      <c r="ES20" s="98"/>
      <c r="ET20" s="267"/>
      <c r="EU20" s="253"/>
      <c r="EV20" s="254"/>
    </row>
    <row r="21" spans="1:152" s="93" customFormat="1">
      <c r="A21" s="95"/>
      <c r="B21" s="95"/>
      <c r="D21" s="97"/>
      <c r="E21" s="97"/>
      <c r="F21" s="97"/>
      <c r="G21" s="220"/>
      <c r="H21" s="98"/>
      <c r="I21" s="96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92"/>
      <c r="AP21" s="92"/>
      <c r="AQ21" s="92"/>
      <c r="AR21" s="1"/>
      <c r="AS21" s="233"/>
      <c r="AT21" s="1"/>
      <c r="AU21" s="1"/>
      <c r="AV21" s="1"/>
      <c r="AW21" s="1"/>
      <c r="AX21" s="1"/>
      <c r="AY21" s="1"/>
      <c r="AZ21" s="1"/>
      <c r="BA21" s="1"/>
      <c r="BB21" s="1"/>
      <c r="BC21" s="102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36"/>
      <c r="BZ21" s="136"/>
      <c r="CA21" s="136"/>
      <c r="CB21" s="136"/>
      <c r="CC21" s="136"/>
      <c r="CD21" s="136"/>
      <c r="CE21" s="136"/>
      <c r="CF21" s="147"/>
      <c r="CG21" s="136"/>
      <c r="CH21" s="147"/>
      <c r="CI21" s="147"/>
      <c r="CJ21" s="136"/>
      <c r="CK21" s="136"/>
      <c r="CL21" s="136"/>
      <c r="CM21" s="136"/>
      <c r="CN21" s="136"/>
      <c r="CO21" s="136"/>
      <c r="CP21" s="136"/>
      <c r="CQ21" s="1"/>
      <c r="CR21" s="1"/>
      <c r="CS21" s="230"/>
      <c r="CT21" s="1"/>
      <c r="CU21" s="136"/>
      <c r="CV21" s="136"/>
      <c r="CW21" s="136"/>
      <c r="CX21" s="136"/>
      <c r="CY21" s="136"/>
      <c r="CZ21" s="136"/>
      <c r="DA21" s="136"/>
      <c r="DB21" s="136"/>
      <c r="DC21" s="136"/>
      <c r="DD21" s="136"/>
      <c r="DE21" s="211"/>
      <c r="DF21" s="211"/>
      <c r="DG21" s="273"/>
      <c r="DH21" s="136"/>
      <c r="DI21" s="1"/>
      <c r="DJ21" s="1"/>
      <c r="DK21" s="102"/>
      <c r="DL21" s="102"/>
      <c r="DM21" s="102"/>
      <c r="DN21" s="102"/>
      <c r="DO21" s="102"/>
      <c r="DP21" s="143"/>
      <c r="DQ21" s="143"/>
      <c r="DR21" s="143"/>
      <c r="DS21" s="102"/>
      <c r="DT21" s="1"/>
      <c r="DU21" s="1"/>
      <c r="DV21" s="1"/>
      <c r="DW21" s="99"/>
      <c r="DX21" s="1"/>
      <c r="EE21" s="1"/>
      <c r="EK21" s="98"/>
      <c r="EL21" s="98"/>
      <c r="EM21" s="98"/>
      <c r="EN21" s="98"/>
      <c r="EO21" s="98"/>
      <c r="EP21" s="238"/>
      <c r="EQ21" s="239"/>
      <c r="ER21" s="98"/>
      <c r="ES21" s="98"/>
      <c r="ET21" s="267"/>
      <c r="EU21" s="253"/>
      <c r="EV21" s="254"/>
    </row>
    <row r="22" spans="1:152" s="93" customFormat="1">
      <c r="A22" s="95"/>
      <c r="B22" s="95"/>
      <c r="D22" s="97"/>
      <c r="E22" s="97"/>
      <c r="F22" s="97"/>
      <c r="G22" s="220"/>
      <c r="H22" s="98"/>
      <c r="I22" s="96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92"/>
      <c r="AP22" s="92"/>
      <c r="AQ22" s="92"/>
      <c r="AR22" s="1"/>
      <c r="AS22" s="233"/>
      <c r="AT22" s="1"/>
      <c r="AU22" s="1"/>
      <c r="AV22" s="1"/>
      <c r="AW22" s="1"/>
      <c r="AX22" s="1"/>
      <c r="AY22" s="1"/>
      <c r="AZ22" s="1"/>
      <c r="BA22" s="1"/>
      <c r="BB22" s="1"/>
      <c r="BC22" s="102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36"/>
      <c r="BZ22" s="136"/>
      <c r="CA22" s="136"/>
      <c r="CB22" s="136"/>
      <c r="CC22" s="136"/>
      <c r="CD22" s="136"/>
      <c r="CE22" s="136"/>
      <c r="CF22" s="147"/>
      <c r="CG22" s="136"/>
      <c r="CH22" s="147"/>
      <c r="CI22" s="147"/>
      <c r="CJ22" s="136"/>
      <c r="CK22" s="136"/>
      <c r="CL22" s="136"/>
      <c r="CM22" s="136"/>
      <c r="CN22" s="136"/>
      <c r="CO22" s="136"/>
      <c r="CP22" s="136"/>
      <c r="CQ22" s="1"/>
      <c r="CR22" s="1"/>
      <c r="CS22" s="230"/>
      <c r="CT22" s="1"/>
      <c r="CU22" s="136"/>
      <c r="CV22" s="136"/>
      <c r="CW22" s="136"/>
      <c r="CX22" s="136"/>
      <c r="CY22" s="136"/>
      <c r="CZ22" s="136"/>
      <c r="DA22" s="136"/>
      <c r="DB22" s="136"/>
      <c r="DC22" s="136"/>
      <c r="DD22" s="136"/>
      <c r="DE22" s="211"/>
      <c r="DF22" s="211"/>
      <c r="DG22" s="273"/>
      <c r="DH22" s="136"/>
      <c r="DI22" s="1"/>
      <c r="DJ22" s="1"/>
      <c r="DK22" s="102"/>
      <c r="DL22" s="102"/>
      <c r="DM22" s="102"/>
      <c r="DN22" s="102"/>
      <c r="DO22" s="102"/>
      <c r="DP22" s="143"/>
      <c r="DQ22" s="143"/>
      <c r="DR22" s="143"/>
      <c r="DS22" s="102"/>
      <c r="DT22" s="1"/>
      <c r="DU22" s="1"/>
      <c r="DV22" s="1"/>
      <c r="DW22" s="99"/>
      <c r="DX22" s="1"/>
      <c r="EE22" s="1"/>
      <c r="EK22" s="98"/>
      <c r="EL22" s="98"/>
      <c r="EM22" s="98"/>
      <c r="EN22" s="98"/>
      <c r="EO22" s="98"/>
      <c r="EP22" s="238"/>
      <c r="EQ22" s="239"/>
      <c r="ER22" s="98"/>
      <c r="ES22" s="98"/>
      <c r="ET22" s="267"/>
      <c r="EU22" s="253"/>
      <c r="EV22" s="254"/>
    </row>
    <row r="23" spans="1:152" s="93" customFormat="1">
      <c r="A23" s="95"/>
      <c r="B23" s="95"/>
      <c r="D23" s="97"/>
      <c r="E23" s="97"/>
      <c r="F23" s="97"/>
      <c r="G23" s="220"/>
      <c r="H23" s="98"/>
      <c r="I23" s="96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92"/>
      <c r="AP23" s="92"/>
      <c r="AQ23" s="92"/>
      <c r="AR23" s="1"/>
      <c r="AS23" s="233"/>
      <c r="AT23" s="1"/>
      <c r="AU23" s="1"/>
      <c r="AV23" s="1"/>
      <c r="AW23" s="1"/>
      <c r="AX23" s="1"/>
      <c r="AY23" s="1"/>
      <c r="AZ23" s="1"/>
      <c r="BA23" s="1"/>
      <c r="BB23" s="1"/>
      <c r="BC23" s="102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36"/>
      <c r="BZ23" s="136"/>
      <c r="CA23" s="136"/>
      <c r="CB23" s="136"/>
      <c r="CC23" s="136"/>
      <c r="CD23" s="136"/>
      <c r="CE23" s="136"/>
      <c r="CF23" s="147"/>
      <c r="CG23" s="136"/>
      <c r="CH23" s="147"/>
      <c r="CI23" s="147"/>
      <c r="CJ23" s="136"/>
      <c r="CK23" s="136"/>
      <c r="CL23" s="136"/>
      <c r="CM23" s="136"/>
      <c r="CN23" s="136"/>
      <c r="CO23" s="136"/>
      <c r="CP23" s="136"/>
      <c r="CQ23" s="1"/>
      <c r="CR23" s="1"/>
      <c r="CS23" s="230"/>
      <c r="CT23" s="1"/>
      <c r="CU23" s="136"/>
      <c r="CV23" s="136"/>
      <c r="CW23" s="136"/>
      <c r="CX23" s="136"/>
      <c r="CY23" s="136"/>
      <c r="CZ23" s="136"/>
      <c r="DA23" s="136"/>
      <c r="DB23" s="136"/>
      <c r="DC23" s="136"/>
      <c r="DD23" s="136"/>
      <c r="DE23" s="211"/>
      <c r="DF23" s="211"/>
      <c r="DG23" s="273"/>
      <c r="DH23" s="136"/>
      <c r="DI23" s="1"/>
      <c r="DJ23" s="1"/>
      <c r="DK23" s="102"/>
      <c r="DL23" s="102"/>
      <c r="DM23" s="102"/>
      <c r="DN23" s="102"/>
      <c r="DO23" s="102"/>
      <c r="DP23" s="143"/>
      <c r="DQ23" s="143"/>
      <c r="DR23" s="143"/>
      <c r="DS23" s="102"/>
      <c r="DT23" s="1"/>
      <c r="DU23" s="1"/>
      <c r="DV23" s="1"/>
      <c r="DW23" s="99"/>
      <c r="DX23" s="1"/>
      <c r="EE23" s="1"/>
      <c r="EK23" s="98"/>
      <c r="EL23" s="98"/>
      <c r="EM23" s="98"/>
      <c r="EN23" s="98"/>
      <c r="EO23" s="98"/>
      <c r="EP23" s="238"/>
      <c r="EQ23" s="239"/>
      <c r="ER23" s="98"/>
      <c r="ES23" s="98"/>
      <c r="ET23" s="267"/>
      <c r="EU23" s="253"/>
      <c r="EV23" s="254"/>
    </row>
    <row r="24" spans="1:152" s="93" customFormat="1">
      <c r="A24" s="95"/>
      <c r="B24" s="95"/>
      <c r="D24" s="97"/>
      <c r="E24" s="97"/>
      <c r="F24" s="97"/>
      <c r="G24" s="220"/>
      <c r="H24" s="98"/>
      <c r="I24" s="96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92"/>
      <c r="AP24" s="92"/>
      <c r="AQ24" s="92"/>
      <c r="AR24" s="1"/>
      <c r="AS24" s="233"/>
      <c r="AT24" s="1"/>
      <c r="AU24" s="1"/>
      <c r="AV24" s="1"/>
      <c r="AW24" s="1"/>
      <c r="AX24" s="1"/>
      <c r="AY24" s="1"/>
      <c r="AZ24" s="1"/>
      <c r="BA24" s="1"/>
      <c r="BB24" s="1"/>
      <c r="BC24" s="102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36"/>
      <c r="BZ24" s="136"/>
      <c r="CA24" s="136"/>
      <c r="CB24" s="136"/>
      <c r="CC24" s="136"/>
      <c r="CD24" s="136"/>
      <c r="CE24" s="136"/>
      <c r="CF24" s="147"/>
      <c r="CG24" s="136"/>
      <c r="CH24" s="147"/>
      <c r="CI24" s="147"/>
      <c r="CJ24" s="136"/>
      <c r="CK24" s="136"/>
      <c r="CL24" s="136"/>
      <c r="CM24" s="136"/>
      <c r="CN24" s="136"/>
      <c r="CO24" s="136"/>
      <c r="CP24" s="136"/>
      <c r="CQ24" s="1"/>
      <c r="CR24" s="1"/>
      <c r="CS24" s="230"/>
      <c r="CT24" s="1"/>
      <c r="CU24" s="136"/>
      <c r="CV24" s="136"/>
      <c r="CW24" s="136"/>
      <c r="CX24" s="136"/>
      <c r="CY24" s="136"/>
      <c r="CZ24" s="136"/>
      <c r="DA24" s="136"/>
      <c r="DB24" s="136"/>
      <c r="DC24" s="136"/>
      <c r="DD24" s="136"/>
      <c r="DE24" s="211"/>
      <c r="DF24" s="211"/>
      <c r="DG24" s="273"/>
      <c r="DH24" s="136"/>
      <c r="DI24" s="1"/>
      <c r="DJ24" s="1"/>
      <c r="DK24" s="102"/>
      <c r="DL24" s="102"/>
      <c r="DM24" s="102"/>
      <c r="DN24" s="102"/>
      <c r="DO24" s="102"/>
      <c r="DP24" s="143"/>
      <c r="DQ24" s="143"/>
      <c r="DR24" s="143"/>
      <c r="DS24" s="102"/>
      <c r="DT24" s="1"/>
      <c r="DU24" s="1"/>
      <c r="DV24" s="1"/>
      <c r="DW24" s="99"/>
      <c r="DX24" s="1"/>
      <c r="EE24" s="1"/>
      <c r="EK24" s="98"/>
      <c r="EL24" s="98"/>
      <c r="EM24" s="98"/>
      <c r="EN24" s="98"/>
      <c r="EO24" s="98"/>
      <c r="EP24" s="238"/>
      <c r="EQ24" s="239"/>
      <c r="ER24" s="98"/>
      <c r="ES24" s="98"/>
      <c r="ET24" s="267"/>
      <c r="EU24" s="253"/>
      <c r="EV24" s="254"/>
    </row>
    <row r="25" spans="1:152" s="93" customFormat="1">
      <c r="A25" s="95"/>
      <c r="B25" s="95"/>
      <c r="D25" s="97"/>
      <c r="E25" s="97"/>
      <c r="F25" s="97"/>
      <c r="G25" s="220"/>
      <c r="H25" s="98"/>
      <c r="I25" s="96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92"/>
      <c r="AP25" s="92"/>
      <c r="AQ25" s="92"/>
      <c r="AR25" s="1"/>
      <c r="AS25" s="233"/>
      <c r="AT25" s="1"/>
      <c r="AU25" s="1"/>
      <c r="AV25" s="1"/>
      <c r="AW25" s="1"/>
      <c r="AX25" s="1"/>
      <c r="AY25" s="1"/>
      <c r="AZ25" s="1"/>
      <c r="BA25" s="1"/>
      <c r="BB25" s="1"/>
      <c r="BC25" s="102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36"/>
      <c r="BZ25" s="136"/>
      <c r="CA25" s="136"/>
      <c r="CB25" s="136"/>
      <c r="CC25" s="136"/>
      <c r="CD25" s="136"/>
      <c r="CE25" s="136"/>
      <c r="CF25" s="147"/>
      <c r="CG25" s="136"/>
      <c r="CH25" s="147"/>
      <c r="CI25" s="147"/>
      <c r="CJ25" s="136"/>
      <c r="CK25" s="136"/>
      <c r="CL25" s="136"/>
      <c r="CM25" s="136"/>
      <c r="CN25" s="136"/>
      <c r="CO25" s="136"/>
      <c r="CP25" s="136"/>
      <c r="CQ25" s="1"/>
      <c r="CR25" s="1"/>
      <c r="CS25" s="230"/>
      <c r="CT25" s="1"/>
      <c r="CU25" s="136"/>
      <c r="CV25" s="136"/>
      <c r="CW25" s="136"/>
      <c r="CX25" s="136"/>
      <c r="CY25" s="136"/>
      <c r="CZ25" s="136"/>
      <c r="DA25" s="136"/>
      <c r="DB25" s="136"/>
      <c r="DC25" s="136"/>
      <c r="DD25" s="136"/>
      <c r="DE25" s="211"/>
      <c r="DF25" s="211"/>
      <c r="DG25" s="273"/>
      <c r="DH25" s="136"/>
      <c r="DI25" s="1"/>
      <c r="DJ25" s="1"/>
      <c r="DK25" s="102"/>
      <c r="DL25" s="102"/>
      <c r="DM25" s="102"/>
      <c r="DN25" s="102"/>
      <c r="DO25" s="102"/>
      <c r="DP25" s="143"/>
      <c r="DQ25" s="143"/>
      <c r="DR25" s="143"/>
      <c r="DS25" s="102"/>
      <c r="DT25" s="1"/>
      <c r="DU25" s="1"/>
      <c r="DV25" s="1"/>
      <c r="DW25" s="99"/>
      <c r="DX25" s="1"/>
      <c r="EE25" s="1"/>
      <c r="EK25" s="98"/>
      <c r="EL25" s="98"/>
      <c r="EM25" s="98"/>
      <c r="EN25" s="98"/>
      <c r="EO25" s="98"/>
      <c r="EP25" s="238"/>
      <c r="EQ25" s="239"/>
      <c r="ER25" s="98"/>
      <c r="ES25" s="98"/>
      <c r="ET25" s="267"/>
      <c r="EU25" s="253"/>
      <c r="EV25" s="254"/>
    </row>
    <row r="26" spans="1:152" s="93" customFormat="1">
      <c r="A26" s="95"/>
      <c r="B26" s="95"/>
      <c r="D26" s="97"/>
      <c r="E26" s="97"/>
      <c r="F26" s="97"/>
      <c r="G26" s="220"/>
      <c r="H26" s="98"/>
      <c r="I26" s="96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92"/>
      <c r="AP26" s="92"/>
      <c r="AQ26" s="92"/>
      <c r="AR26" s="1"/>
      <c r="AS26" s="233"/>
      <c r="AT26" s="1"/>
      <c r="AU26" s="1"/>
      <c r="AV26" s="1"/>
      <c r="AW26" s="1"/>
      <c r="AX26" s="1"/>
      <c r="AY26" s="1"/>
      <c r="AZ26" s="1"/>
      <c r="BA26" s="1"/>
      <c r="BB26" s="1"/>
      <c r="BC26" s="102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36"/>
      <c r="BZ26" s="136"/>
      <c r="CA26" s="136"/>
      <c r="CB26" s="136"/>
      <c r="CC26" s="136"/>
      <c r="CD26" s="136"/>
      <c r="CE26" s="136"/>
      <c r="CF26" s="147"/>
      <c r="CG26" s="136"/>
      <c r="CH26" s="147"/>
      <c r="CI26" s="147"/>
      <c r="CJ26" s="136"/>
      <c r="CK26" s="136"/>
      <c r="CL26" s="136"/>
      <c r="CM26" s="136"/>
      <c r="CN26" s="136"/>
      <c r="CO26" s="136"/>
      <c r="CP26" s="136"/>
      <c r="CQ26" s="1"/>
      <c r="CR26" s="1"/>
      <c r="CS26" s="230"/>
      <c r="CT26" s="1"/>
      <c r="CU26" s="136"/>
      <c r="CV26" s="136"/>
      <c r="CW26" s="136"/>
      <c r="CX26" s="136"/>
      <c r="CY26" s="136"/>
      <c r="CZ26" s="136"/>
      <c r="DA26" s="136"/>
      <c r="DB26" s="136"/>
      <c r="DC26" s="136"/>
      <c r="DD26" s="136"/>
      <c r="DE26" s="211"/>
      <c r="DF26" s="211"/>
      <c r="DG26" s="273"/>
      <c r="DH26" s="136"/>
      <c r="DI26" s="1"/>
      <c r="DJ26" s="1"/>
      <c r="DK26" s="102"/>
      <c r="DL26" s="102"/>
      <c r="DM26" s="102"/>
      <c r="DN26" s="102"/>
      <c r="DO26" s="102"/>
      <c r="DP26" s="143"/>
      <c r="DQ26" s="143"/>
      <c r="DR26" s="143"/>
      <c r="DS26" s="102"/>
      <c r="DT26" s="1"/>
      <c r="DU26" s="1"/>
      <c r="DV26" s="1"/>
      <c r="DW26" s="99"/>
      <c r="DX26" s="1"/>
      <c r="EE26" s="1"/>
      <c r="EK26" s="98"/>
      <c r="EL26" s="98"/>
      <c r="EM26" s="98"/>
      <c r="EN26" s="98"/>
      <c r="EO26" s="98"/>
      <c r="EP26" s="238"/>
      <c r="EQ26" s="239"/>
      <c r="ER26" s="98"/>
      <c r="ES26" s="98"/>
      <c r="ET26" s="267"/>
      <c r="EU26" s="253"/>
      <c r="EV26" s="254"/>
    </row>
    <row r="27" spans="1:152" s="93" customFormat="1">
      <c r="A27" s="95"/>
      <c r="B27" s="95"/>
      <c r="D27" s="97"/>
      <c r="E27" s="97"/>
      <c r="F27" s="97"/>
      <c r="G27" s="220"/>
      <c r="H27" s="98"/>
      <c r="I27" s="96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92"/>
      <c r="AP27" s="92"/>
      <c r="AQ27" s="92"/>
      <c r="AR27" s="1"/>
      <c r="AS27" s="233"/>
      <c r="AT27" s="1"/>
      <c r="AU27" s="1"/>
      <c r="AV27" s="1"/>
      <c r="AW27" s="1"/>
      <c r="AX27" s="1"/>
      <c r="AY27" s="1"/>
      <c r="AZ27" s="1"/>
      <c r="BA27" s="1"/>
      <c r="BB27" s="1"/>
      <c r="BC27" s="102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36"/>
      <c r="BZ27" s="136"/>
      <c r="CA27" s="136"/>
      <c r="CB27" s="136"/>
      <c r="CC27" s="136"/>
      <c r="CD27" s="136"/>
      <c r="CE27" s="136"/>
      <c r="CF27" s="147"/>
      <c r="CG27" s="136"/>
      <c r="CH27" s="147"/>
      <c r="CI27" s="147"/>
      <c r="CJ27" s="136"/>
      <c r="CK27" s="136"/>
      <c r="CL27" s="136"/>
      <c r="CM27" s="136"/>
      <c r="CN27" s="136"/>
      <c r="CO27" s="136"/>
      <c r="CP27" s="136"/>
      <c r="CQ27" s="1"/>
      <c r="CR27" s="1"/>
      <c r="CS27" s="230"/>
      <c r="CT27" s="1"/>
      <c r="CU27" s="136"/>
      <c r="CV27" s="136"/>
      <c r="CW27" s="136"/>
      <c r="CX27" s="136"/>
      <c r="CY27" s="136"/>
      <c r="CZ27" s="136"/>
      <c r="DA27" s="136"/>
      <c r="DB27" s="136"/>
      <c r="DC27" s="136"/>
      <c r="DD27" s="136"/>
      <c r="DE27" s="211"/>
      <c r="DF27" s="211"/>
      <c r="DG27" s="273"/>
      <c r="DH27" s="136"/>
      <c r="DI27" s="1"/>
      <c r="DJ27" s="1"/>
      <c r="DK27" s="102"/>
      <c r="DL27" s="102"/>
      <c r="DM27" s="102"/>
      <c r="DN27" s="102"/>
      <c r="DO27" s="102"/>
      <c r="DP27" s="143"/>
      <c r="DQ27" s="143"/>
      <c r="DR27" s="143"/>
      <c r="DS27" s="102"/>
      <c r="DT27" s="1"/>
      <c r="DU27" s="1"/>
      <c r="DV27" s="1"/>
      <c r="DW27" s="99"/>
      <c r="DX27" s="1"/>
      <c r="EE27" s="1"/>
      <c r="EK27" s="98"/>
      <c r="EL27" s="98"/>
      <c r="EM27" s="98"/>
      <c r="EN27" s="98"/>
      <c r="EO27" s="98"/>
      <c r="EP27" s="238"/>
      <c r="EQ27" s="239"/>
      <c r="ER27" s="98"/>
      <c r="ES27" s="98"/>
      <c r="ET27" s="267"/>
      <c r="EU27" s="253"/>
      <c r="EV27" s="254"/>
    </row>
    <row r="28" spans="1:152" s="93" customFormat="1">
      <c r="A28" s="95"/>
      <c r="B28" s="95"/>
      <c r="D28" s="97"/>
      <c r="E28" s="97"/>
      <c r="F28" s="97"/>
      <c r="G28" s="220"/>
      <c r="H28" s="98"/>
      <c r="I28" s="96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92"/>
      <c r="AP28" s="92"/>
      <c r="AQ28" s="92"/>
      <c r="AR28" s="1"/>
      <c r="AS28" s="233"/>
      <c r="AT28" s="1"/>
      <c r="AU28" s="1"/>
      <c r="AV28" s="1"/>
      <c r="AW28" s="1"/>
      <c r="AX28" s="1"/>
      <c r="AY28" s="1"/>
      <c r="AZ28" s="1"/>
      <c r="BA28" s="1"/>
      <c r="BB28" s="1"/>
      <c r="BC28" s="102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36"/>
      <c r="BZ28" s="136"/>
      <c r="CA28" s="136"/>
      <c r="CB28" s="136"/>
      <c r="CC28" s="136"/>
      <c r="CD28" s="136"/>
      <c r="CE28" s="136"/>
      <c r="CF28" s="147"/>
      <c r="CG28" s="136"/>
      <c r="CH28" s="147"/>
      <c r="CI28" s="147"/>
      <c r="CJ28" s="136"/>
      <c r="CK28" s="136"/>
      <c r="CL28" s="136"/>
      <c r="CM28" s="136"/>
      <c r="CN28" s="136"/>
      <c r="CO28" s="136"/>
      <c r="CP28" s="136"/>
      <c r="CQ28" s="1"/>
      <c r="CR28" s="1"/>
      <c r="CS28" s="230"/>
      <c r="CT28" s="1"/>
      <c r="CU28" s="136"/>
      <c r="CV28" s="136"/>
      <c r="CW28" s="136"/>
      <c r="CX28" s="136"/>
      <c r="CY28" s="136"/>
      <c r="CZ28" s="136"/>
      <c r="DA28" s="136"/>
      <c r="DB28" s="136"/>
      <c r="DC28" s="136"/>
      <c r="DD28" s="136"/>
      <c r="DE28" s="211"/>
      <c r="DF28" s="211"/>
      <c r="DG28" s="273"/>
      <c r="DH28" s="136"/>
      <c r="DI28" s="1"/>
      <c r="DJ28" s="1"/>
      <c r="DK28" s="102"/>
      <c r="DL28" s="102"/>
      <c r="DM28" s="102"/>
      <c r="DN28" s="102"/>
      <c r="DO28" s="102"/>
      <c r="DP28" s="143"/>
      <c r="DQ28" s="143"/>
      <c r="DR28" s="143"/>
      <c r="DS28" s="102"/>
      <c r="DT28" s="1"/>
      <c r="DU28" s="1"/>
      <c r="DV28" s="1"/>
      <c r="DW28" s="99"/>
      <c r="DX28" s="1"/>
      <c r="EE28" s="1"/>
      <c r="EK28" s="98"/>
      <c r="EL28" s="98"/>
      <c r="EM28" s="98"/>
      <c r="EN28" s="98"/>
      <c r="EO28" s="98"/>
      <c r="EP28" s="238"/>
      <c r="EQ28" s="239"/>
      <c r="ER28" s="98"/>
      <c r="ES28" s="98"/>
      <c r="ET28" s="267"/>
      <c r="EU28" s="253"/>
      <c r="EV28" s="254"/>
    </row>
    <row r="29" spans="1:152" s="93" customFormat="1">
      <c r="A29" s="95"/>
      <c r="B29" s="95"/>
      <c r="D29" s="97"/>
      <c r="E29" s="97"/>
      <c r="F29" s="97"/>
      <c r="G29" s="220"/>
      <c r="H29" s="98"/>
      <c r="I29" s="96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92"/>
      <c r="AP29" s="92"/>
      <c r="AQ29" s="92"/>
      <c r="AR29" s="1"/>
      <c r="AS29" s="233"/>
      <c r="AT29" s="1"/>
      <c r="AU29" s="1"/>
      <c r="AV29" s="1"/>
      <c r="AW29" s="1"/>
      <c r="AX29" s="1"/>
      <c r="AY29" s="1"/>
      <c r="AZ29" s="1"/>
      <c r="BA29" s="1"/>
      <c r="BB29" s="1"/>
      <c r="BC29" s="102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36"/>
      <c r="BZ29" s="136"/>
      <c r="CA29" s="136"/>
      <c r="CB29" s="136"/>
      <c r="CC29" s="136"/>
      <c r="CD29" s="136"/>
      <c r="CE29" s="136"/>
      <c r="CF29" s="147"/>
      <c r="CG29" s="136"/>
      <c r="CH29" s="147"/>
      <c r="CI29" s="147"/>
      <c r="CJ29" s="136"/>
      <c r="CK29" s="136"/>
      <c r="CL29" s="136"/>
      <c r="CM29" s="136"/>
      <c r="CN29" s="136"/>
      <c r="CO29" s="136"/>
      <c r="CP29" s="136"/>
      <c r="CQ29" s="1"/>
      <c r="CR29" s="1"/>
      <c r="CS29" s="230"/>
      <c r="CT29" s="1"/>
      <c r="CU29" s="136"/>
      <c r="CV29" s="136"/>
      <c r="CW29" s="136"/>
      <c r="CX29" s="136"/>
      <c r="CY29" s="136"/>
      <c r="CZ29" s="136"/>
      <c r="DA29" s="136"/>
      <c r="DB29" s="136"/>
      <c r="DC29" s="136"/>
      <c r="DD29" s="136"/>
      <c r="DE29" s="211"/>
      <c r="DF29" s="211"/>
      <c r="DG29" s="273"/>
      <c r="DH29" s="136"/>
      <c r="DI29" s="1"/>
      <c r="DJ29" s="1"/>
      <c r="DK29" s="102"/>
      <c r="DL29" s="102"/>
      <c r="DM29" s="102"/>
      <c r="DN29" s="102"/>
      <c r="DO29" s="102"/>
      <c r="DP29" s="143"/>
      <c r="DQ29" s="143"/>
      <c r="DR29" s="143"/>
      <c r="DS29" s="102"/>
      <c r="DT29" s="1"/>
      <c r="DU29" s="1"/>
      <c r="DV29" s="1"/>
      <c r="DW29" s="99"/>
      <c r="DX29" s="1"/>
      <c r="EE29" s="1"/>
      <c r="EK29" s="98"/>
      <c r="EL29" s="98"/>
      <c r="EM29" s="98"/>
      <c r="EN29" s="98"/>
      <c r="EO29" s="98"/>
      <c r="EP29" s="238"/>
      <c r="EQ29" s="239"/>
      <c r="ER29" s="98"/>
      <c r="ES29" s="98"/>
      <c r="ET29" s="267"/>
      <c r="EU29" s="253"/>
      <c r="EV29" s="254"/>
    </row>
    <row r="30" spans="1:152" s="93" customFormat="1">
      <c r="A30" s="95"/>
      <c r="B30" s="95"/>
      <c r="D30" s="97"/>
      <c r="E30" s="97"/>
      <c r="F30" s="97"/>
      <c r="G30" s="220"/>
      <c r="H30" s="98"/>
      <c r="I30" s="96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92"/>
      <c r="AP30" s="92"/>
      <c r="AQ30" s="92"/>
      <c r="AR30" s="1"/>
      <c r="AS30" s="233"/>
      <c r="AT30" s="1"/>
      <c r="AU30" s="1"/>
      <c r="AV30" s="1"/>
      <c r="AW30" s="1"/>
      <c r="AX30" s="1"/>
      <c r="AY30" s="1"/>
      <c r="AZ30" s="1"/>
      <c r="BA30" s="1"/>
      <c r="BB30" s="1"/>
      <c r="BC30" s="102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36"/>
      <c r="BZ30" s="136"/>
      <c r="CA30" s="136"/>
      <c r="CB30" s="136"/>
      <c r="CC30" s="136"/>
      <c r="CD30" s="136"/>
      <c r="CE30" s="136"/>
      <c r="CF30" s="147"/>
      <c r="CG30" s="136"/>
      <c r="CH30" s="147"/>
      <c r="CI30" s="147"/>
      <c r="CJ30" s="136"/>
      <c r="CK30" s="136"/>
      <c r="CL30" s="136"/>
      <c r="CM30" s="136"/>
      <c r="CN30" s="136"/>
      <c r="CO30" s="136"/>
      <c r="CP30" s="136"/>
      <c r="CQ30" s="1"/>
      <c r="CR30" s="1"/>
      <c r="CS30" s="230"/>
      <c r="CT30" s="1"/>
      <c r="CU30" s="136"/>
      <c r="CV30" s="136"/>
      <c r="CW30" s="136"/>
      <c r="CX30" s="136"/>
      <c r="CY30" s="136"/>
      <c r="CZ30" s="136"/>
      <c r="DA30" s="136"/>
      <c r="DB30" s="136"/>
      <c r="DC30" s="136"/>
      <c r="DD30" s="136"/>
      <c r="DE30" s="211"/>
      <c r="DF30" s="211"/>
      <c r="DG30" s="273"/>
      <c r="DH30" s="136"/>
      <c r="DI30" s="1"/>
      <c r="DJ30" s="1"/>
      <c r="DK30" s="102"/>
      <c r="DL30" s="102"/>
      <c r="DM30" s="102"/>
      <c r="DN30" s="102"/>
      <c r="DO30" s="102"/>
      <c r="DP30" s="143"/>
      <c r="DQ30" s="143"/>
      <c r="DR30" s="143"/>
      <c r="DS30" s="102"/>
      <c r="DT30" s="1"/>
      <c r="DU30" s="1"/>
      <c r="DV30" s="1"/>
      <c r="DW30" s="99"/>
      <c r="DX30" s="1"/>
      <c r="EE30" s="1"/>
      <c r="EK30" s="98"/>
      <c r="EL30" s="98"/>
      <c r="EM30" s="98"/>
      <c r="EN30" s="98"/>
      <c r="EO30" s="98"/>
      <c r="EP30" s="238"/>
      <c r="EQ30" s="239"/>
      <c r="ER30" s="98"/>
      <c r="ES30" s="98"/>
      <c r="ET30" s="267"/>
      <c r="EU30" s="253"/>
      <c r="EV30" s="254"/>
    </row>
    <row r="31" spans="1:152" s="93" customFormat="1">
      <c r="A31" s="95"/>
      <c r="B31" s="95"/>
      <c r="D31" s="97"/>
      <c r="E31" s="97"/>
      <c r="F31" s="97"/>
      <c r="G31" s="220"/>
      <c r="H31" s="98"/>
      <c r="I31" s="96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92"/>
      <c r="AP31" s="92"/>
      <c r="AQ31" s="92"/>
      <c r="AR31" s="1"/>
      <c r="AS31" s="233"/>
      <c r="AT31" s="1"/>
      <c r="AU31" s="1"/>
      <c r="AV31" s="1"/>
      <c r="AW31" s="1"/>
      <c r="AX31" s="1"/>
      <c r="AY31" s="1"/>
      <c r="AZ31" s="1"/>
      <c r="BA31" s="1"/>
      <c r="BB31" s="1"/>
      <c r="BC31" s="102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36"/>
      <c r="BZ31" s="136"/>
      <c r="CA31" s="136"/>
      <c r="CB31" s="136"/>
      <c r="CC31" s="136"/>
      <c r="CD31" s="136"/>
      <c r="CE31" s="136"/>
      <c r="CF31" s="147"/>
      <c r="CG31" s="136"/>
      <c r="CH31" s="147"/>
      <c r="CI31" s="147"/>
      <c r="CJ31" s="136"/>
      <c r="CK31" s="136"/>
      <c r="CL31" s="136"/>
      <c r="CM31" s="136"/>
      <c r="CN31" s="136"/>
      <c r="CO31" s="136"/>
      <c r="CP31" s="136"/>
      <c r="CQ31" s="1"/>
      <c r="CR31" s="1"/>
      <c r="CS31" s="230"/>
      <c r="CT31" s="1"/>
      <c r="CU31" s="136"/>
      <c r="CV31" s="136"/>
      <c r="CW31" s="136"/>
      <c r="CX31" s="136"/>
      <c r="CY31" s="136"/>
      <c r="CZ31" s="136"/>
      <c r="DA31" s="136"/>
      <c r="DB31" s="136"/>
      <c r="DC31" s="136"/>
      <c r="DD31" s="136"/>
      <c r="DE31" s="211"/>
      <c r="DF31" s="211"/>
      <c r="DG31" s="273"/>
      <c r="DH31" s="136"/>
      <c r="DI31" s="1"/>
      <c r="DJ31" s="1"/>
      <c r="DK31" s="102"/>
      <c r="DL31" s="102"/>
      <c r="DM31" s="102"/>
      <c r="DN31" s="102"/>
      <c r="DO31" s="102"/>
      <c r="DP31" s="143"/>
      <c r="DQ31" s="143"/>
      <c r="DR31" s="143"/>
      <c r="DS31" s="102"/>
      <c r="DT31" s="1"/>
      <c r="DU31" s="1"/>
      <c r="DV31" s="1"/>
      <c r="DW31" s="99"/>
      <c r="DX31" s="1"/>
      <c r="EE31" s="1"/>
      <c r="EK31" s="98"/>
      <c r="EL31" s="98"/>
      <c r="EM31" s="98"/>
      <c r="EN31" s="98"/>
      <c r="EO31" s="98"/>
      <c r="EP31" s="238"/>
      <c r="EQ31" s="239"/>
      <c r="ER31" s="98"/>
      <c r="ES31" s="98"/>
      <c r="ET31" s="267"/>
      <c r="EU31" s="253"/>
      <c r="EV31" s="254"/>
    </row>
    <row r="32" spans="1:152" s="93" customFormat="1">
      <c r="A32" s="95"/>
      <c r="B32" s="95"/>
      <c r="D32" s="97"/>
      <c r="E32" s="97"/>
      <c r="F32" s="97"/>
      <c r="G32" s="220"/>
      <c r="H32" s="98"/>
      <c r="I32" s="96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92"/>
      <c r="AP32" s="92"/>
      <c r="AQ32" s="92"/>
      <c r="AR32" s="1"/>
      <c r="AS32" s="233"/>
      <c r="AT32" s="1"/>
      <c r="AU32" s="1"/>
      <c r="AV32" s="1"/>
      <c r="AW32" s="1"/>
      <c r="AX32" s="1"/>
      <c r="AY32" s="1"/>
      <c r="AZ32" s="1"/>
      <c r="BA32" s="1"/>
      <c r="BB32" s="1"/>
      <c r="BC32" s="102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36"/>
      <c r="BZ32" s="136"/>
      <c r="CA32" s="136"/>
      <c r="CB32" s="136"/>
      <c r="CC32" s="136"/>
      <c r="CD32" s="136"/>
      <c r="CE32" s="136"/>
      <c r="CF32" s="147"/>
      <c r="CG32" s="136"/>
      <c r="CH32" s="147"/>
      <c r="CI32" s="147"/>
      <c r="CJ32" s="136"/>
      <c r="CK32" s="136"/>
      <c r="CL32" s="136"/>
      <c r="CM32" s="136"/>
      <c r="CN32" s="136"/>
      <c r="CO32" s="136"/>
      <c r="CP32" s="136"/>
      <c r="CQ32" s="1"/>
      <c r="CR32" s="1"/>
      <c r="CS32" s="230"/>
      <c r="CT32" s="1"/>
      <c r="CU32" s="136"/>
      <c r="CV32" s="136"/>
      <c r="CW32" s="136"/>
      <c r="CX32" s="136"/>
      <c r="CY32" s="136"/>
      <c r="CZ32" s="136"/>
      <c r="DA32" s="136"/>
      <c r="DB32" s="136"/>
      <c r="DC32" s="136"/>
      <c r="DD32" s="136"/>
      <c r="DE32" s="211"/>
      <c r="DF32" s="211"/>
      <c r="DG32" s="273"/>
      <c r="DH32" s="136"/>
      <c r="DI32" s="1"/>
      <c r="DJ32" s="1"/>
      <c r="DK32" s="102"/>
      <c r="DL32" s="102"/>
      <c r="DM32" s="102"/>
      <c r="DN32" s="102"/>
      <c r="DO32" s="102"/>
      <c r="DP32" s="143"/>
      <c r="DQ32" s="143"/>
      <c r="DR32" s="143"/>
      <c r="DS32" s="102"/>
      <c r="DT32" s="1"/>
      <c r="DU32" s="1"/>
      <c r="DV32" s="1"/>
      <c r="DW32" s="99"/>
      <c r="DX32" s="1"/>
      <c r="EE32" s="1"/>
      <c r="EK32" s="98"/>
      <c r="EL32" s="98"/>
      <c r="EM32" s="98"/>
      <c r="EN32" s="98"/>
      <c r="EO32" s="98"/>
      <c r="EP32" s="238"/>
      <c r="EQ32" s="239"/>
      <c r="ER32" s="98"/>
      <c r="ES32" s="98"/>
      <c r="ET32" s="267"/>
      <c r="EU32" s="253"/>
      <c r="EV32" s="254"/>
    </row>
    <row r="33" spans="1:152" s="93" customFormat="1">
      <c r="A33" s="95"/>
      <c r="B33" s="95"/>
      <c r="D33" s="97"/>
      <c r="E33" s="97"/>
      <c r="F33" s="97"/>
      <c r="G33" s="220"/>
      <c r="H33" s="98"/>
      <c r="I33" s="96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92"/>
      <c r="AP33" s="92"/>
      <c r="AQ33" s="92"/>
      <c r="AR33" s="1"/>
      <c r="AS33" s="233"/>
      <c r="AT33" s="1"/>
      <c r="AU33" s="1"/>
      <c r="AV33" s="1"/>
      <c r="AW33" s="1"/>
      <c r="AX33" s="1"/>
      <c r="AY33" s="1"/>
      <c r="AZ33" s="1"/>
      <c r="BA33" s="1"/>
      <c r="BB33" s="1"/>
      <c r="BC33" s="102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36"/>
      <c r="BZ33" s="136"/>
      <c r="CA33" s="136"/>
      <c r="CB33" s="136"/>
      <c r="CC33" s="136"/>
      <c r="CD33" s="136"/>
      <c r="CE33" s="136"/>
      <c r="CF33" s="147"/>
      <c r="CG33" s="136"/>
      <c r="CH33" s="147"/>
      <c r="CI33" s="147"/>
      <c r="CJ33" s="136"/>
      <c r="CK33" s="136"/>
      <c r="CL33" s="136"/>
      <c r="CM33" s="136"/>
      <c r="CN33" s="136"/>
      <c r="CO33" s="136"/>
      <c r="CP33" s="136"/>
      <c r="CQ33" s="1"/>
      <c r="CR33" s="1"/>
      <c r="CS33" s="230"/>
      <c r="CT33" s="1"/>
      <c r="CU33" s="136"/>
      <c r="CV33" s="136"/>
      <c r="CW33" s="136"/>
      <c r="CX33" s="136"/>
      <c r="CY33" s="136"/>
      <c r="CZ33" s="136"/>
      <c r="DA33" s="136"/>
      <c r="DB33" s="136"/>
      <c r="DC33" s="136"/>
      <c r="DD33" s="136"/>
      <c r="DE33" s="211"/>
      <c r="DF33" s="211"/>
      <c r="DG33" s="273"/>
      <c r="DH33" s="136"/>
      <c r="DI33" s="1"/>
      <c r="DJ33" s="1"/>
      <c r="DK33" s="102"/>
      <c r="DL33" s="102"/>
      <c r="DM33" s="102"/>
      <c r="DN33" s="102"/>
      <c r="DO33" s="102"/>
      <c r="DP33" s="143"/>
      <c r="DQ33" s="143"/>
      <c r="DR33" s="143"/>
      <c r="DS33" s="102"/>
      <c r="DT33" s="1"/>
      <c r="DU33" s="1"/>
      <c r="DV33" s="1"/>
      <c r="DW33" s="99"/>
      <c r="DX33" s="1"/>
      <c r="EE33" s="1"/>
      <c r="EK33" s="98"/>
      <c r="EL33" s="98"/>
      <c r="EM33" s="98"/>
      <c r="EN33" s="98"/>
      <c r="EO33" s="98"/>
      <c r="EP33" s="238"/>
      <c r="EQ33" s="239"/>
      <c r="ER33" s="98"/>
      <c r="ES33" s="98"/>
      <c r="ET33" s="267"/>
      <c r="EU33" s="253"/>
      <c r="EV33" s="254"/>
    </row>
    <row r="34" spans="1:152" s="93" customFormat="1">
      <c r="A34" s="95"/>
      <c r="B34" s="95"/>
      <c r="D34" s="97"/>
      <c r="E34" s="97"/>
      <c r="F34" s="97"/>
      <c r="G34" s="220"/>
      <c r="H34" s="98"/>
      <c r="I34" s="96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92"/>
      <c r="AP34" s="92"/>
      <c r="AQ34" s="92"/>
      <c r="AR34" s="1"/>
      <c r="AS34" s="233"/>
      <c r="AT34" s="1"/>
      <c r="AU34" s="1"/>
      <c r="AV34" s="1"/>
      <c r="AW34" s="1"/>
      <c r="AX34" s="1"/>
      <c r="AY34" s="1"/>
      <c r="AZ34" s="1"/>
      <c r="BA34" s="1"/>
      <c r="BB34" s="1"/>
      <c r="BC34" s="102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36"/>
      <c r="BZ34" s="136"/>
      <c r="CA34" s="136"/>
      <c r="CB34" s="136"/>
      <c r="CC34" s="136"/>
      <c r="CD34" s="136"/>
      <c r="CE34" s="136"/>
      <c r="CF34" s="147"/>
      <c r="CG34" s="136"/>
      <c r="CH34" s="147"/>
      <c r="CI34" s="147"/>
      <c r="CJ34" s="136"/>
      <c r="CK34" s="136"/>
      <c r="CL34" s="136"/>
      <c r="CM34" s="136"/>
      <c r="CN34" s="136"/>
      <c r="CO34" s="136"/>
      <c r="CP34" s="136"/>
      <c r="CQ34" s="1"/>
      <c r="CR34" s="1"/>
      <c r="CS34" s="230"/>
      <c r="CT34" s="1"/>
      <c r="CU34" s="136"/>
      <c r="CV34" s="136"/>
      <c r="CW34" s="136"/>
      <c r="CX34" s="136"/>
      <c r="CY34" s="136"/>
      <c r="CZ34" s="136"/>
      <c r="DA34" s="136"/>
      <c r="DB34" s="136"/>
      <c r="DC34" s="136"/>
      <c r="DD34" s="136"/>
      <c r="DE34" s="211"/>
      <c r="DF34" s="211"/>
      <c r="DG34" s="273"/>
      <c r="DH34" s="136"/>
      <c r="DI34" s="1"/>
      <c r="DJ34" s="1"/>
      <c r="DK34" s="102"/>
      <c r="DL34" s="102"/>
      <c r="DM34" s="102"/>
      <c r="DN34" s="102"/>
      <c r="DO34" s="102"/>
      <c r="DP34" s="143"/>
      <c r="DQ34" s="143"/>
      <c r="DR34" s="143"/>
      <c r="DS34" s="102"/>
      <c r="DT34" s="1"/>
      <c r="DU34" s="1"/>
      <c r="DV34" s="1"/>
      <c r="DW34" s="99"/>
      <c r="DX34" s="1"/>
      <c r="EE34" s="1"/>
      <c r="EK34" s="98"/>
      <c r="EL34" s="98"/>
      <c r="EM34" s="98"/>
      <c r="EN34" s="98"/>
      <c r="EO34" s="98"/>
      <c r="EP34" s="238"/>
      <c r="EQ34" s="239"/>
      <c r="ER34" s="98"/>
      <c r="ES34" s="98"/>
      <c r="ET34" s="267"/>
      <c r="EU34" s="253"/>
      <c r="EV34" s="254"/>
    </row>
    <row r="35" spans="1:152" s="93" customFormat="1">
      <c r="A35" s="95"/>
      <c r="B35" s="95"/>
      <c r="D35" s="97"/>
      <c r="E35" s="97"/>
      <c r="F35" s="97"/>
      <c r="G35" s="220"/>
      <c r="H35" s="98"/>
      <c r="I35" s="96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92"/>
      <c r="AP35" s="92"/>
      <c r="AQ35" s="92"/>
      <c r="AR35" s="1"/>
      <c r="AS35" s="233"/>
      <c r="AT35" s="1"/>
      <c r="AU35" s="1"/>
      <c r="AV35" s="1"/>
      <c r="AW35" s="1"/>
      <c r="AX35" s="1"/>
      <c r="AY35" s="1"/>
      <c r="AZ35" s="1"/>
      <c r="BA35" s="1"/>
      <c r="BB35" s="1"/>
      <c r="BC35" s="102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36"/>
      <c r="BZ35" s="136"/>
      <c r="CA35" s="136"/>
      <c r="CB35" s="136"/>
      <c r="CC35" s="136"/>
      <c r="CD35" s="136"/>
      <c r="CE35" s="136"/>
      <c r="CF35" s="147"/>
      <c r="CG35" s="136"/>
      <c r="CH35" s="147"/>
      <c r="CI35" s="147"/>
      <c r="CJ35" s="136"/>
      <c r="CK35" s="136"/>
      <c r="CL35" s="136"/>
      <c r="CM35" s="136"/>
      <c r="CN35" s="136"/>
      <c r="CO35" s="136"/>
      <c r="CP35" s="136"/>
      <c r="CQ35" s="1"/>
      <c r="CR35" s="1"/>
      <c r="CS35" s="230"/>
      <c r="CT35" s="1"/>
      <c r="CU35" s="136"/>
      <c r="CV35" s="136"/>
      <c r="CW35" s="136"/>
      <c r="CX35" s="136"/>
      <c r="CY35" s="136"/>
      <c r="CZ35" s="136"/>
      <c r="DA35" s="136"/>
      <c r="DB35" s="136"/>
      <c r="DC35" s="136"/>
      <c r="DD35" s="136"/>
      <c r="DE35" s="211"/>
      <c r="DF35" s="211"/>
      <c r="DG35" s="273"/>
      <c r="DH35" s="136"/>
      <c r="DI35" s="1"/>
      <c r="DJ35" s="1"/>
      <c r="DK35" s="102"/>
      <c r="DL35" s="102"/>
      <c r="DM35" s="102"/>
      <c r="DN35" s="102"/>
      <c r="DO35" s="102"/>
      <c r="DP35" s="143"/>
      <c r="DQ35" s="143"/>
      <c r="DR35" s="143"/>
      <c r="DS35" s="102"/>
      <c r="DT35" s="1"/>
      <c r="DU35" s="1"/>
      <c r="DV35" s="1"/>
      <c r="DW35" s="99"/>
      <c r="DX35" s="1"/>
      <c r="EE35" s="1"/>
      <c r="EK35" s="98"/>
      <c r="EL35" s="98"/>
      <c r="EM35" s="98"/>
      <c r="EN35" s="98"/>
      <c r="EO35" s="98"/>
      <c r="EP35" s="238"/>
      <c r="EQ35" s="239"/>
      <c r="ER35" s="98"/>
      <c r="ES35" s="98"/>
      <c r="ET35" s="267"/>
      <c r="EU35" s="253"/>
      <c r="EV35" s="254"/>
    </row>
    <row r="36" spans="1:152" s="93" customFormat="1">
      <c r="A36" s="95"/>
      <c r="B36" s="95"/>
      <c r="D36" s="97"/>
      <c r="E36" s="97"/>
      <c r="F36" s="97"/>
      <c r="G36" s="220"/>
      <c r="H36" s="98"/>
      <c r="I36" s="96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92"/>
      <c r="AP36" s="92"/>
      <c r="AQ36" s="92"/>
      <c r="AR36" s="1"/>
      <c r="AS36" s="233"/>
      <c r="AT36" s="1"/>
      <c r="AU36" s="1"/>
      <c r="AV36" s="1"/>
      <c r="AW36" s="1"/>
      <c r="AX36" s="1"/>
      <c r="AY36" s="1"/>
      <c r="AZ36" s="1"/>
      <c r="BA36" s="1"/>
      <c r="BB36" s="1"/>
      <c r="BC36" s="102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36"/>
      <c r="BZ36" s="136"/>
      <c r="CA36" s="136"/>
      <c r="CB36" s="136"/>
      <c r="CC36" s="136"/>
      <c r="CD36" s="136"/>
      <c r="CE36" s="136"/>
      <c r="CF36" s="147"/>
      <c r="CG36" s="136"/>
      <c r="CH36" s="147"/>
      <c r="CI36" s="147"/>
      <c r="CJ36" s="136"/>
      <c r="CK36" s="136"/>
      <c r="CL36" s="136"/>
      <c r="CM36" s="136"/>
      <c r="CN36" s="136"/>
      <c r="CO36" s="136"/>
      <c r="CP36" s="136"/>
      <c r="CQ36" s="1"/>
      <c r="CR36" s="1"/>
      <c r="CS36" s="230"/>
      <c r="CT36" s="1"/>
      <c r="CU36" s="136"/>
      <c r="CV36" s="136"/>
      <c r="CW36" s="136"/>
      <c r="CX36" s="136"/>
      <c r="CY36" s="136"/>
      <c r="CZ36" s="136"/>
      <c r="DA36" s="136"/>
      <c r="DB36" s="136"/>
      <c r="DC36" s="136"/>
      <c r="DD36" s="136"/>
      <c r="DE36" s="211"/>
      <c r="DF36" s="211"/>
      <c r="DG36" s="273"/>
      <c r="DH36" s="136"/>
      <c r="DI36" s="1"/>
      <c r="DJ36" s="1"/>
      <c r="DK36" s="102"/>
      <c r="DL36" s="102"/>
      <c r="DM36" s="102"/>
      <c r="DN36" s="102"/>
      <c r="DO36" s="102"/>
      <c r="DP36" s="143"/>
      <c r="DQ36" s="143"/>
      <c r="DR36" s="143"/>
      <c r="DS36" s="102"/>
      <c r="DT36" s="1"/>
      <c r="DU36" s="1"/>
      <c r="DV36" s="1"/>
      <c r="DW36" s="99"/>
      <c r="DX36" s="1"/>
      <c r="EE36" s="1"/>
      <c r="EK36" s="98"/>
      <c r="EL36" s="98"/>
      <c r="EM36" s="98"/>
      <c r="EN36" s="98"/>
      <c r="EO36" s="98"/>
      <c r="EP36" s="238"/>
      <c r="EQ36" s="239"/>
      <c r="ER36" s="98"/>
      <c r="ES36" s="98"/>
      <c r="ET36" s="267"/>
      <c r="EU36" s="253"/>
      <c r="EV36" s="254"/>
    </row>
    <row r="37" spans="1:152" s="93" customFormat="1">
      <c r="A37" s="95"/>
      <c r="B37" s="95"/>
      <c r="D37" s="97"/>
      <c r="E37" s="97"/>
      <c r="F37" s="97"/>
      <c r="G37" s="220"/>
      <c r="H37" s="98"/>
      <c r="I37" s="96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92"/>
      <c r="AP37" s="92"/>
      <c r="AQ37" s="92"/>
      <c r="AR37" s="1"/>
      <c r="AS37" s="233"/>
      <c r="AT37" s="1"/>
      <c r="AU37" s="1"/>
      <c r="AV37" s="1"/>
      <c r="AW37" s="1"/>
      <c r="AX37" s="1"/>
      <c r="AY37" s="1"/>
      <c r="AZ37" s="1"/>
      <c r="BA37" s="1"/>
      <c r="BB37" s="1"/>
      <c r="BC37" s="102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36"/>
      <c r="BZ37" s="136"/>
      <c r="CA37" s="136"/>
      <c r="CB37" s="136"/>
      <c r="CC37" s="136"/>
      <c r="CD37" s="136"/>
      <c r="CE37" s="136"/>
      <c r="CF37" s="147"/>
      <c r="CG37" s="136"/>
      <c r="CH37" s="147"/>
      <c r="CI37" s="147"/>
      <c r="CJ37" s="136"/>
      <c r="CK37" s="136"/>
      <c r="CL37" s="136"/>
      <c r="CM37" s="136"/>
      <c r="CN37" s="136"/>
      <c r="CO37" s="136"/>
      <c r="CP37" s="136"/>
      <c r="CQ37" s="1"/>
      <c r="CR37" s="1"/>
      <c r="CS37" s="230"/>
      <c r="CT37" s="1"/>
      <c r="CU37" s="136"/>
      <c r="CV37" s="136"/>
      <c r="CW37" s="136"/>
      <c r="CX37" s="136"/>
      <c r="CY37" s="136"/>
      <c r="CZ37" s="136"/>
      <c r="DA37" s="136"/>
      <c r="DB37" s="136"/>
      <c r="DC37" s="136"/>
      <c r="DD37" s="136"/>
      <c r="DE37" s="211"/>
      <c r="DF37" s="211"/>
      <c r="DG37" s="273"/>
      <c r="DH37" s="136"/>
      <c r="DI37" s="1"/>
      <c r="DJ37" s="1"/>
      <c r="DK37" s="102"/>
      <c r="DL37" s="102"/>
      <c r="DM37" s="102"/>
      <c r="DN37" s="102"/>
      <c r="DO37" s="102"/>
      <c r="DP37" s="143"/>
      <c r="DQ37" s="143"/>
      <c r="DR37" s="143"/>
      <c r="DS37" s="102"/>
      <c r="DT37" s="1"/>
      <c r="DU37" s="1"/>
      <c r="DV37" s="1"/>
      <c r="DW37" s="99"/>
      <c r="DX37" s="1"/>
      <c r="EE37" s="1"/>
      <c r="EK37" s="98"/>
      <c r="EL37" s="98"/>
      <c r="EM37" s="98"/>
      <c r="EN37" s="98"/>
      <c r="EO37" s="98"/>
      <c r="EP37" s="238"/>
      <c r="EQ37" s="239"/>
      <c r="ER37" s="98"/>
      <c r="ES37" s="98"/>
      <c r="ET37" s="267"/>
      <c r="EU37" s="253"/>
      <c r="EV37" s="254"/>
    </row>
    <row r="38" spans="1:152" s="93" customFormat="1">
      <c r="A38" s="95"/>
      <c r="B38" s="95"/>
      <c r="D38" s="97"/>
      <c r="E38" s="97"/>
      <c r="F38" s="97"/>
      <c r="G38" s="220"/>
      <c r="H38" s="98"/>
      <c r="I38" s="96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92"/>
      <c r="AP38" s="92"/>
      <c r="AQ38" s="92"/>
      <c r="AR38" s="1"/>
      <c r="AS38" s="233"/>
      <c r="AT38" s="1"/>
      <c r="AU38" s="1"/>
      <c r="AV38" s="1"/>
      <c r="AW38" s="1"/>
      <c r="AX38" s="1"/>
      <c r="AY38" s="1"/>
      <c r="AZ38" s="1"/>
      <c r="BA38" s="1"/>
      <c r="BB38" s="1"/>
      <c r="BC38" s="102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36"/>
      <c r="BZ38" s="136"/>
      <c r="CA38" s="136"/>
      <c r="CB38" s="136"/>
      <c r="CC38" s="136"/>
      <c r="CD38" s="136"/>
      <c r="CE38" s="136"/>
      <c r="CF38" s="147"/>
      <c r="CG38" s="136"/>
      <c r="CH38" s="147"/>
      <c r="CI38" s="147"/>
      <c r="CJ38" s="136"/>
      <c r="CK38" s="136"/>
      <c r="CL38" s="136"/>
      <c r="CM38" s="136"/>
      <c r="CN38" s="136"/>
      <c r="CO38" s="136"/>
      <c r="CP38" s="136"/>
      <c r="CQ38" s="1"/>
      <c r="CR38" s="1"/>
      <c r="CS38" s="230"/>
      <c r="CT38" s="1"/>
      <c r="CU38" s="136"/>
      <c r="CV38" s="136"/>
      <c r="CW38" s="136"/>
      <c r="CX38" s="136"/>
      <c r="CY38" s="136"/>
      <c r="CZ38" s="136"/>
      <c r="DA38" s="136"/>
      <c r="DB38" s="136"/>
      <c r="DC38" s="136"/>
      <c r="DD38" s="136"/>
      <c r="DE38" s="211"/>
      <c r="DF38" s="211"/>
      <c r="DG38" s="273"/>
      <c r="DH38" s="136"/>
      <c r="DI38" s="1"/>
      <c r="DJ38" s="1"/>
      <c r="DK38" s="102"/>
      <c r="DL38" s="102"/>
      <c r="DM38" s="102"/>
      <c r="DN38" s="102"/>
      <c r="DO38" s="102"/>
      <c r="DP38" s="143"/>
      <c r="DQ38" s="143"/>
      <c r="DR38" s="143"/>
      <c r="DS38" s="102"/>
      <c r="DT38" s="1"/>
      <c r="DU38" s="1"/>
      <c r="DV38" s="1"/>
      <c r="DW38" s="99"/>
      <c r="DX38" s="1"/>
      <c r="EE38" s="1"/>
      <c r="EK38" s="98"/>
      <c r="EL38" s="98"/>
      <c r="EM38" s="98"/>
      <c r="EN38" s="98"/>
      <c r="EO38" s="98"/>
      <c r="EP38" s="238"/>
      <c r="EQ38" s="239"/>
      <c r="ER38" s="98"/>
      <c r="ES38" s="98"/>
      <c r="ET38" s="267"/>
      <c r="EU38" s="253"/>
      <c r="EV38" s="254"/>
    </row>
    <row r="39" spans="1:152" s="93" customFormat="1">
      <c r="A39" s="95"/>
      <c r="B39" s="95"/>
      <c r="D39" s="97"/>
      <c r="E39" s="97"/>
      <c r="F39" s="97"/>
      <c r="G39" s="220"/>
      <c r="H39" s="98"/>
      <c r="I39" s="96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92"/>
      <c r="AP39" s="92"/>
      <c r="AQ39" s="92"/>
      <c r="AR39" s="1"/>
      <c r="AS39" s="233"/>
      <c r="AT39" s="1"/>
      <c r="AU39" s="1"/>
      <c r="AV39" s="1"/>
      <c r="AW39" s="1"/>
      <c r="AX39" s="1"/>
      <c r="AY39" s="1"/>
      <c r="AZ39" s="1"/>
      <c r="BA39" s="1"/>
      <c r="BB39" s="1"/>
      <c r="BC39" s="102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36"/>
      <c r="BZ39" s="136"/>
      <c r="CA39" s="136"/>
      <c r="CB39" s="136"/>
      <c r="CC39" s="136"/>
      <c r="CD39" s="136"/>
      <c r="CE39" s="136"/>
      <c r="CF39" s="147"/>
      <c r="CG39" s="136"/>
      <c r="CH39" s="147"/>
      <c r="CI39" s="147"/>
      <c r="CJ39" s="136"/>
      <c r="CK39" s="136"/>
      <c r="CL39" s="136"/>
      <c r="CM39" s="136"/>
      <c r="CN39" s="136"/>
      <c r="CO39" s="136"/>
      <c r="CP39" s="136"/>
      <c r="CQ39" s="1"/>
      <c r="CR39" s="1"/>
      <c r="CS39" s="230"/>
      <c r="CT39" s="1"/>
      <c r="CU39" s="136"/>
      <c r="CV39" s="136"/>
      <c r="CW39" s="136"/>
      <c r="CX39" s="136"/>
      <c r="CY39" s="136"/>
      <c r="CZ39" s="136"/>
      <c r="DA39" s="136"/>
      <c r="DB39" s="136"/>
      <c r="DC39" s="136"/>
      <c r="DD39" s="136"/>
      <c r="DE39" s="211"/>
      <c r="DF39" s="211"/>
      <c r="DG39" s="273"/>
      <c r="DH39" s="136"/>
      <c r="DI39" s="1"/>
      <c r="DJ39" s="1"/>
      <c r="DK39" s="102"/>
      <c r="DL39" s="102"/>
      <c r="DM39" s="102"/>
      <c r="DN39" s="102"/>
      <c r="DO39" s="102"/>
      <c r="DP39" s="143"/>
      <c r="DQ39" s="143"/>
      <c r="DR39" s="143"/>
      <c r="DS39" s="102"/>
      <c r="DT39" s="1"/>
      <c r="DU39" s="1"/>
      <c r="DV39" s="1"/>
      <c r="DW39" s="99"/>
      <c r="DX39" s="1"/>
      <c r="EE39" s="1"/>
      <c r="EK39" s="98"/>
      <c r="EL39" s="98"/>
      <c r="EM39" s="98"/>
      <c r="EN39" s="98"/>
      <c r="EO39" s="98"/>
      <c r="EP39" s="238"/>
      <c r="EQ39" s="239"/>
      <c r="ER39" s="98"/>
      <c r="ES39" s="98"/>
      <c r="ET39" s="267"/>
      <c r="EU39" s="253"/>
      <c r="EV39" s="254"/>
    </row>
    <row r="40" spans="1:152" s="93" customFormat="1">
      <c r="A40" s="95"/>
      <c r="B40" s="95"/>
      <c r="D40" s="97"/>
      <c r="E40" s="97"/>
      <c r="F40" s="97"/>
      <c r="G40" s="220"/>
      <c r="H40" s="98"/>
      <c r="I40" s="96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92"/>
      <c r="AP40" s="92"/>
      <c r="AQ40" s="92"/>
      <c r="AR40" s="1"/>
      <c r="AS40" s="233"/>
      <c r="AT40" s="1"/>
      <c r="AU40" s="1"/>
      <c r="AV40" s="1"/>
      <c r="AW40" s="1"/>
      <c r="AX40" s="1"/>
      <c r="AY40" s="1"/>
      <c r="AZ40" s="1"/>
      <c r="BA40" s="1"/>
      <c r="BB40" s="1"/>
      <c r="BC40" s="102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36"/>
      <c r="BZ40" s="136"/>
      <c r="CA40" s="136"/>
      <c r="CB40" s="136"/>
      <c r="CC40" s="136"/>
      <c r="CD40" s="136"/>
      <c r="CE40" s="136"/>
      <c r="CF40" s="147"/>
      <c r="CG40" s="136"/>
      <c r="CH40" s="147"/>
      <c r="CI40" s="147"/>
      <c r="CJ40" s="136"/>
      <c r="CK40" s="136"/>
      <c r="CL40" s="136"/>
      <c r="CM40" s="136"/>
      <c r="CN40" s="136"/>
      <c r="CO40" s="136"/>
      <c r="CP40" s="136"/>
      <c r="CQ40" s="1"/>
      <c r="CR40" s="1"/>
      <c r="CS40" s="230"/>
      <c r="CT40" s="1"/>
      <c r="CU40" s="136"/>
      <c r="CV40" s="136"/>
      <c r="CW40" s="136"/>
      <c r="CX40" s="136"/>
      <c r="CY40" s="136"/>
      <c r="CZ40" s="136"/>
      <c r="DA40" s="136"/>
      <c r="DB40" s="136"/>
      <c r="DC40" s="136"/>
      <c r="DD40" s="136"/>
      <c r="DE40" s="211"/>
      <c r="DF40" s="211"/>
      <c r="DG40" s="273"/>
      <c r="DH40" s="136"/>
      <c r="DI40" s="1"/>
      <c r="DJ40" s="1"/>
      <c r="DK40" s="102"/>
      <c r="DL40" s="102"/>
      <c r="DM40" s="102"/>
      <c r="DN40" s="102"/>
      <c r="DO40" s="102"/>
      <c r="DP40" s="143"/>
      <c r="DQ40" s="143"/>
      <c r="DR40" s="143"/>
      <c r="DS40" s="102"/>
      <c r="DT40" s="1"/>
      <c r="DU40" s="1"/>
      <c r="DV40" s="1"/>
      <c r="DW40" s="99"/>
      <c r="DX40" s="1"/>
      <c r="EE40" s="1"/>
      <c r="EK40" s="98"/>
      <c r="EL40" s="98"/>
      <c r="EM40" s="98"/>
      <c r="EN40" s="98"/>
      <c r="EO40" s="98"/>
      <c r="EP40" s="238"/>
      <c r="EQ40" s="239"/>
      <c r="ER40" s="98"/>
      <c r="ES40" s="98"/>
      <c r="ET40" s="267"/>
      <c r="EU40" s="253"/>
      <c r="EV40" s="254"/>
    </row>
    <row r="41" spans="1:152" s="93" customFormat="1">
      <c r="A41" s="95"/>
      <c r="B41" s="95"/>
      <c r="D41" s="97"/>
      <c r="E41" s="97"/>
      <c r="F41" s="97"/>
      <c r="G41" s="220"/>
      <c r="H41" s="98"/>
      <c r="I41" s="96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92"/>
      <c r="AP41" s="92"/>
      <c r="AQ41" s="92"/>
      <c r="AR41" s="1"/>
      <c r="AS41" s="233"/>
      <c r="AT41" s="1"/>
      <c r="AU41" s="1"/>
      <c r="AV41" s="1"/>
      <c r="AW41" s="1"/>
      <c r="AX41" s="1"/>
      <c r="AY41" s="1"/>
      <c r="AZ41" s="1"/>
      <c r="BA41" s="1"/>
      <c r="BB41" s="1"/>
      <c r="BC41" s="102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36"/>
      <c r="BZ41" s="136"/>
      <c r="CA41" s="136"/>
      <c r="CB41" s="136"/>
      <c r="CC41" s="136"/>
      <c r="CD41" s="136"/>
      <c r="CE41" s="136"/>
      <c r="CF41" s="147"/>
      <c r="CG41" s="136"/>
      <c r="CH41" s="147"/>
      <c r="CI41" s="147"/>
      <c r="CJ41" s="136"/>
      <c r="CK41" s="136"/>
      <c r="CL41" s="136"/>
      <c r="CM41" s="136"/>
      <c r="CN41" s="136"/>
      <c r="CO41" s="136"/>
      <c r="CP41" s="136"/>
      <c r="CQ41" s="1"/>
      <c r="CR41" s="1"/>
      <c r="CS41" s="230"/>
      <c r="CT41" s="1"/>
      <c r="CU41" s="136"/>
      <c r="CV41" s="136"/>
      <c r="CW41" s="136"/>
      <c r="CX41" s="136"/>
      <c r="CY41" s="136"/>
      <c r="CZ41" s="136"/>
      <c r="DA41" s="136"/>
      <c r="DB41" s="136"/>
      <c r="DC41" s="136"/>
      <c r="DD41" s="136"/>
      <c r="DE41" s="211"/>
      <c r="DF41" s="211"/>
      <c r="DG41" s="273"/>
      <c r="DH41" s="136"/>
      <c r="DI41" s="1"/>
      <c r="DJ41" s="1"/>
      <c r="DK41" s="102"/>
      <c r="DL41" s="102"/>
      <c r="DM41" s="102"/>
      <c r="DN41" s="102"/>
      <c r="DO41" s="102"/>
      <c r="DP41" s="143"/>
      <c r="DQ41" s="143"/>
      <c r="DR41" s="143"/>
      <c r="DS41" s="102"/>
      <c r="DT41" s="1"/>
      <c r="DU41" s="1"/>
      <c r="DV41" s="1"/>
      <c r="DW41" s="99"/>
      <c r="DX41" s="1"/>
      <c r="EE41" s="1"/>
      <c r="EK41" s="98"/>
      <c r="EL41" s="98"/>
      <c r="EM41" s="98"/>
      <c r="EN41" s="98"/>
      <c r="EO41" s="98"/>
      <c r="EP41" s="238"/>
      <c r="EQ41" s="239"/>
      <c r="ER41" s="98"/>
      <c r="ES41" s="98"/>
      <c r="ET41" s="267"/>
      <c r="EU41" s="253"/>
      <c r="EV41" s="254"/>
    </row>
    <row r="42" spans="1:152" s="93" customFormat="1">
      <c r="A42" s="95"/>
      <c r="B42" s="95"/>
      <c r="D42" s="97"/>
      <c r="E42" s="97"/>
      <c r="F42" s="97"/>
      <c r="G42" s="220"/>
      <c r="H42" s="98"/>
      <c r="I42" s="96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92"/>
      <c r="AP42" s="92"/>
      <c r="AQ42" s="92"/>
      <c r="AR42" s="1"/>
      <c r="AS42" s="233"/>
      <c r="AT42" s="1"/>
      <c r="AU42" s="1"/>
      <c r="AV42" s="1"/>
      <c r="AW42" s="1"/>
      <c r="AX42" s="1"/>
      <c r="AY42" s="1"/>
      <c r="AZ42" s="1"/>
      <c r="BA42" s="1"/>
      <c r="BB42" s="1"/>
      <c r="BC42" s="102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36"/>
      <c r="BZ42" s="136"/>
      <c r="CA42" s="136"/>
      <c r="CB42" s="136"/>
      <c r="CC42" s="136"/>
      <c r="CD42" s="136"/>
      <c r="CE42" s="136"/>
      <c r="CF42" s="147"/>
      <c r="CG42" s="136"/>
      <c r="CH42" s="147"/>
      <c r="CI42" s="147"/>
      <c r="CJ42" s="136"/>
      <c r="CK42" s="136"/>
      <c r="CL42" s="136"/>
      <c r="CM42" s="136"/>
      <c r="CN42" s="136"/>
      <c r="CO42" s="136"/>
      <c r="CP42" s="136"/>
      <c r="CQ42" s="1"/>
      <c r="CR42" s="1"/>
      <c r="CS42" s="230"/>
      <c r="CT42" s="1"/>
      <c r="CU42" s="136"/>
      <c r="CV42" s="136"/>
      <c r="CW42" s="136"/>
      <c r="CX42" s="136"/>
      <c r="CY42" s="136"/>
      <c r="CZ42" s="136"/>
      <c r="DA42" s="136"/>
      <c r="DB42" s="136"/>
      <c r="DC42" s="136"/>
      <c r="DD42" s="136"/>
      <c r="DE42" s="211"/>
      <c r="DF42" s="211"/>
      <c r="DG42" s="273"/>
      <c r="DH42" s="136"/>
      <c r="DI42" s="1"/>
      <c r="DJ42" s="1"/>
      <c r="DK42" s="102"/>
      <c r="DL42" s="102"/>
      <c r="DM42" s="102"/>
      <c r="DN42" s="102"/>
      <c r="DO42" s="102"/>
      <c r="DP42" s="143"/>
      <c r="DQ42" s="143"/>
      <c r="DR42" s="143"/>
      <c r="DS42" s="102"/>
      <c r="DT42" s="1"/>
      <c r="DU42" s="1"/>
      <c r="DV42" s="1"/>
      <c r="DW42" s="99"/>
      <c r="DX42" s="1"/>
      <c r="EE42" s="1"/>
      <c r="EK42" s="98"/>
      <c r="EL42" s="98"/>
      <c r="EM42" s="98"/>
      <c r="EN42" s="98"/>
      <c r="EO42" s="98"/>
      <c r="EP42" s="238"/>
      <c r="EQ42" s="239"/>
      <c r="ER42" s="98"/>
      <c r="ES42" s="98"/>
      <c r="ET42" s="267"/>
      <c r="EU42" s="253"/>
      <c r="EV42" s="254"/>
    </row>
    <row r="43" spans="1:152" s="93" customFormat="1">
      <c r="A43" s="95"/>
      <c r="B43" s="95"/>
      <c r="D43" s="97"/>
      <c r="E43" s="97"/>
      <c r="F43" s="97"/>
      <c r="G43" s="220"/>
      <c r="H43" s="98"/>
      <c r="I43" s="96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92"/>
      <c r="AP43" s="92"/>
      <c r="AQ43" s="92"/>
      <c r="AR43" s="1"/>
      <c r="AS43" s="233"/>
      <c r="AT43" s="1"/>
      <c r="AU43" s="1"/>
      <c r="AV43" s="1"/>
      <c r="AW43" s="1"/>
      <c r="AX43" s="1"/>
      <c r="AY43" s="1"/>
      <c r="AZ43" s="1"/>
      <c r="BA43" s="1"/>
      <c r="BB43" s="1"/>
      <c r="BC43" s="102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36"/>
      <c r="BZ43" s="136"/>
      <c r="CA43" s="136"/>
      <c r="CB43" s="136"/>
      <c r="CC43" s="136"/>
      <c r="CD43" s="136"/>
      <c r="CE43" s="136"/>
      <c r="CF43" s="147"/>
      <c r="CG43" s="136"/>
      <c r="CH43" s="147"/>
      <c r="CI43" s="147"/>
      <c r="CJ43" s="136"/>
      <c r="CK43" s="136"/>
      <c r="CL43" s="136"/>
      <c r="CM43" s="136"/>
      <c r="CN43" s="136"/>
      <c r="CO43" s="136"/>
      <c r="CP43" s="136"/>
      <c r="CQ43" s="1"/>
      <c r="CR43" s="1"/>
      <c r="CS43" s="230"/>
      <c r="CT43" s="1"/>
      <c r="CU43" s="136"/>
      <c r="CV43" s="136"/>
      <c r="CW43" s="136"/>
      <c r="CX43" s="136"/>
      <c r="CY43" s="136"/>
      <c r="CZ43" s="136"/>
      <c r="DA43" s="136"/>
      <c r="DB43" s="136"/>
      <c r="DC43" s="136"/>
      <c r="DD43" s="136"/>
      <c r="DE43" s="211"/>
      <c r="DF43" s="211"/>
      <c r="DG43" s="273"/>
      <c r="DH43" s="136"/>
      <c r="DI43" s="1"/>
      <c r="DJ43" s="1"/>
      <c r="DK43" s="102"/>
      <c r="DL43" s="102"/>
      <c r="DM43" s="102"/>
      <c r="DN43" s="102"/>
      <c r="DO43" s="102"/>
      <c r="DP43" s="143"/>
      <c r="DQ43" s="143"/>
      <c r="DR43" s="143"/>
      <c r="DS43" s="102"/>
      <c r="DT43" s="1"/>
      <c r="DU43" s="1"/>
      <c r="DV43" s="1"/>
      <c r="DW43" s="99"/>
      <c r="DX43" s="1"/>
      <c r="EE43" s="1"/>
      <c r="EK43" s="98"/>
      <c r="EL43" s="98"/>
      <c r="EM43" s="98"/>
      <c r="EN43" s="98"/>
      <c r="EO43" s="98"/>
      <c r="EP43" s="238"/>
      <c r="EQ43" s="239"/>
      <c r="ER43" s="98"/>
      <c r="ES43" s="98"/>
      <c r="ET43" s="267"/>
      <c r="EU43" s="253"/>
      <c r="EV43" s="254"/>
    </row>
    <row r="44" spans="1:152" s="93" customFormat="1">
      <c r="A44" s="95"/>
      <c r="B44" s="95"/>
      <c r="D44" s="97"/>
      <c r="E44" s="97"/>
      <c r="F44" s="97"/>
      <c r="G44" s="220"/>
      <c r="H44" s="98"/>
      <c r="I44" s="96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92"/>
      <c r="AP44" s="92"/>
      <c r="AQ44" s="92"/>
      <c r="AR44" s="1"/>
      <c r="AS44" s="233"/>
      <c r="AT44" s="1"/>
      <c r="AU44" s="1"/>
      <c r="AV44" s="1"/>
      <c r="AW44" s="1"/>
      <c r="AX44" s="1"/>
      <c r="AY44" s="1"/>
      <c r="AZ44" s="1"/>
      <c r="BA44" s="1"/>
      <c r="BB44" s="1"/>
      <c r="BC44" s="102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36"/>
      <c r="BZ44" s="136"/>
      <c r="CA44" s="136"/>
      <c r="CB44" s="136"/>
      <c r="CC44" s="136"/>
      <c r="CD44" s="136"/>
      <c r="CE44" s="136"/>
      <c r="CF44" s="147"/>
      <c r="CG44" s="136"/>
      <c r="CH44" s="147"/>
      <c r="CI44" s="147"/>
      <c r="CJ44" s="136"/>
      <c r="CK44" s="136"/>
      <c r="CL44" s="136"/>
      <c r="CM44" s="136"/>
      <c r="CN44" s="136"/>
      <c r="CO44" s="136"/>
      <c r="CP44" s="136"/>
      <c r="CQ44" s="1"/>
      <c r="CR44" s="1"/>
      <c r="CS44" s="230"/>
      <c r="CT44" s="1"/>
      <c r="CU44" s="136"/>
      <c r="CV44" s="136"/>
      <c r="CW44" s="136"/>
      <c r="CX44" s="136"/>
      <c r="CY44" s="136"/>
      <c r="CZ44" s="136"/>
      <c r="DA44" s="136"/>
      <c r="DB44" s="136"/>
      <c r="DC44" s="136"/>
      <c r="DD44" s="136"/>
      <c r="DE44" s="211"/>
      <c r="DF44" s="211"/>
      <c r="DG44" s="273"/>
      <c r="DH44" s="136"/>
      <c r="DI44" s="1"/>
      <c r="DJ44" s="1"/>
      <c r="DK44" s="102"/>
      <c r="DL44" s="102"/>
      <c r="DM44" s="102"/>
      <c r="DN44" s="102"/>
      <c r="DO44" s="102"/>
      <c r="DP44" s="143"/>
      <c r="DQ44" s="143"/>
      <c r="DR44" s="143"/>
      <c r="DS44" s="102"/>
      <c r="DT44" s="1"/>
      <c r="DU44" s="1"/>
      <c r="DV44" s="1"/>
      <c r="DW44" s="99"/>
      <c r="DX44" s="1"/>
      <c r="EE44" s="1"/>
      <c r="EK44" s="98"/>
      <c r="EL44" s="98"/>
      <c r="EM44" s="98"/>
      <c r="EN44" s="98"/>
      <c r="EO44" s="98"/>
      <c r="EP44" s="238"/>
      <c r="EQ44" s="239"/>
      <c r="ER44" s="98"/>
      <c r="ES44" s="98"/>
      <c r="ET44" s="267"/>
      <c r="EU44" s="253"/>
      <c r="EV44" s="254"/>
    </row>
    <row r="45" spans="1:152" s="93" customFormat="1">
      <c r="A45" s="95"/>
      <c r="B45" s="95"/>
      <c r="D45" s="97"/>
      <c r="E45" s="97"/>
      <c r="F45" s="97"/>
      <c r="G45" s="220"/>
      <c r="H45" s="98"/>
      <c r="I45" s="96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92"/>
      <c r="AP45" s="92"/>
      <c r="AQ45" s="92"/>
      <c r="AR45" s="1"/>
      <c r="AS45" s="233"/>
      <c r="AT45" s="1"/>
      <c r="AU45" s="1"/>
      <c r="AV45" s="1"/>
      <c r="AW45" s="1"/>
      <c r="AX45" s="1"/>
      <c r="AY45" s="1"/>
      <c r="AZ45" s="1"/>
      <c r="BA45" s="1"/>
      <c r="BB45" s="1"/>
      <c r="BC45" s="102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36"/>
      <c r="BZ45" s="136"/>
      <c r="CA45" s="136"/>
      <c r="CB45" s="136"/>
      <c r="CC45" s="136"/>
      <c r="CD45" s="136"/>
      <c r="CE45" s="136"/>
      <c r="CF45" s="147"/>
      <c r="CG45" s="136"/>
      <c r="CH45" s="147"/>
      <c r="CI45" s="147"/>
      <c r="CJ45" s="136"/>
      <c r="CK45" s="136"/>
      <c r="CL45" s="136"/>
      <c r="CM45" s="136"/>
      <c r="CN45" s="136"/>
      <c r="CO45" s="136"/>
      <c r="CP45" s="136"/>
      <c r="CQ45" s="1"/>
      <c r="CR45" s="1"/>
      <c r="CS45" s="230"/>
      <c r="CT45" s="1"/>
      <c r="CU45" s="136"/>
      <c r="CV45" s="136"/>
      <c r="CW45" s="136"/>
      <c r="CX45" s="136"/>
      <c r="CY45" s="136"/>
      <c r="CZ45" s="136"/>
      <c r="DA45" s="136"/>
      <c r="DB45" s="136"/>
      <c r="DC45" s="136"/>
      <c r="DD45" s="136"/>
      <c r="DE45" s="211"/>
      <c r="DF45" s="211"/>
      <c r="DG45" s="273"/>
      <c r="DH45" s="136"/>
      <c r="DI45" s="1"/>
      <c r="DJ45" s="1"/>
      <c r="DK45" s="102"/>
      <c r="DL45" s="102"/>
      <c r="DM45" s="102"/>
      <c r="DN45" s="102"/>
      <c r="DO45" s="102"/>
      <c r="DP45" s="143"/>
      <c r="DQ45" s="143"/>
      <c r="DR45" s="143"/>
      <c r="DS45" s="102"/>
      <c r="DT45" s="1"/>
      <c r="DU45" s="1"/>
      <c r="DV45" s="1"/>
      <c r="DW45" s="99"/>
      <c r="DX45" s="1"/>
      <c r="EE45" s="1"/>
      <c r="EK45" s="98"/>
      <c r="EL45" s="98"/>
      <c r="EM45" s="98"/>
      <c r="EN45" s="98"/>
      <c r="EO45" s="98"/>
      <c r="EP45" s="238"/>
      <c r="EQ45" s="239"/>
      <c r="ER45" s="98"/>
      <c r="ES45" s="98"/>
      <c r="ET45" s="267"/>
      <c r="EU45" s="253"/>
      <c r="EV45" s="254"/>
    </row>
    <row r="46" spans="1:152" s="93" customFormat="1">
      <c r="A46" s="95"/>
      <c r="B46" s="95"/>
      <c r="D46" s="97"/>
      <c r="E46" s="97"/>
      <c r="F46" s="97"/>
      <c r="G46" s="220"/>
      <c r="H46" s="98"/>
      <c r="I46" s="96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92"/>
      <c r="AP46" s="92"/>
      <c r="AQ46" s="92"/>
      <c r="AR46" s="1"/>
      <c r="AS46" s="233"/>
      <c r="AT46" s="1"/>
      <c r="AU46" s="1"/>
      <c r="AV46" s="1"/>
      <c r="AW46" s="1"/>
      <c r="AX46" s="1"/>
      <c r="AY46" s="1"/>
      <c r="AZ46" s="1"/>
      <c r="BA46" s="1"/>
      <c r="BB46" s="1"/>
      <c r="BC46" s="102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36"/>
      <c r="BZ46" s="136"/>
      <c r="CA46" s="136"/>
      <c r="CB46" s="136"/>
      <c r="CC46" s="136"/>
      <c r="CD46" s="136"/>
      <c r="CE46" s="136"/>
      <c r="CF46" s="147"/>
      <c r="CG46" s="136"/>
      <c r="CH46" s="147"/>
      <c r="CI46" s="147"/>
      <c r="CJ46" s="136"/>
      <c r="CK46" s="136"/>
      <c r="CL46" s="136"/>
      <c r="CM46" s="136"/>
      <c r="CN46" s="136"/>
      <c r="CO46" s="136"/>
      <c r="CP46" s="136"/>
      <c r="CQ46" s="1"/>
      <c r="CR46" s="1"/>
      <c r="CS46" s="230"/>
      <c r="CT46" s="1"/>
      <c r="CU46" s="136"/>
      <c r="CV46" s="136"/>
      <c r="CW46" s="136"/>
      <c r="CX46" s="136"/>
      <c r="CY46" s="136"/>
      <c r="CZ46" s="136"/>
      <c r="DA46" s="136"/>
      <c r="DB46" s="136"/>
      <c r="DC46" s="136"/>
      <c r="DD46" s="136"/>
      <c r="DE46" s="211"/>
      <c r="DF46" s="211"/>
      <c r="DG46" s="273"/>
      <c r="DH46" s="136"/>
      <c r="DI46" s="1"/>
      <c r="DJ46" s="1"/>
      <c r="DK46" s="102"/>
      <c r="DL46" s="102"/>
      <c r="DM46" s="102"/>
      <c r="DN46" s="102"/>
      <c r="DO46" s="102"/>
      <c r="DP46" s="143"/>
      <c r="DQ46" s="143"/>
      <c r="DR46" s="143"/>
      <c r="DS46" s="102"/>
      <c r="DT46" s="1"/>
      <c r="DU46" s="1"/>
      <c r="DV46" s="1"/>
      <c r="DW46" s="99"/>
      <c r="DX46" s="1"/>
      <c r="EE46" s="1"/>
      <c r="EK46" s="98"/>
      <c r="EL46" s="98"/>
      <c r="EM46" s="98"/>
      <c r="EN46" s="98"/>
      <c r="EO46" s="98"/>
      <c r="EP46" s="238"/>
      <c r="EQ46" s="239"/>
      <c r="ER46" s="98"/>
      <c r="ES46" s="98"/>
      <c r="ET46" s="267"/>
      <c r="EU46" s="253"/>
      <c r="EV46" s="254"/>
    </row>
    <row r="47" spans="1:152" s="93" customFormat="1">
      <c r="A47" s="95"/>
      <c r="B47" s="95"/>
      <c r="D47" s="97"/>
      <c r="E47" s="97"/>
      <c r="F47" s="97"/>
      <c r="G47" s="220"/>
      <c r="H47" s="98"/>
      <c r="I47" s="96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92"/>
      <c r="AP47" s="92"/>
      <c r="AQ47" s="92"/>
      <c r="AR47" s="1"/>
      <c r="AS47" s="233"/>
      <c r="AT47" s="1"/>
      <c r="AU47" s="1"/>
      <c r="AV47" s="1"/>
      <c r="AW47" s="1"/>
      <c r="AX47" s="1"/>
      <c r="AY47" s="1"/>
      <c r="AZ47" s="1"/>
      <c r="BA47" s="1"/>
      <c r="BB47" s="1"/>
      <c r="BC47" s="102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36"/>
      <c r="BZ47" s="136"/>
      <c r="CA47" s="136"/>
      <c r="CB47" s="136"/>
      <c r="CC47" s="136"/>
      <c r="CD47" s="136"/>
      <c r="CE47" s="136"/>
      <c r="CF47" s="147"/>
      <c r="CG47" s="136"/>
      <c r="CH47" s="147"/>
      <c r="CI47" s="147"/>
      <c r="CJ47" s="136"/>
      <c r="CK47" s="136"/>
      <c r="CL47" s="136"/>
      <c r="CM47" s="136"/>
      <c r="CN47" s="136"/>
      <c r="CO47" s="136"/>
      <c r="CP47" s="136"/>
      <c r="CQ47" s="1"/>
      <c r="CR47" s="1"/>
      <c r="CS47" s="230"/>
      <c r="CT47" s="1"/>
      <c r="CU47" s="136"/>
      <c r="CV47" s="136"/>
      <c r="CW47" s="136"/>
      <c r="CX47" s="136"/>
      <c r="CY47" s="136"/>
      <c r="CZ47" s="136"/>
      <c r="DA47" s="136"/>
      <c r="DB47" s="136"/>
      <c r="DC47" s="136"/>
      <c r="DD47" s="136"/>
      <c r="DE47" s="211"/>
      <c r="DF47" s="211"/>
      <c r="DG47" s="273"/>
      <c r="DH47" s="136"/>
      <c r="DI47" s="1"/>
      <c r="DJ47" s="1"/>
      <c r="DK47" s="102"/>
      <c r="DL47" s="102"/>
      <c r="DM47" s="102"/>
      <c r="DN47" s="102"/>
      <c r="DO47" s="102"/>
      <c r="DP47" s="143"/>
      <c r="DQ47" s="143"/>
      <c r="DR47" s="143"/>
      <c r="DS47" s="102"/>
      <c r="DT47" s="1"/>
      <c r="DU47" s="1"/>
      <c r="DV47" s="1"/>
      <c r="DW47" s="99"/>
      <c r="DX47" s="1"/>
      <c r="EE47" s="1"/>
      <c r="EK47" s="98"/>
      <c r="EL47" s="98"/>
      <c r="EM47" s="98"/>
      <c r="EN47" s="98"/>
      <c r="EO47" s="98"/>
      <c r="EP47" s="238"/>
      <c r="EQ47" s="239"/>
      <c r="ER47" s="98"/>
      <c r="ES47" s="98"/>
      <c r="ET47" s="267"/>
      <c r="EU47" s="253"/>
      <c r="EV47" s="254"/>
    </row>
    <row r="48" spans="1:152" s="93" customFormat="1">
      <c r="A48" s="95"/>
      <c r="B48" s="95"/>
      <c r="D48" s="97"/>
      <c r="E48" s="97"/>
      <c r="F48" s="97"/>
      <c r="G48" s="220"/>
      <c r="H48" s="98"/>
      <c r="I48" s="96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92"/>
      <c r="AP48" s="92"/>
      <c r="AQ48" s="92"/>
      <c r="AR48" s="1"/>
      <c r="AS48" s="233"/>
      <c r="AT48" s="1"/>
      <c r="AU48" s="1"/>
      <c r="AV48" s="1"/>
      <c r="AW48" s="1"/>
      <c r="AX48" s="1"/>
      <c r="AY48" s="1"/>
      <c r="AZ48" s="1"/>
      <c r="BA48" s="1"/>
      <c r="BB48" s="1"/>
      <c r="BC48" s="102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36"/>
      <c r="BZ48" s="136"/>
      <c r="CA48" s="136"/>
      <c r="CB48" s="136"/>
      <c r="CC48" s="136"/>
      <c r="CD48" s="136"/>
      <c r="CE48" s="136"/>
      <c r="CF48" s="147"/>
      <c r="CG48" s="136"/>
      <c r="CH48" s="147"/>
      <c r="CI48" s="147"/>
      <c r="CJ48" s="136"/>
      <c r="CK48" s="136"/>
      <c r="CL48" s="136"/>
      <c r="CM48" s="136"/>
      <c r="CN48" s="136"/>
      <c r="CO48" s="136"/>
      <c r="CP48" s="136"/>
      <c r="CQ48" s="1"/>
      <c r="CR48" s="1"/>
      <c r="CS48" s="230"/>
      <c r="CT48" s="1"/>
      <c r="CU48" s="136"/>
      <c r="CV48" s="136"/>
      <c r="CW48" s="136"/>
      <c r="CX48" s="136"/>
      <c r="CY48" s="136"/>
      <c r="CZ48" s="136"/>
      <c r="DA48" s="136"/>
      <c r="DB48" s="136"/>
      <c r="DC48" s="136"/>
      <c r="DD48" s="136"/>
      <c r="DE48" s="211"/>
      <c r="DF48" s="211"/>
      <c r="DG48" s="273"/>
      <c r="DH48" s="136"/>
      <c r="DI48" s="1"/>
      <c r="DJ48" s="1"/>
      <c r="DK48" s="102"/>
      <c r="DL48" s="102"/>
      <c r="DM48" s="102"/>
      <c r="DN48" s="102"/>
      <c r="DO48" s="102"/>
      <c r="DP48" s="143"/>
      <c r="DQ48" s="143"/>
      <c r="DR48" s="143"/>
      <c r="DS48" s="102"/>
      <c r="DT48" s="1"/>
      <c r="DU48" s="1"/>
      <c r="DV48" s="1"/>
      <c r="DW48" s="99"/>
      <c r="DX48" s="1"/>
      <c r="EE48" s="1"/>
      <c r="EK48" s="98"/>
      <c r="EL48" s="98"/>
      <c r="EM48" s="98"/>
      <c r="EN48" s="98"/>
      <c r="EO48" s="98"/>
      <c r="EP48" s="238"/>
      <c r="EQ48" s="239"/>
      <c r="ER48" s="98"/>
      <c r="ES48" s="98"/>
      <c r="ET48" s="267"/>
      <c r="EU48" s="253"/>
      <c r="EV48" s="254"/>
    </row>
    <row r="49" spans="1:152" s="93" customFormat="1">
      <c r="A49" s="95"/>
      <c r="B49" s="95"/>
      <c r="D49" s="97"/>
      <c r="E49" s="97"/>
      <c r="F49" s="97"/>
      <c r="G49" s="220"/>
      <c r="H49" s="98"/>
      <c r="I49" s="96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92"/>
      <c r="AP49" s="92"/>
      <c r="AQ49" s="92"/>
      <c r="AR49" s="1"/>
      <c r="AS49" s="233"/>
      <c r="AT49" s="1"/>
      <c r="AU49" s="1"/>
      <c r="AV49" s="1"/>
      <c r="AW49" s="1"/>
      <c r="AX49" s="1"/>
      <c r="AY49" s="1"/>
      <c r="AZ49" s="1"/>
      <c r="BA49" s="1"/>
      <c r="BB49" s="1"/>
      <c r="BC49" s="102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36"/>
      <c r="BZ49" s="136"/>
      <c r="CA49" s="136"/>
      <c r="CB49" s="136"/>
      <c r="CC49" s="136"/>
      <c r="CD49" s="136"/>
      <c r="CE49" s="136"/>
      <c r="CF49" s="147"/>
      <c r="CG49" s="136"/>
      <c r="CH49" s="147"/>
      <c r="CI49" s="147"/>
      <c r="CJ49" s="136"/>
      <c r="CK49" s="136"/>
      <c r="CL49" s="136"/>
      <c r="CM49" s="136"/>
      <c r="CN49" s="136"/>
      <c r="CO49" s="136"/>
      <c r="CP49" s="136"/>
      <c r="CQ49" s="1"/>
      <c r="CR49" s="1"/>
      <c r="CS49" s="230"/>
      <c r="CT49" s="1"/>
      <c r="CU49" s="136"/>
      <c r="CV49" s="136"/>
      <c r="CW49" s="136"/>
      <c r="CX49" s="136"/>
      <c r="CY49" s="136"/>
      <c r="CZ49" s="136"/>
      <c r="DA49" s="136"/>
      <c r="DB49" s="136"/>
      <c r="DC49" s="136"/>
      <c r="DD49" s="136"/>
      <c r="DE49" s="211"/>
      <c r="DF49" s="211"/>
      <c r="DG49" s="273"/>
      <c r="DH49" s="136"/>
      <c r="DI49" s="1"/>
      <c r="DJ49" s="1"/>
      <c r="DK49" s="102"/>
      <c r="DL49" s="102"/>
      <c r="DM49" s="102"/>
      <c r="DN49" s="102"/>
      <c r="DO49" s="102"/>
      <c r="DP49" s="143"/>
      <c r="DQ49" s="143"/>
      <c r="DR49" s="143"/>
      <c r="DS49" s="102"/>
      <c r="DT49" s="1"/>
      <c r="DU49" s="1"/>
      <c r="DV49" s="1"/>
      <c r="DW49" s="99"/>
      <c r="DX49" s="1"/>
      <c r="EE49" s="1"/>
      <c r="EK49" s="98"/>
      <c r="EL49" s="98"/>
      <c r="EM49" s="98"/>
      <c r="EN49" s="98"/>
      <c r="EO49" s="98"/>
      <c r="EP49" s="238"/>
      <c r="EQ49" s="239"/>
      <c r="ER49" s="98"/>
      <c r="ES49" s="98"/>
      <c r="ET49" s="267"/>
      <c r="EU49" s="253"/>
      <c r="EV49" s="254"/>
    </row>
    <row r="50" spans="1:152" s="93" customFormat="1">
      <c r="A50" s="95"/>
      <c r="B50" s="95"/>
      <c r="D50" s="97"/>
      <c r="E50" s="97"/>
      <c r="F50" s="97"/>
      <c r="G50" s="220"/>
      <c r="H50" s="98"/>
      <c r="I50" s="96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92"/>
      <c r="AP50" s="92"/>
      <c r="AQ50" s="92"/>
      <c r="AR50" s="1"/>
      <c r="AS50" s="233"/>
      <c r="AT50" s="1"/>
      <c r="AU50" s="1"/>
      <c r="AV50" s="1"/>
      <c r="AW50" s="1"/>
      <c r="AX50" s="1"/>
      <c r="AY50" s="1"/>
      <c r="AZ50" s="1"/>
      <c r="BA50" s="1"/>
      <c r="BB50" s="1"/>
      <c r="BC50" s="102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36"/>
      <c r="BZ50" s="136"/>
      <c r="CA50" s="136"/>
      <c r="CB50" s="136"/>
      <c r="CC50" s="136"/>
      <c r="CD50" s="136"/>
      <c r="CE50" s="136"/>
      <c r="CF50" s="147"/>
      <c r="CG50" s="136"/>
      <c r="CH50" s="147"/>
      <c r="CI50" s="147"/>
      <c r="CJ50" s="136"/>
      <c r="CK50" s="136"/>
      <c r="CL50" s="136"/>
      <c r="CM50" s="136"/>
      <c r="CN50" s="136"/>
      <c r="CO50" s="136"/>
      <c r="CP50" s="136"/>
      <c r="CQ50" s="1"/>
      <c r="CR50" s="1"/>
      <c r="CS50" s="230"/>
      <c r="CT50" s="1"/>
      <c r="CU50" s="136"/>
      <c r="CV50" s="136"/>
      <c r="CW50" s="136"/>
      <c r="CX50" s="136"/>
      <c r="CY50" s="136"/>
      <c r="CZ50" s="136"/>
      <c r="DA50" s="136"/>
      <c r="DB50" s="136"/>
      <c r="DC50" s="136"/>
      <c r="DD50" s="136"/>
      <c r="DE50" s="211"/>
      <c r="DF50" s="211"/>
      <c r="DG50" s="273"/>
      <c r="DH50" s="136"/>
      <c r="DI50" s="1"/>
      <c r="DJ50" s="1"/>
      <c r="DK50" s="102"/>
      <c r="DL50" s="102"/>
      <c r="DM50" s="102"/>
      <c r="DN50" s="102"/>
      <c r="DO50" s="102"/>
      <c r="DP50" s="143"/>
      <c r="DQ50" s="143"/>
      <c r="DR50" s="143"/>
      <c r="DS50" s="102"/>
      <c r="DT50" s="1"/>
      <c r="DU50" s="1"/>
      <c r="DV50" s="1"/>
      <c r="DW50" s="99"/>
      <c r="DX50" s="1"/>
      <c r="EE50" s="1"/>
      <c r="EK50" s="98"/>
      <c r="EL50" s="98"/>
      <c r="EM50" s="98"/>
      <c r="EN50" s="98"/>
      <c r="EO50" s="98"/>
      <c r="EP50" s="238"/>
      <c r="EQ50" s="239"/>
      <c r="ER50" s="98"/>
      <c r="ES50" s="98"/>
      <c r="ET50" s="267"/>
      <c r="EU50" s="253"/>
      <c r="EV50" s="254"/>
    </row>
    <row r="51" spans="1:152" s="93" customFormat="1">
      <c r="A51" s="95"/>
      <c r="B51" s="95"/>
      <c r="D51" s="97"/>
      <c r="E51" s="97"/>
      <c r="F51" s="97"/>
      <c r="G51" s="220"/>
      <c r="H51" s="98"/>
      <c r="I51" s="96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92"/>
      <c r="AP51" s="92"/>
      <c r="AQ51" s="92"/>
      <c r="AR51" s="1"/>
      <c r="AS51" s="233"/>
      <c r="AT51" s="1"/>
      <c r="AU51" s="1"/>
      <c r="AV51" s="1"/>
      <c r="AW51" s="1"/>
      <c r="AX51" s="1"/>
      <c r="AY51" s="1"/>
      <c r="AZ51" s="1"/>
      <c r="BA51" s="1"/>
      <c r="BB51" s="1"/>
      <c r="BC51" s="102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36"/>
      <c r="BZ51" s="136"/>
      <c r="CA51" s="136"/>
      <c r="CB51" s="136"/>
      <c r="CC51" s="136"/>
      <c r="CD51" s="136"/>
      <c r="CE51" s="136"/>
      <c r="CF51" s="147"/>
      <c r="CG51" s="136"/>
      <c r="CH51" s="147"/>
      <c r="CI51" s="147"/>
      <c r="CJ51" s="136"/>
      <c r="CK51" s="136"/>
      <c r="CL51" s="136"/>
      <c r="CM51" s="136"/>
      <c r="CN51" s="136"/>
      <c r="CO51" s="136"/>
      <c r="CP51" s="136"/>
      <c r="CQ51" s="1"/>
      <c r="CR51" s="1"/>
      <c r="CS51" s="230"/>
      <c r="CT51" s="1"/>
      <c r="CU51" s="136"/>
      <c r="CV51" s="136"/>
      <c r="CW51" s="136"/>
      <c r="CX51" s="136"/>
      <c r="CY51" s="136"/>
      <c r="CZ51" s="136"/>
      <c r="DA51" s="136"/>
      <c r="DB51" s="136"/>
      <c r="DC51" s="136"/>
      <c r="DD51" s="136"/>
      <c r="DE51" s="211"/>
      <c r="DF51" s="211"/>
      <c r="DG51" s="273"/>
      <c r="DH51" s="136"/>
      <c r="DI51" s="1"/>
      <c r="DJ51" s="1"/>
      <c r="DK51" s="102"/>
      <c r="DL51" s="102"/>
      <c r="DM51" s="102"/>
      <c r="DN51" s="102"/>
      <c r="DO51" s="102"/>
      <c r="DP51" s="143"/>
      <c r="DQ51" s="143"/>
      <c r="DR51" s="143"/>
      <c r="DS51" s="102"/>
      <c r="DT51" s="1"/>
      <c r="DU51" s="1"/>
      <c r="DV51" s="1"/>
      <c r="DW51" s="99"/>
      <c r="DX51" s="1"/>
      <c r="EE51" s="1"/>
      <c r="EK51" s="98"/>
      <c r="EL51" s="98"/>
      <c r="EM51" s="98"/>
      <c r="EN51" s="98"/>
      <c r="EO51" s="98"/>
      <c r="EP51" s="238"/>
      <c r="EQ51" s="239"/>
      <c r="ER51" s="98"/>
      <c r="ES51" s="98"/>
      <c r="ET51" s="267"/>
      <c r="EU51" s="253"/>
      <c r="EV51" s="254"/>
    </row>
    <row r="52" spans="1:152" s="93" customFormat="1">
      <c r="A52" s="95"/>
      <c r="B52" s="95"/>
      <c r="D52" s="97"/>
      <c r="E52" s="97"/>
      <c r="F52" s="97"/>
      <c r="G52" s="220"/>
      <c r="H52" s="98"/>
      <c r="I52" s="96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92"/>
      <c r="AP52" s="92"/>
      <c r="AQ52" s="92"/>
      <c r="AR52" s="1"/>
      <c r="AS52" s="233"/>
      <c r="AT52" s="1"/>
      <c r="AU52" s="1"/>
      <c r="AV52" s="1"/>
      <c r="AW52" s="1"/>
      <c r="AX52" s="1"/>
      <c r="AY52" s="1"/>
      <c r="AZ52" s="1"/>
      <c r="BA52" s="1"/>
      <c r="BB52" s="1"/>
      <c r="BC52" s="102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36"/>
      <c r="BZ52" s="136"/>
      <c r="CA52" s="136"/>
      <c r="CB52" s="136"/>
      <c r="CC52" s="136"/>
      <c r="CD52" s="136"/>
      <c r="CE52" s="136"/>
      <c r="CF52" s="147"/>
      <c r="CG52" s="136"/>
      <c r="CH52" s="147"/>
      <c r="CI52" s="147"/>
      <c r="CJ52" s="136"/>
      <c r="CK52" s="136"/>
      <c r="CL52" s="136"/>
      <c r="CM52" s="136"/>
      <c r="CN52" s="136"/>
      <c r="CO52" s="136"/>
      <c r="CP52" s="136"/>
      <c r="CQ52" s="1"/>
      <c r="CR52" s="1"/>
      <c r="CS52" s="230"/>
      <c r="CT52" s="1"/>
      <c r="CU52" s="136"/>
      <c r="CV52" s="136"/>
      <c r="CW52" s="136"/>
      <c r="CX52" s="136"/>
      <c r="CY52" s="136"/>
      <c r="CZ52" s="136"/>
      <c r="DA52" s="136"/>
      <c r="DB52" s="136"/>
      <c r="DC52" s="136"/>
      <c r="DD52" s="136"/>
      <c r="DE52" s="211"/>
      <c r="DF52" s="211"/>
      <c r="DG52" s="273"/>
      <c r="DH52" s="136"/>
      <c r="DI52" s="1"/>
      <c r="DJ52" s="1"/>
      <c r="DK52" s="102"/>
      <c r="DL52" s="102"/>
      <c r="DM52" s="102"/>
      <c r="DN52" s="102"/>
      <c r="DO52" s="102"/>
      <c r="DP52" s="143"/>
      <c r="DQ52" s="143"/>
      <c r="DR52" s="143"/>
      <c r="DS52" s="102"/>
      <c r="DT52" s="1"/>
      <c r="DU52" s="1"/>
      <c r="DV52" s="1"/>
      <c r="DW52" s="99"/>
      <c r="DX52" s="1"/>
      <c r="EE52" s="1"/>
      <c r="EK52" s="98"/>
      <c r="EL52" s="98"/>
      <c r="EM52" s="98"/>
      <c r="EN52" s="98"/>
      <c r="EO52" s="98"/>
      <c r="EP52" s="238"/>
      <c r="EQ52" s="239"/>
      <c r="ER52" s="98"/>
      <c r="ES52" s="98"/>
      <c r="ET52" s="267"/>
      <c r="EU52" s="253"/>
      <c r="EV52" s="254"/>
    </row>
    <row r="53" spans="1:152" s="93" customFormat="1">
      <c r="A53" s="95"/>
      <c r="B53" s="95"/>
      <c r="D53" s="97"/>
      <c r="E53" s="97"/>
      <c r="F53" s="97"/>
      <c r="G53" s="220"/>
      <c r="H53" s="98"/>
      <c r="I53" s="96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92"/>
      <c r="AP53" s="92"/>
      <c r="AQ53" s="92"/>
      <c r="AR53" s="1"/>
      <c r="AS53" s="233"/>
      <c r="AT53" s="1"/>
      <c r="AU53" s="1"/>
      <c r="AV53" s="1"/>
      <c r="AW53" s="1"/>
      <c r="AX53" s="1"/>
      <c r="AY53" s="1"/>
      <c r="AZ53" s="1"/>
      <c r="BA53" s="1"/>
      <c r="BB53" s="1"/>
      <c r="BC53" s="102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36"/>
      <c r="BZ53" s="136"/>
      <c r="CA53" s="136"/>
      <c r="CB53" s="136"/>
      <c r="CC53" s="136"/>
      <c r="CD53" s="136"/>
      <c r="CE53" s="136"/>
      <c r="CF53" s="147"/>
      <c r="CG53" s="136"/>
      <c r="CH53" s="147"/>
      <c r="CI53" s="147"/>
      <c r="CJ53" s="136"/>
      <c r="CK53" s="136"/>
      <c r="CL53" s="136"/>
      <c r="CM53" s="136"/>
      <c r="CN53" s="136"/>
      <c r="CO53" s="136"/>
      <c r="CP53" s="136"/>
      <c r="CQ53" s="1"/>
      <c r="CR53" s="1"/>
      <c r="CS53" s="230"/>
      <c r="CT53" s="1"/>
      <c r="CU53" s="136"/>
      <c r="CV53" s="136"/>
      <c r="CW53" s="136"/>
      <c r="CX53" s="136"/>
      <c r="CY53" s="136"/>
      <c r="CZ53" s="136"/>
      <c r="DA53" s="136"/>
      <c r="DB53" s="136"/>
      <c r="DC53" s="136"/>
      <c r="DD53" s="136"/>
      <c r="DE53" s="211"/>
      <c r="DF53" s="211"/>
      <c r="DG53" s="273"/>
      <c r="DH53" s="136"/>
      <c r="DI53" s="1"/>
      <c r="DJ53" s="1"/>
      <c r="DK53" s="102"/>
      <c r="DL53" s="102"/>
      <c r="DM53" s="102"/>
      <c r="DN53" s="102"/>
      <c r="DO53" s="102"/>
      <c r="DP53" s="143"/>
      <c r="DQ53" s="143"/>
      <c r="DR53" s="143"/>
      <c r="DS53" s="102"/>
      <c r="DT53" s="1"/>
      <c r="DU53" s="1"/>
      <c r="DV53" s="1"/>
      <c r="DW53" s="99"/>
      <c r="DX53" s="1"/>
      <c r="EE53" s="1"/>
      <c r="EK53" s="98"/>
      <c r="EL53" s="98"/>
      <c r="EM53" s="98"/>
      <c r="EN53" s="98"/>
      <c r="EO53" s="98"/>
      <c r="EP53" s="238"/>
      <c r="EQ53" s="239"/>
      <c r="ER53" s="98"/>
      <c r="ES53" s="98"/>
      <c r="ET53" s="267"/>
      <c r="EU53" s="253"/>
      <c r="EV53" s="254"/>
    </row>
    <row r="54" spans="1:152" s="93" customFormat="1">
      <c r="A54" s="95"/>
      <c r="B54" s="95"/>
      <c r="D54" s="97"/>
      <c r="E54" s="97"/>
      <c r="F54" s="97"/>
      <c r="G54" s="220"/>
      <c r="H54" s="98"/>
      <c r="I54" s="96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92"/>
      <c r="AP54" s="92"/>
      <c r="AQ54" s="92"/>
      <c r="AR54" s="1"/>
      <c r="AS54" s="233"/>
      <c r="AT54" s="1"/>
      <c r="AU54" s="1"/>
      <c r="AV54" s="1"/>
      <c r="AW54" s="1"/>
      <c r="AX54" s="1"/>
      <c r="AY54" s="1"/>
      <c r="AZ54" s="1"/>
      <c r="BA54" s="1"/>
      <c r="BB54" s="1"/>
      <c r="BC54" s="102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36"/>
      <c r="BZ54" s="136"/>
      <c r="CA54" s="136"/>
      <c r="CB54" s="136"/>
      <c r="CC54" s="136"/>
      <c r="CD54" s="136"/>
      <c r="CE54" s="136"/>
      <c r="CF54" s="147"/>
      <c r="CG54" s="136"/>
      <c r="CH54" s="147"/>
      <c r="CI54" s="147"/>
      <c r="CJ54" s="136"/>
      <c r="CK54" s="136"/>
      <c r="CL54" s="136"/>
      <c r="CM54" s="136"/>
      <c r="CN54" s="136"/>
      <c r="CO54" s="136"/>
      <c r="CP54" s="136"/>
      <c r="CQ54" s="1"/>
      <c r="CR54" s="1"/>
      <c r="CS54" s="230"/>
      <c r="CT54" s="1"/>
      <c r="CU54" s="136"/>
      <c r="CV54" s="136"/>
      <c r="CW54" s="136"/>
      <c r="CX54" s="136"/>
      <c r="CY54" s="136"/>
      <c r="CZ54" s="136"/>
      <c r="DA54" s="136"/>
      <c r="DB54" s="136"/>
      <c r="DC54" s="136"/>
      <c r="DD54" s="136"/>
      <c r="DE54" s="211"/>
      <c r="DF54" s="211"/>
      <c r="DG54" s="273"/>
      <c r="DH54" s="136"/>
      <c r="DI54" s="1"/>
      <c r="DJ54" s="1"/>
      <c r="DK54" s="102"/>
      <c r="DL54" s="102"/>
      <c r="DM54" s="102"/>
      <c r="DN54" s="102"/>
      <c r="DO54" s="102"/>
      <c r="DP54" s="143"/>
      <c r="DQ54" s="143"/>
      <c r="DR54" s="143"/>
      <c r="DS54" s="102"/>
      <c r="DT54" s="1"/>
      <c r="DU54" s="1"/>
      <c r="DV54" s="1"/>
      <c r="DW54" s="99"/>
      <c r="DX54" s="1"/>
      <c r="EE54" s="1"/>
      <c r="EK54" s="98"/>
      <c r="EL54" s="98"/>
      <c r="EM54" s="98"/>
      <c r="EN54" s="98"/>
      <c r="EO54" s="98"/>
      <c r="EP54" s="238"/>
      <c r="EQ54" s="239"/>
      <c r="ER54" s="98"/>
      <c r="ES54" s="98"/>
      <c r="ET54" s="267"/>
      <c r="EU54" s="253"/>
      <c r="EV54" s="254"/>
    </row>
    <row r="55" spans="1:152" s="93" customFormat="1">
      <c r="A55" s="95"/>
      <c r="B55" s="95"/>
      <c r="D55" s="97"/>
      <c r="E55" s="97"/>
      <c r="F55" s="97"/>
      <c r="G55" s="220"/>
      <c r="H55" s="98"/>
      <c r="I55" s="96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92"/>
      <c r="AP55" s="92"/>
      <c r="AQ55" s="92"/>
      <c r="AR55" s="1"/>
      <c r="AS55" s="233"/>
      <c r="AT55" s="1"/>
      <c r="AU55" s="1"/>
      <c r="AV55" s="1"/>
      <c r="AW55" s="1"/>
      <c r="AX55" s="1"/>
      <c r="AY55" s="1"/>
      <c r="AZ55" s="1"/>
      <c r="BA55" s="1"/>
      <c r="BB55" s="1"/>
      <c r="BC55" s="102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36"/>
      <c r="BZ55" s="136"/>
      <c r="CA55" s="136"/>
      <c r="CB55" s="136"/>
      <c r="CC55" s="136"/>
      <c r="CD55" s="136"/>
      <c r="CE55" s="136"/>
      <c r="CF55" s="147"/>
      <c r="CG55" s="136"/>
      <c r="CH55" s="147"/>
      <c r="CI55" s="147"/>
      <c r="CJ55" s="136"/>
      <c r="CK55" s="136"/>
      <c r="CL55" s="136"/>
      <c r="CM55" s="136"/>
      <c r="CN55" s="136"/>
      <c r="CO55" s="136"/>
      <c r="CP55" s="136"/>
      <c r="CQ55" s="1"/>
      <c r="CR55" s="1"/>
      <c r="CS55" s="230"/>
      <c r="CT55" s="1"/>
      <c r="CU55" s="136"/>
      <c r="CV55" s="136"/>
      <c r="CW55" s="136"/>
      <c r="CX55" s="136"/>
      <c r="CY55" s="136"/>
      <c r="CZ55" s="136"/>
      <c r="DA55" s="136"/>
      <c r="DB55" s="136"/>
      <c r="DC55" s="136"/>
      <c r="DD55" s="136"/>
      <c r="DE55" s="211"/>
      <c r="DF55" s="211"/>
      <c r="DG55" s="273"/>
      <c r="DH55" s="136"/>
      <c r="DI55" s="1"/>
      <c r="DJ55" s="1"/>
      <c r="DK55" s="102"/>
      <c r="DL55" s="102"/>
      <c r="DM55" s="102"/>
      <c r="DN55" s="102"/>
      <c r="DO55" s="102"/>
      <c r="DP55" s="143"/>
      <c r="DQ55" s="143"/>
      <c r="DR55" s="143"/>
      <c r="DS55" s="102"/>
      <c r="DT55" s="1"/>
      <c r="DU55" s="1"/>
      <c r="DV55" s="1"/>
      <c r="DW55" s="99"/>
      <c r="DX55" s="1"/>
      <c r="EE55" s="1"/>
      <c r="EK55" s="98"/>
      <c r="EL55" s="98"/>
      <c r="EM55" s="98"/>
      <c r="EN55" s="98"/>
      <c r="EO55" s="98"/>
      <c r="EP55" s="238"/>
      <c r="EQ55" s="239"/>
      <c r="ER55" s="98"/>
      <c r="ES55" s="98"/>
      <c r="ET55" s="267"/>
      <c r="EU55" s="253"/>
      <c r="EV55" s="254"/>
    </row>
    <row r="56" spans="1:152" s="93" customFormat="1">
      <c r="A56" s="95"/>
      <c r="B56" s="95"/>
      <c r="D56" s="97"/>
      <c r="E56" s="97"/>
      <c r="F56" s="97"/>
      <c r="G56" s="220"/>
      <c r="H56" s="98"/>
      <c r="I56" s="96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92"/>
      <c r="AP56" s="92"/>
      <c r="AQ56" s="92"/>
      <c r="AR56" s="1"/>
      <c r="AS56" s="233"/>
      <c r="AT56" s="1"/>
      <c r="AU56" s="1"/>
      <c r="AV56" s="1"/>
      <c r="AW56" s="1"/>
      <c r="AX56" s="1"/>
      <c r="AY56" s="1"/>
      <c r="AZ56" s="1"/>
      <c r="BA56" s="1"/>
      <c r="BB56" s="1"/>
      <c r="BC56" s="102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36"/>
      <c r="BZ56" s="136"/>
      <c r="CA56" s="136"/>
      <c r="CB56" s="136"/>
      <c r="CC56" s="136"/>
      <c r="CD56" s="136"/>
      <c r="CE56" s="136"/>
      <c r="CF56" s="147"/>
      <c r="CG56" s="136"/>
      <c r="CH56" s="147"/>
      <c r="CI56" s="147"/>
      <c r="CJ56" s="136"/>
      <c r="CK56" s="136"/>
      <c r="CL56" s="136"/>
      <c r="CM56" s="136"/>
      <c r="CN56" s="136"/>
      <c r="CO56" s="136"/>
      <c r="CP56" s="136"/>
      <c r="CQ56" s="1"/>
      <c r="CR56" s="1"/>
      <c r="CS56" s="230"/>
      <c r="CT56" s="1"/>
      <c r="CU56" s="136"/>
      <c r="CV56" s="136"/>
      <c r="CW56" s="136"/>
      <c r="CX56" s="136"/>
      <c r="CY56" s="136"/>
      <c r="CZ56" s="136"/>
      <c r="DA56" s="136"/>
      <c r="DB56" s="136"/>
      <c r="DC56" s="136"/>
      <c r="DD56" s="136"/>
      <c r="DE56" s="211"/>
      <c r="DF56" s="211"/>
      <c r="DG56" s="273"/>
      <c r="DH56" s="136"/>
      <c r="DI56" s="1"/>
      <c r="DJ56" s="1"/>
      <c r="DK56" s="102"/>
      <c r="DL56" s="102"/>
      <c r="DM56" s="102"/>
      <c r="DN56" s="102"/>
      <c r="DO56" s="102"/>
      <c r="DP56" s="143"/>
      <c r="DQ56" s="143"/>
      <c r="DR56" s="143"/>
      <c r="DS56" s="102"/>
      <c r="DT56" s="1"/>
      <c r="DU56" s="1"/>
      <c r="DV56" s="1"/>
      <c r="DW56" s="99"/>
      <c r="DX56" s="1"/>
      <c r="EE56" s="1"/>
      <c r="EK56" s="98"/>
      <c r="EL56" s="98"/>
      <c r="EM56" s="98"/>
      <c r="EN56" s="98"/>
      <c r="EO56" s="98"/>
      <c r="EP56" s="238"/>
      <c r="EQ56" s="239"/>
      <c r="ER56" s="98"/>
      <c r="ES56" s="98"/>
      <c r="ET56" s="267"/>
      <c r="EU56" s="253"/>
      <c r="EV56" s="254"/>
    </row>
    <row r="57" spans="1:152" s="93" customFormat="1">
      <c r="A57" s="95"/>
      <c r="B57" s="95"/>
      <c r="D57" s="97"/>
      <c r="E57" s="97"/>
      <c r="F57" s="97"/>
      <c r="G57" s="220"/>
      <c r="H57" s="98"/>
      <c r="I57" s="96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92"/>
      <c r="AP57" s="92"/>
      <c r="AQ57" s="92"/>
      <c r="AR57" s="1"/>
      <c r="AS57" s="233"/>
      <c r="AT57" s="1"/>
      <c r="AU57" s="1"/>
      <c r="AV57" s="1"/>
      <c r="AW57" s="1"/>
      <c r="AX57" s="1"/>
      <c r="AY57" s="1"/>
      <c r="AZ57" s="1"/>
      <c r="BA57" s="1"/>
      <c r="BB57" s="1"/>
      <c r="BC57" s="102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36"/>
      <c r="BZ57" s="136"/>
      <c r="CA57" s="136"/>
      <c r="CB57" s="136"/>
      <c r="CC57" s="136"/>
      <c r="CD57" s="136"/>
      <c r="CE57" s="136"/>
      <c r="CF57" s="147"/>
      <c r="CG57" s="136"/>
      <c r="CH57" s="147"/>
      <c r="CI57" s="147"/>
      <c r="CJ57" s="136"/>
      <c r="CK57" s="136"/>
      <c r="CL57" s="136"/>
      <c r="CM57" s="136"/>
      <c r="CN57" s="136"/>
      <c r="CO57" s="136"/>
      <c r="CP57" s="136"/>
      <c r="CQ57" s="1"/>
      <c r="CR57" s="1"/>
      <c r="CS57" s="230"/>
      <c r="CT57" s="1"/>
      <c r="CU57" s="136"/>
      <c r="CV57" s="136"/>
      <c r="CW57" s="136"/>
      <c r="CX57" s="136"/>
      <c r="CY57" s="136"/>
      <c r="CZ57" s="136"/>
      <c r="DA57" s="136"/>
      <c r="DB57" s="136"/>
      <c r="DC57" s="136"/>
      <c r="DD57" s="136"/>
      <c r="DE57" s="211"/>
      <c r="DF57" s="211"/>
      <c r="DG57" s="273"/>
      <c r="DH57" s="136"/>
      <c r="DI57" s="1"/>
      <c r="DJ57" s="1"/>
      <c r="DK57" s="102"/>
      <c r="DL57" s="102"/>
      <c r="DM57" s="102"/>
      <c r="DN57" s="102"/>
      <c r="DO57" s="102"/>
      <c r="DP57" s="143"/>
      <c r="DQ57" s="143"/>
      <c r="DR57" s="143"/>
      <c r="DS57" s="102"/>
      <c r="DT57" s="1"/>
      <c r="DU57" s="1"/>
      <c r="DV57" s="1"/>
      <c r="DW57" s="99"/>
      <c r="DX57" s="1"/>
      <c r="EE57" s="1"/>
      <c r="EK57" s="98"/>
      <c r="EL57" s="98"/>
      <c r="EM57" s="98"/>
      <c r="EN57" s="98"/>
      <c r="EO57" s="98"/>
      <c r="EP57" s="238"/>
      <c r="EQ57" s="239"/>
      <c r="ER57" s="98"/>
      <c r="ES57" s="98"/>
      <c r="ET57" s="267"/>
      <c r="EU57" s="253"/>
      <c r="EV57" s="254"/>
    </row>
    <row r="58" spans="1:152" s="93" customFormat="1">
      <c r="A58" s="95"/>
      <c r="B58" s="95"/>
      <c r="D58" s="97"/>
      <c r="E58" s="97"/>
      <c r="F58" s="97"/>
      <c r="G58" s="220"/>
      <c r="H58" s="98"/>
      <c r="I58" s="96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92"/>
      <c r="AP58" s="92"/>
      <c r="AQ58" s="92"/>
      <c r="AR58" s="1"/>
      <c r="AS58" s="233"/>
      <c r="AT58" s="1"/>
      <c r="AU58" s="1"/>
      <c r="AV58" s="1"/>
      <c r="AW58" s="1"/>
      <c r="AX58" s="1"/>
      <c r="AY58" s="1"/>
      <c r="AZ58" s="1"/>
      <c r="BA58" s="1"/>
      <c r="BB58" s="1"/>
      <c r="BC58" s="102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36"/>
      <c r="BZ58" s="136"/>
      <c r="CA58" s="136"/>
      <c r="CB58" s="136"/>
      <c r="CC58" s="136"/>
      <c r="CD58" s="136"/>
      <c r="CE58" s="136"/>
      <c r="CF58" s="147"/>
      <c r="CG58" s="136"/>
      <c r="CH58" s="147"/>
      <c r="CI58" s="147"/>
      <c r="CJ58" s="136"/>
      <c r="CK58" s="136"/>
      <c r="CL58" s="136"/>
      <c r="CM58" s="136"/>
      <c r="CN58" s="136"/>
      <c r="CO58" s="136"/>
      <c r="CP58" s="136"/>
      <c r="CQ58" s="1"/>
      <c r="CR58" s="1"/>
      <c r="CS58" s="230"/>
      <c r="CT58" s="1"/>
      <c r="CU58" s="136"/>
      <c r="CV58" s="136"/>
      <c r="CW58" s="136"/>
      <c r="CX58" s="136"/>
      <c r="CY58" s="136"/>
      <c r="CZ58" s="136"/>
      <c r="DA58" s="136"/>
      <c r="DB58" s="136"/>
      <c r="DC58" s="136"/>
      <c r="DD58" s="136"/>
      <c r="DE58" s="211"/>
      <c r="DF58" s="211"/>
      <c r="DG58" s="273"/>
      <c r="DH58" s="136"/>
      <c r="DI58" s="1"/>
      <c r="DJ58" s="1"/>
      <c r="DK58" s="102"/>
      <c r="DL58" s="102"/>
      <c r="DM58" s="102"/>
      <c r="DN58" s="102"/>
      <c r="DO58" s="102"/>
      <c r="DP58" s="143"/>
      <c r="DQ58" s="143"/>
      <c r="DR58" s="143"/>
      <c r="DS58" s="102"/>
      <c r="DT58" s="1"/>
      <c r="DU58" s="1"/>
      <c r="DV58" s="1"/>
      <c r="DW58" s="99"/>
      <c r="DX58" s="1"/>
      <c r="EE58" s="1"/>
      <c r="EK58" s="98"/>
      <c r="EL58" s="98"/>
      <c r="EM58" s="98"/>
      <c r="EN58" s="98"/>
      <c r="EO58" s="98"/>
      <c r="EP58" s="238"/>
      <c r="EQ58" s="239"/>
      <c r="ER58" s="98"/>
      <c r="ES58" s="98"/>
      <c r="ET58" s="267"/>
      <c r="EU58" s="253"/>
      <c r="EV58" s="254"/>
    </row>
    <row r="59" spans="1:152" s="93" customFormat="1">
      <c r="A59" s="95"/>
      <c r="B59" s="95"/>
      <c r="D59" s="97"/>
      <c r="E59" s="97"/>
      <c r="F59" s="97"/>
      <c r="G59" s="220"/>
      <c r="H59" s="98"/>
      <c r="I59" s="96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92"/>
      <c r="AP59" s="92"/>
      <c r="AQ59" s="92"/>
      <c r="AR59" s="1"/>
      <c r="AS59" s="233"/>
      <c r="AT59" s="1"/>
      <c r="AU59" s="1"/>
      <c r="AV59" s="1"/>
      <c r="AW59" s="1"/>
      <c r="AX59" s="1"/>
      <c r="AY59" s="1"/>
      <c r="AZ59" s="1"/>
      <c r="BA59" s="1"/>
      <c r="BB59" s="1"/>
      <c r="BC59" s="102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36"/>
      <c r="BZ59" s="136"/>
      <c r="CA59" s="136"/>
      <c r="CB59" s="136"/>
      <c r="CC59" s="136"/>
      <c r="CD59" s="136"/>
      <c r="CE59" s="136"/>
      <c r="CF59" s="147"/>
      <c r="CG59" s="136"/>
      <c r="CH59" s="147"/>
      <c r="CI59" s="147"/>
      <c r="CJ59" s="136"/>
      <c r="CK59" s="136"/>
      <c r="CL59" s="136"/>
      <c r="CM59" s="136"/>
      <c r="CN59" s="136"/>
      <c r="CO59" s="136"/>
      <c r="CP59" s="136"/>
      <c r="CQ59" s="1"/>
      <c r="CR59" s="1"/>
      <c r="CS59" s="230"/>
      <c r="CT59" s="1"/>
      <c r="CU59" s="136"/>
      <c r="CV59" s="136"/>
      <c r="CW59" s="136"/>
      <c r="CX59" s="136"/>
      <c r="CY59" s="136"/>
      <c r="CZ59" s="136"/>
      <c r="DA59" s="136"/>
      <c r="DB59" s="136"/>
      <c r="DC59" s="136"/>
      <c r="DD59" s="136"/>
      <c r="DE59" s="211"/>
      <c r="DF59" s="211"/>
      <c r="DG59" s="273"/>
      <c r="DH59" s="136"/>
      <c r="DI59" s="1"/>
      <c r="DJ59" s="1"/>
      <c r="DK59" s="102"/>
      <c r="DL59" s="102"/>
      <c r="DM59" s="102"/>
      <c r="DN59" s="102"/>
      <c r="DO59" s="102"/>
      <c r="DP59" s="143"/>
      <c r="DQ59" s="143"/>
      <c r="DR59" s="143"/>
      <c r="DS59" s="102"/>
      <c r="DT59" s="1"/>
      <c r="DU59" s="1"/>
      <c r="DV59" s="1"/>
      <c r="DW59" s="99"/>
      <c r="DX59" s="1"/>
      <c r="EE59" s="1"/>
      <c r="EK59" s="98"/>
      <c r="EL59" s="98"/>
      <c r="EM59" s="98"/>
      <c r="EN59" s="98"/>
      <c r="EO59" s="98"/>
      <c r="EP59" s="238"/>
      <c r="EQ59" s="239"/>
      <c r="ER59" s="98"/>
      <c r="ES59" s="98"/>
      <c r="ET59" s="267"/>
      <c r="EU59" s="253"/>
      <c r="EV59" s="254"/>
    </row>
    <row r="60" spans="1:152" s="93" customFormat="1">
      <c r="A60" s="95"/>
      <c r="B60" s="95"/>
      <c r="D60" s="97"/>
      <c r="E60" s="97"/>
      <c r="F60" s="97"/>
      <c r="G60" s="220"/>
      <c r="H60" s="98"/>
      <c r="I60" s="96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92"/>
      <c r="AP60" s="92"/>
      <c r="AQ60" s="92"/>
      <c r="AR60" s="1"/>
      <c r="AS60" s="233"/>
      <c r="AT60" s="1"/>
      <c r="AU60" s="1"/>
      <c r="AV60" s="1"/>
      <c r="AW60" s="1"/>
      <c r="AX60" s="1"/>
      <c r="AY60" s="1"/>
      <c r="AZ60" s="1"/>
      <c r="BA60" s="1"/>
      <c r="BB60" s="1"/>
      <c r="BC60" s="102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36"/>
      <c r="BZ60" s="136"/>
      <c r="CA60" s="136"/>
      <c r="CB60" s="136"/>
      <c r="CC60" s="136"/>
      <c r="CD60" s="136"/>
      <c r="CE60" s="136"/>
      <c r="CF60" s="147"/>
      <c r="CG60" s="136"/>
      <c r="CH60" s="147"/>
      <c r="CI60" s="147"/>
      <c r="CJ60" s="136"/>
      <c r="CK60" s="136"/>
      <c r="CL60" s="136"/>
      <c r="CM60" s="136"/>
      <c r="CN60" s="136"/>
      <c r="CO60" s="136"/>
      <c r="CP60" s="136"/>
      <c r="CQ60" s="1"/>
      <c r="CR60" s="1"/>
      <c r="CS60" s="230"/>
      <c r="CT60" s="1"/>
      <c r="CU60" s="136"/>
      <c r="CV60" s="136"/>
      <c r="CW60" s="136"/>
      <c r="CX60" s="136"/>
      <c r="CY60" s="136"/>
      <c r="CZ60" s="136"/>
      <c r="DA60" s="136"/>
      <c r="DB60" s="136"/>
      <c r="DC60" s="136"/>
      <c r="DD60" s="136"/>
      <c r="DE60" s="211"/>
      <c r="DF60" s="211"/>
      <c r="DG60" s="273"/>
      <c r="DH60" s="136"/>
      <c r="DI60" s="1"/>
      <c r="DJ60" s="1"/>
      <c r="DK60" s="102"/>
      <c r="DL60" s="102"/>
      <c r="DM60" s="102"/>
      <c r="DN60" s="102"/>
      <c r="DO60" s="102"/>
      <c r="DP60" s="143"/>
      <c r="DQ60" s="143"/>
      <c r="DR60" s="143"/>
      <c r="DS60" s="102"/>
      <c r="DT60" s="1"/>
      <c r="DU60" s="1"/>
      <c r="DV60" s="1"/>
      <c r="DW60" s="99"/>
      <c r="DX60" s="1"/>
      <c r="EE60" s="1"/>
      <c r="EK60" s="98"/>
      <c r="EL60" s="98"/>
      <c r="EM60" s="98"/>
      <c r="EN60" s="98"/>
      <c r="EO60" s="98"/>
      <c r="EP60" s="238"/>
      <c r="EQ60" s="239"/>
      <c r="ER60" s="98"/>
      <c r="ES60" s="98"/>
      <c r="ET60" s="267"/>
      <c r="EU60" s="253"/>
      <c r="EV60" s="254"/>
    </row>
    <row r="61" spans="1:152" s="93" customFormat="1">
      <c r="A61" s="95"/>
      <c r="B61" s="95"/>
      <c r="D61" s="97"/>
      <c r="E61" s="97"/>
      <c r="F61" s="97"/>
      <c r="G61" s="220"/>
      <c r="H61" s="98"/>
      <c r="I61" s="96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92"/>
      <c r="AP61" s="92"/>
      <c r="AQ61" s="92"/>
      <c r="AR61" s="1"/>
      <c r="AS61" s="233"/>
      <c r="AT61" s="1"/>
      <c r="AU61" s="1"/>
      <c r="AV61" s="1"/>
      <c r="AW61" s="1"/>
      <c r="AX61" s="1"/>
      <c r="AY61" s="1"/>
      <c r="AZ61" s="1"/>
      <c r="BA61" s="1"/>
      <c r="BB61" s="1"/>
      <c r="BC61" s="102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36"/>
      <c r="BZ61" s="136"/>
      <c r="CA61" s="136"/>
      <c r="CB61" s="136"/>
      <c r="CC61" s="136"/>
      <c r="CD61" s="136"/>
      <c r="CE61" s="136"/>
      <c r="CF61" s="147"/>
      <c r="CG61" s="136"/>
      <c r="CH61" s="147"/>
      <c r="CI61" s="147"/>
      <c r="CJ61" s="136"/>
      <c r="CK61" s="136"/>
      <c r="CL61" s="136"/>
      <c r="CM61" s="136"/>
      <c r="CN61" s="136"/>
      <c r="CO61" s="136"/>
      <c r="CP61" s="136"/>
      <c r="CQ61" s="1"/>
      <c r="CR61" s="1"/>
      <c r="CS61" s="230"/>
      <c r="CT61" s="1"/>
      <c r="CU61" s="136"/>
      <c r="CV61" s="136"/>
      <c r="CW61" s="136"/>
      <c r="CX61" s="136"/>
      <c r="CY61" s="136"/>
      <c r="CZ61" s="136"/>
      <c r="DA61" s="136"/>
      <c r="DB61" s="136"/>
      <c r="DC61" s="136"/>
      <c r="DD61" s="136"/>
      <c r="DE61" s="211"/>
      <c r="DF61" s="211"/>
      <c r="DG61" s="273"/>
      <c r="DH61" s="136"/>
      <c r="DI61" s="1"/>
      <c r="DJ61" s="1"/>
      <c r="DK61" s="102"/>
      <c r="DL61" s="102"/>
      <c r="DM61" s="102"/>
      <c r="DN61" s="102"/>
      <c r="DO61" s="102"/>
      <c r="DP61" s="143"/>
      <c r="DQ61" s="143"/>
      <c r="DR61" s="143"/>
      <c r="DS61" s="102"/>
      <c r="DT61" s="1"/>
      <c r="DU61" s="1"/>
      <c r="DV61" s="1"/>
      <c r="DW61" s="99"/>
      <c r="DX61" s="1"/>
      <c r="EE61" s="1"/>
      <c r="EK61" s="98"/>
      <c r="EL61" s="98"/>
      <c r="EM61" s="98"/>
      <c r="EN61" s="98"/>
      <c r="EO61" s="98"/>
      <c r="EP61" s="238"/>
      <c r="EQ61" s="239"/>
      <c r="ER61" s="98"/>
      <c r="ES61" s="98"/>
      <c r="ET61" s="267"/>
      <c r="EU61" s="253"/>
      <c r="EV61" s="254"/>
    </row>
    <row r="62" spans="1:152" s="93" customFormat="1">
      <c r="A62" s="95"/>
      <c r="B62" s="95"/>
      <c r="D62" s="97"/>
      <c r="E62" s="97"/>
      <c r="F62" s="97"/>
      <c r="G62" s="220"/>
      <c r="H62" s="98"/>
      <c r="I62" s="96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92"/>
      <c r="AP62" s="92"/>
      <c r="AQ62" s="92"/>
      <c r="AR62" s="1"/>
      <c r="AS62" s="233"/>
      <c r="AT62" s="1"/>
      <c r="AU62" s="1"/>
      <c r="AV62" s="1"/>
      <c r="AW62" s="1"/>
      <c r="AX62" s="1"/>
      <c r="AY62" s="1"/>
      <c r="AZ62" s="1"/>
      <c r="BA62" s="1"/>
      <c r="BB62" s="1"/>
      <c r="BC62" s="102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36"/>
      <c r="BZ62" s="136"/>
      <c r="CA62" s="136"/>
      <c r="CB62" s="136"/>
      <c r="CC62" s="136"/>
      <c r="CD62" s="136"/>
      <c r="CE62" s="136"/>
      <c r="CF62" s="147"/>
      <c r="CG62" s="136"/>
      <c r="CH62" s="147"/>
      <c r="CI62" s="147"/>
      <c r="CJ62" s="136"/>
      <c r="CK62" s="136"/>
      <c r="CL62" s="136"/>
      <c r="CM62" s="136"/>
      <c r="CN62" s="136"/>
      <c r="CO62" s="136"/>
      <c r="CP62" s="136"/>
      <c r="CQ62" s="1"/>
      <c r="CR62" s="1"/>
      <c r="CS62" s="230"/>
      <c r="CT62" s="1"/>
      <c r="CU62" s="136"/>
      <c r="CV62" s="136"/>
      <c r="CW62" s="136"/>
      <c r="CX62" s="136"/>
      <c r="CY62" s="136"/>
      <c r="CZ62" s="136"/>
      <c r="DA62" s="136"/>
      <c r="DB62" s="136"/>
      <c r="DC62" s="136"/>
      <c r="DD62" s="136"/>
      <c r="DE62" s="211"/>
      <c r="DF62" s="211"/>
      <c r="DG62" s="273"/>
      <c r="DH62" s="136"/>
      <c r="DI62" s="1"/>
      <c r="DJ62" s="1"/>
      <c r="DK62" s="102"/>
      <c r="DL62" s="102"/>
      <c r="DM62" s="102"/>
      <c r="DN62" s="102"/>
      <c r="DO62" s="102"/>
      <c r="DP62" s="143"/>
      <c r="DQ62" s="143"/>
      <c r="DR62" s="143"/>
      <c r="DS62" s="102"/>
      <c r="DT62" s="1"/>
      <c r="DU62" s="1"/>
      <c r="DV62" s="1"/>
      <c r="DW62" s="99"/>
      <c r="DX62" s="1"/>
      <c r="EE62" s="1"/>
      <c r="EK62" s="98"/>
      <c r="EL62" s="98"/>
      <c r="EM62" s="98"/>
      <c r="EN62" s="98"/>
      <c r="EO62" s="98"/>
      <c r="EP62" s="238"/>
      <c r="EQ62" s="239"/>
      <c r="ER62" s="98"/>
      <c r="ES62" s="98"/>
      <c r="ET62" s="267"/>
      <c r="EU62" s="253"/>
      <c r="EV62" s="254"/>
    </row>
    <row r="63" spans="1:152" s="93" customFormat="1">
      <c r="A63" s="95"/>
      <c r="B63" s="95"/>
      <c r="D63" s="97"/>
      <c r="E63" s="97"/>
      <c r="F63" s="97"/>
      <c r="G63" s="220"/>
      <c r="H63" s="98"/>
      <c r="I63" s="96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92"/>
      <c r="AP63" s="92"/>
      <c r="AQ63" s="92"/>
      <c r="AR63" s="1"/>
      <c r="AS63" s="233"/>
      <c r="AT63" s="1"/>
      <c r="AU63" s="1"/>
      <c r="AV63" s="1"/>
      <c r="AW63" s="1"/>
      <c r="AX63" s="1"/>
      <c r="AY63" s="1"/>
      <c r="AZ63" s="1"/>
      <c r="BA63" s="1"/>
      <c r="BB63" s="1"/>
      <c r="BC63" s="102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36"/>
      <c r="BZ63" s="136"/>
      <c r="CA63" s="136"/>
      <c r="CB63" s="136"/>
      <c r="CC63" s="136"/>
      <c r="CD63" s="136"/>
      <c r="CE63" s="136"/>
      <c r="CF63" s="147"/>
      <c r="CG63" s="136"/>
      <c r="CH63" s="147"/>
      <c r="CI63" s="147"/>
      <c r="CJ63" s="136"/>
      <c r="CK63" s="136"/>
      <c r="CL63" s="136"/>
      <c r="CM63" s="136"/>
      <c r="CN63" s="136"/>
      <c r="CO63" s="136"/>
      <c r="CP63" s="136"/>
      <c r="CQ63" s="1"/>
      <c r="CR63" s="1"/>
      <c r="CS63" s="230"/>
      <c r="CT63" s="1"/>
      <c r="CU63" s="136"/>
      <c r="CV63" s="136"/>
      <c r="CW63" s="136"/>
      <c r="CX63" s="136"/>
      <c r="CY63" s="136"/>
      <c r="CZ63" s="136"/>
      <c r="DA63" s="136"/>
      <c r="DB63" s="136"/>
      <c r="DC63" s="136"/>
      <c r="DD63" s="136"/>
      <c r="DE63" s="211"/>
      <c r="DF63" s="211"/>
      <c r="DG63" s="273"/>
      <c r="DH63" s="136"/>
      <c r="DI63" s="1"/>
      <c r="DJ63" s="1"/>
      <c r="DK63" s="102"/>
      <c r="DL63" s="102"/>
      <c r="DM63" s="102"/>
      <c r="DN63" s="102"/>
      <c r="DO63" s="102"/>
      <c r="DP63" s="143"/>
      <c r="DQ63" s="143"/>
      <c r="DR63" s="143"/>
      <c r="DS63" s="102"/>
      <c r="DT63" s="1"/>
      <c r="DU63" s="1"/>
      <c r="DV63" s="1"/>
      <c r="DW63" s="99"/>
      <c r="DX63" s="1"/>
      <c r="EE63" s="1"/>
      <c r="EK63" s="98"/>
      <c r="EL63" s="98"/>
      <c r="EM63" s="98"/>
      <c r="EN63" s="98"/>
      <c r="EO63" s="98"/>
      <c r="EP63" s="238"/>
      <c r="EQ63" s="239"/>
      <c r="ER63" s="98"/>
      <c r="ES63" s="98"/>
      <c r="ET63" s="267"/>
      <c r="EU63" s="253"/>
      <c r="EV63" s="254"/>
    </row>
    <row r="64" spans="1:152" s="93" customFormat="1">
      <c r="A64" s="95"/>
      <c r="B64" s="95"/>
      <c r="D64" s="97"/>
      <c r="E64" s="97"/>
      <c r="F64" s="97"/>
      <c r="G64" s="220"/>
      <c r="H64" s="98"/>
      <c r="I64" s="96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92"/>
      <c r="AP64" s="92"/>
      <c r="AQ64" s="92"/>
      <c r="AR64" s="1"/>
      <c r="AS64" s="233"/>
      <c r="AT64" s="1"/>
      <c r="AU64" s="1"/>
      <c r="AV64" s="1"/>
      <c r="AW64" s="1"/>
      <c r="AX64" s="1"/>
      <c r="AY64" s="1"/>
      <c r="AZ64" s="1"/>
      <c r="BA64" s="1"/>
      <c r="BB64" s="1"/>
      <c r="BC64" s="102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36"/>
      <c r="BZ64" s="136"/>
      <c r="CA64" s="136"/>
      <c r="CB64" s="136"/>
      <c r="CC64" s="136"/>
      <c r="CD64" s="136"/>
      <c r="CE64" s="136"/>
      <c r="CF64" s="147"/>
      <c r="CG64" s="136"/>
      <c r="CH64" s="147"/>
      <c r="CI64" s="147"/>
      <c r="CJ64" s="136"/>
      <c r="CK64" s="136"/>
      <c r="CL64" s="136"/>
      <c r="CM64" s="136"/>
      <c r="CN64" s="136"/>
      <c r="CO64" s="136"/>
      <c r="CP64" s="136"/>
      <c r="CQ64" s="1"/>
      <c r="CR64" s="1"/>
      <c r="CS64" s="230"/>
      <c r="CT64" s="1"/>
      <c r="CU64" s="136"/>
      <c r="CV64" s="136"/>
      <c r="CW64" s="136"/>
      <c r="CX64" s="136"/>
      <c r="CY64" s="136"/>
      <c r="CZ64" s="136"/>
      <c r="DA64" s="136"/>
      <c r="DB64" s="136"/>
      <c r="DC64" s="136"/>
      <c r="DD64" s="136"/>
      <c r="DE64" s="211"/>
      <c r="DF64" s="211"/>
      <c r="DG64" s="273"/>
      <c r="DH64" s="136"/>
      <c r="DI64" s="1"/>
      <c r="DJ64" s="1"/>
      <c r="DK64" s="102"/>
      <c r="DL64" s="102"/>
      <c r="DM64" s="102"/>
      <c r="DN64" s="102"/>
      <c r="DO64" s="102"/>
      <c r="DP64" s="143"/>
      <c r="DQ64" s="143"/>
      <c r="DR64" s="143"/>
      <c r="DS64" s="102"/>
      <c r="DT64" s="1"/>
      <c r="DU64" s="1"/>
      <c r="DV64" s="1"/>
      <c r="DW64" s="99"/>
      <c r="DX64" s="1"/>
      <c r="EE64" s="1"/>
      <c r="EK64" s="98"/>
      <c r="EL64" s="98"/>
      <c r="EM64" s="98"/>
      <c r="EN64" s="98"/>
      <c r="EO64" s="98"/>
      <c r="EP64" s="238"/>
      <c r="EQ64" s="239"/>
      <c r="ER64" s="98"/>
      <c r="ES64" s="98"/>
      <c r="ET64" s="267"/>
      <c r="EU64" s="253"/>
      <c r="EV64" s="254"/>
    </row>
    <row r="65" spans="1:152" s="93" customFormat="1">
      <c r="A65" s="95"/>
      <c r="B65" s="95"/>
      <c r="D65" s="97"/>
      <c r="E65" s="97"/>
      <c r="F65" s="97"/>
      <c r="G65" s="220"/>
      <c r="H65" s="98"/>
      <c r="I65" s="96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92"/>
      <c r="AP65" s="92"/>
      <c r="AQ65" s="92"/>
      <c r="AR65" s="1"/>
      <c r="AS65" s="233"/>
      <c r="AT65" s="1"/>
      <c r="AU65" s="1"/>
      <c r="AV65" s="1"/>
      <c r="AW65" s="1"/>
      <c r="AX65" s="1"/>
      <c r="AY65" s="1"/>
      <c r="AZ65" s="1"/>
      <c r="BA65" s="1"/>
      <c r="BB65" s="1"/>
      <c r="BC65" s="102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36"/>
      <c r="BZ65" s="136"/>
      <c r="CA65" s="136"/>
      <c r="CB65" s="136"/>
      <c r="CC65" s="136"/>
      <c r="CD65" s="136"/>
      <c r="CE65" s="136"/>
      <c r="CF65" s="147"/>
      <c r="CG65" s="136"/>
      <c r="CH65" s="147"/>
      <c r="CI65" s="147"/>
      <c r="CJ65" s="136"/>
      <c r="CK65" s="136"/>
      <c r="CL65" s="136"/>
      <c r="CM65" s="136"/>
      <c r="CN65" s="136"/>
      <c r="CO65" s="136"/>
      <c r="CP65" s="136"/>
      <c r="CQ65" s="1"/>
      <c r="CR65" s="1"/>
      <c r="CS65" s="230"/>
      <c r="CT65" s="1"/>
      <c r="CU65" s="136"/>
      <c r="CV65" s="136"/>
      <c r="CW65" s="136"/>
      <c r="CX65" s="136"/>
      <c r="CY65" s="136"/>
      <c r="CZ65" s="136"/>
      <c r="DA65" s="136"/>
      <c r="DB65" s="136"/>
      <c r="DC65" s="136"/>
      <c r="DD65" s="136"/>
      <c r="DE65" s="211"/>
      <c r="DF65" s="211"/>
      <c r="DG65" s="273"/>
      <c r="DH65" s="136"/>
      <c r="DI65" s="1"/>
      <c r="DJ65" s="1"/>
      <c r="DK65" s="102"/>
      <c r="DL65" s="102"/>
      <c r="DM65" s="102"/>
      <c r="DN65" s="102"/>
      <c r="DO65" s="102"/>
      <c r="DP65" s="143"/>
      <c r="DQ65" s="143"/>
      <c r="DR65" s="143"/>
      <c r="DS65" s="102"/>
      <c r="DT65" s="1"/>
      <c r="DU65" s="1"/>
      <c r="DV65" s="1"/>
      <c r="DW65" s="99"/>
      <c r="DX65" s="1"/>
      <c r="EE65" s="1"/>
      <c r="EK65" s="98"/>
      <c r="EL65" s="98"/>
      <c r="EM65" s="98"/>
      <c r="EN65" s="98"/>
      <c r="EO65" s="98"/>
      <c r="EP65" s="238"/>
      <c r="EQ65" s="239"/>
      <c r="ER65" s="98"/>
      <c r="ES65" s="98"/>
      <c r="ET65" s="267"/>
      <c r="EU65" s="253"/>
      <c r="EV65" s="254"/>
    </row>
    <row r="66" spans="1:152" s="93" customFormat="1">
      <c r="A66" s="95"/>
      <c r="B66" s="95"/>
      <c r="D66" s="97"/>
      <c r="E66" s="97"/>
      <c r="F66" s="97"/>
      <c r="G66" s="220"/>
      <c r="H66" s="98"/>
      <c r="I66" s="96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92"/>
      <c r="AP66" s="92"/>
      <c r="AQ66" s="92"/>
      <c r="AR66" s="1"/>
      <c r="AS66" s="233"/>
      <c r="AT66" s="1"/>
      <c r="AU66" s="1"/>
      <c r="AV66" s="1"/>
      <c r="AW66" s="1"/>
      <c r="AX66" s="1"/>
      <c r="AY66" s="1"/>
      <c r="AZ66" s="1"/>
      <c r="BA66" s="1"/>
      <c r="BB66" s="1"/>
      <c r="BC66" s="102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36"/>
      <c r="BZ66" s="136"/>
      <c r="CA66" s="136"/>
      <c r="CB66" s="136"/>
      <c r="CC66" s="136"/>
      <c r="CD66" s="136"/>
      <c r="CE66" s="136"/>
      <c r="CF66" s="147"/>
      <c r="CG66" s="136"/>
      <c r="CH66" s="147"/>
      <c r="CI66" s="147"/>
      <c r="CJ66" s="136"/>
      <c r="CK66" s="136"/>
      <c r="CL66" s="136"/>
      <c r="CM66" s="136"/>
      <c r="CN66" s="136"/>
      <c r="CO66" s="136"/>
      <c r="CP66" s="136"/>
      <c r="CQ66" s="1"/>
      <c r="CR66" s="1"/>
      <c r="CS66" s="230"/>
      <c r="CT66" s="1"/>
      <c r="CU66" s="136"/>
      <c r="CV66" s="136"/>
      <c r="CW66" s="136"/>
      <c r="CX66" s="136"/>
      <c r="CY66" s="136"/>
      <c r="CZ66" s="136"/>
      <c r="DA66" s="136"/>
      <c r="DB66" s="136"/>
      <c r="DC66" s="136"/>
      <c r="DD66" s="136"/>
      <c r="DE66" s="211"/>
      <c r="DF66" s="211"/>
      <c r="DG66" s="273"/>
      <c r="DH66" s="136"/>
      <c r="DI66" s="1"/>
      <c r="DJ66" s="1"/>
      <c r="DK66" s="102"/>
      <c r="DL66" s="102"/>
      <c r="DM66" s="102"/>
      <c r="DN66" s="102"/>
      <c r="DO66" s="102"/>
      <c r="DP66" s="143"/>
      <c r="DQ66" s="143"/>
      <c r="DR66" s="143"/>
      <c r="DS66" s="102"/>
      <c r="DT66" s="1"/>
      <c r="DU66" s="1"/>
      <c r="DV66" s="1"/>
      <c r="DW66" s="99"/>
      <c r="DX66" s="1"/>
      <c r="EE66" s="1"/>
      <c r="EK66" s="98"/>
      <c r="EL66" s="98"/>
      <c r="EM66" s="98"/>
      <c r="EN66" s="98"/>
      <c r="EO66" s="98"/>
      <c r="EP66" s="238"/>
      <c r="EQ66" s="239"/>
      <c r="ER66" s="98"/>
      <c r="ES66" s="98"/>
      <c r="ET66" s="267"/>
      <c r="EU66" s="253"/>
      <c r="EV66" s="254"/>
    </row>
    <row r="67" spans="1:152" s="93" customFormat="1">
      <c r="A67" s="95"/>
      <c r="B67" s="95"/>
      <c r="D67" s="97"/>
      <c r="E67" s="97"/>
      <c r="F67" s="97"/>
      <c r="G67" s="220"/>
      <c r="H67" s="98"/>
      <c r="I67" s="96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92"/>
      <c r="AP67" s="92"/>
      <c r="AQ67" s="92"/>
      <c r="AR67" s="1"/>
      <c r="AS67" s="233"/>
      <c r="AT67" s="1"/>
      <c r="AU67" s="1"/>
      <c r="AV67" s="1"/>
      <c r="AW67" s="1"/>
      <c r="AX67" s="1"/>
      <c r="AY67" s="1"/>
      <c r="AZ67" s="1"/>
      <c r="BA67" s="1"/>
      <c r="BB67" s="1"/>
      <c r="BC67" s="102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36"/>
      <c r="BZ67" s="136"/>
      <c r="CA67" s="136"/>
      <c r="CB67" s="136"/>
      <c r="CC67" s="136"/>
      <c r="CD67" s="136"/>
      <c r="CE67" s="136"/>
      <c r="CF67" s="147"/>
      <c r="CG67" s="136"/>
      <c r="CH67" s="147"/>
      <c r="CI67" s="147"/>
      <c r="CJ67" s="136"/>
      <c r="CK67" s="136"/>
      <c r="CL67" s="136"/>
      <c r="CM67" s="136"/>
      <c r="CN67" s="136"/>
      <c r="CO67" s="136"/>
      <c r="CP67" s="136"/>
      <c r="CQ67" s="1"/>
      <c r="CR67" s="1"/>
      <c r="CS67" s="230"/>
      <c r="CT67" s="1"/>
      <c r="CU67" s="136"/>
      <c r="CV67" s="136"/>
      <c r="CW67" s="136"/>
      <c r="CX67" s="136"/>
      <c r="CY67" s="136"/>
      <c r="CZ67" s="136"/>
      <c r="DA67" s="136"/>
      <c r="DB67" s="136"/>
      <c r="DC67" s="136"/>
      <c r="DD67" s="136"/>
      <c r="DE67" s="211"/>
      <c r="DF67" s="211"/>
      <c r="DG67" s="273"/>
      <c r="DH67" s="136"/>
      <c r="DI67" s="1"/>
      <c r="DJ67" s="1"/>
      <c r="DK67" s="102"/>
      <c r="DL67" s="102"/>
      <c r="DM67" s="102"/>
      <c r="DN67" s="102"/>
      <c r="DO67" s="102"/>
      <c r="DP67" s="143"/>
      <c r="DQ67" s="143"/>
      <c r="DR67" s="143"/>
      <c r="DS67" s="102"/>
      <c r="DT67" s="1"/>
      <c r="DU67" s="1"/>
      <c r="DV67" s="1"/>
      <c r="DW67" s="99"/>
      <c r="DX67" s="1"/>
      <c r="EE67" s="1"/>
      <c r="EK67" s="98"/>
      <c r="EL67" s="98"/>
      <c r="EM67" s="98"/>
      <c r="EN67" s="98"/>
      <c r="EO67" s="98"/>
      <c r="EP67" s="238"/>
      <c r="EQ67" s="239"/>
      <c r="ER67" s="98"/>
      <c r="ES67" s="98"/>
      <c r="ET67" s="267"/>
      <c r="EU67" s="253"/>
      <c r="EV67" s="254"/>
    </row>
    <row r="68" spans="1:152" s="93" customFormat="1">
      <c r="A68" s="95"/>
      <c r="B68" s="95"/>
      <c r="D68" s="97"/>
      <c r="E68" s="97"/>
      <c r="F68" s="97"/>
      <c r="G68" s="220"/>
      <c r="H68" s="98"/>
      <c r="I68" s="96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92"/>
      <c r="AP68" s="92"/>
      <c r="AQ68" s="92"/>
      <c r="AR68" s="1"/>
      <c r="AS68" s="233"/>
      <c r="AT68" s="1"/>
      <c r="AU68" s="1"/>
      <c r="AV68" s="1"/>
      <c r="AW68" s="1"/>
      <c r="AX68" s="1"/>
      <c r="AY68" s="1"/>
      <c r="AZ68" s="1"/>
      <c r="BA68" s="1"/>
      <c r="BB68" s="1"/>
      <c r="BC68" s="102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36"/>
      <c r="BZ68" s="136"/>
      <c r="CA68" s="136"/>
      <c r="CB68" s="136"/>
      <c r="CC68" s="136"/>
      <c r="CD68" s="136"/>
      <c r="CE68" s="136"/>
      <c r="CF68" s="147"/>
      <c r="CG68" s="136"/>
      <c r="CH68" s="147"/>
      <c r="CI68" s="147"/>
      <c r="CJ68" s="136"/>
      <c r="CK68" s="136"/>
      <c r="CL68" s="136"/>
      <c r="CM68" s="136"/>
      <c r="CN68" s="136"/>
      <c r="CO68" s="136"/>
      <c r="CP68" s="136"/>
      <c r="CQ68" s="1"/>
      <c r="CR68" s="1"/>
      <c r="CS68" s="230"/>
      <c r="CT68" s="1"/>
      <c r="CU68" s="136"/>
      <c r="CV68" s="136"/>
      <c r="CW68" s="136"/>
      <c r="CX68" s="136"/>
      <c r="CY68" s="136"/>
      <c r="CZ68" s="136"/>
      <c r="DA68" s="136"/>
      <c r="DB68" s="136"/>
      <c r="DC68" s="136"/>
      <c r="DD68" s="136"/>
      <c r="DE68" s="211"/>
      <c r="DF68" s="211"/>
      <c r="DG68" s="273"/>
      <c r="DH68" s="136"/>
      <c r="DI68" s="1"/>
      <c r="DJ68" s="1"/>
      <c r="DK68" s="102"/>
      <c r="DL68" s="102"/>
      <c r="DM68" s="102"/>
      <c r="DN68" s="102"/>
      <c r="DO68" s="102"/>
      <c r="DP68" s="143"/>
      <c r="DQ68" s="143"/>
      <c r="DR68" s="143"/>
      <c r="DS68" s="102"/>
      <c r="DT68" s="1"/>
      <c r="DU68" s="1"/>
      <c r="DV68" s="1"/>
      <c r="DW68" s="99"/>
      <c r="DX68" s="1"/>
      <c r="EE68" s="1"/>
      <c r="EK68" s="98"/>
      <c r="EL68" s="98"/>
      <c r="EM68" s="98"/>
      <c r="EN68" s="98"/>
      <c r="EO68" s="98"/>
      <c r="EP68" s="238"/>
      <c r="EQ68" s="239"/>
      <c r="ER68" s="98"/>
      <c r="ES68" s="98"/>
      <c r="ET68" s="267"/>
      <c r="EU68" s="253"/>
      <c r="EV68" s="254"/>
    </row>
    <row r="69" spans="1:152" s="93" customFormat="1">
      <c r="A69" s="95"/>
      <c r="B69" s="95"/>
      <c r="D69" s="97"/>
      <c r="E69" s="97"/>
      <c r="F69" s="97"/>
      <c r="G69" s="220"/>
      <c r="H69" s="98"/>
      <c r="I69" s="96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92"/>
      <c r="AP69" s="92"/>
      <c r="AQ69" s="92"/>
      <c r="AR69" s="1"/>
      <c r="AS69" s="233"/>
      <c r="AT69" s="1"/>
      <c r="AU69" s="1"/>
      <c r="AV69" s="1"/>
      <c r="AW69" s="1"/>
      <c r="AX69" s="1"/>
      <c r="AY69" s="1"/>
      <c r="AZ69" s="1"/>
      <c r="BA69" s="1"/>
      <c r="BB69" s="1"/>
      <c r="BC69" s="102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36"/>
      <c r="BZ69" s="136"/>
      <c r="CA69" s="136"/>
      <c r="CB69" s="136"/>
      <c r="CC69" s="136"/>
      <c r="CD69" s="136"/>
      <c r="CE69" s="136"/>
      <c r="CF69" s="147"/>
      <c r="CG69" s="136"/>
      <c r="CH69" s="147"/>
      <c r="CI69" s="147"/>
      <c r="CJ69" s="136"/>
      <c r="CK69" s="136"/>
      <c r="CL69" s="136"/>
      <c r="CM69" s="136"/>
      <c r="CN69" s="136"/>
      <c r="CO69" s="136"/>
      <c r="CP69" s="136"/>
      <c r="CQ69" s="1"/>
      <c r="CR69" s="1"/>
      <c r="CS69" s="230"/>
      <c r="CT69" s="1"/>
      <c r="CU69" s="136"/>
      <c r="CV69" s="136"/>
      <c r="CW69" s="136"/>
      <c r="CX69" s="136"/>
      <c r="CY69" s="136"/>
      <c r="CZ69" s="136"/>
      <c r="DA69" s="136"/>
      <c r="DB69" s="136"/>
      <c r="DC69" s="136"/>
      <c r="DD69" s="136"/>
      <c r="DE69" s="211"/>
      <c r="DF69" s="211"/>
      <c r="DG69" s="273"/>
      <c r="DH69" s="136"/>
      <c r="DI69" s="1"/>
      <c r="DJ69" s="1"/>
      <c r="DK69" s="102"/>
      <c r="DL69" s="102"/>
      <c r="DM69" s="102"/>
      <c r="DN69" s="102"/>
      <c r="DO69" s="102"/>
      <c r="DP69" s="143"/>
      <c r="DQ69" s="143"/>
      <c r="DR69" s="143"/>
      <c r="DS69" s="102"/>
      <c r="DT69" s="1"/>
      <c r="DU69" s="1"/>
      <c r="DV69" s="1"/>
      <c r="DW69" s="99"/>
      <c r="DX69" s="1"/>
      <c r="EE69" s="1"/>
      <c r="EK69" s="98"/>
      <c r="EL69" s="98"/>
      <c r="EM69" s="98"/>
      <c r="EN69" s="98"/>
      <c r="EO69" s="98"/>
      <c r="EP69" s="238"/>
      <c r="EQ69" s="239"/>
      <c r="ER69" s="98"/>
      <c r="ES69" s="98"/>
      <c r="ET69" s="267"/>
      <c r="EU69" s="253"/>
      <c r="EV69" s="254"/>
    </row>
    <row r="70" spans="1:152" s="93" customFormat="1">
      <c r="A70" s="95"/>
      <c r="B70" s="95"/>
      <c r="D70" s="97"/>
      <c r="E70" s="97"/>
      <c r="F70" s="97"/>
      <c r="G70" s="220"/>
      <c r="H70" s="98"/>
      <c r="I70" s="96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92"/>
      <c r="AP70" s="92"/>
      <c r="AQ70" s="92"/>
      <c r="AR70" s="1"/>
      <c r="AS70" s="233"/>
      <c r="AT70" s="1"/>
      <c r="AU70" s="1"/>
      <c r="AV70" s="1"/>
      <c r="AW70" s="1"/>
      <c r="AX70" s="1"/>
      <c r="AY70" s="1"/>
      <c r="AZ70" s="1"/>
      <c r="BA70" s="1"/>
      <c r="BB70" s="1"/>
      <c r="BC70" s="102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36"/>
      <c r="BZ70" s="136"/>
      <c r="CA70" s="136"/>
      <c r="CB70" s="136"/>
      <c r="CC70" s="136"/>
      <c r="CD70" s="136"/>
      <c r="CE70" s="136"/>
      <c r="CF70" s="147"/>
      <c r="CG70" s="136"/>
      <c r="CH70" s="147"/>
      <c r="CI70" s="147"/>
      <c r="CJ70" s="136"/>
      <c r="CK70" s="136"/>
      <c r="CL70" s="136"/>
      <c r="CM70" s="136"/>
      <c r="CN70" s="136"/>
      <c r="CO70" s="136"/>
      <c r="CP70" s="136"/>
      <c r="CQ70" s="1"/>
      <c r="CR70" s="1"/>
      <c r="CS70" s="230"/>
      <c r="CT70" s="1"/>
      <c r="CU70" s="136"/>
      <c r="CV70" s="136"/>
      <c r="CW70" s="136"/>
      <c r="CX70" s="136"/>
      <c r="CY70" s="136"/>
      <c r="CZ70" s="136"/>
      <c r="DA70" s="136"/>
      <c r="DB70" s="136"/>
      <c r="DC70" s="136"/>
      <c r="DD70" s="136"/>
      <c r="DE70" s="211"/>
      <c r="DF70" s="211"/>
      <c r="DG70" s="273"/>
      <c r="DH70" s="136"/>
      <c r="DI70" s="1"/>
      <c r="DJ70" s="1"/>
      <c r="DK70" s="102"/>
      <c r="DL70" s="102"/>
      <c r="DM70" s="102"/>
      <c r="DN70" s="102"/>
      <c r="DO70" s="102"/>
      <c r="DP70" s="143"/>
      <c r="DQ70" s="143"/>
      <c r="DR70" s="143"/>
      <c r="DS70" s="102"/>
      <c r="DT70" s="1"/>
      <c r="DU70" s="1"/>
      <c r="DV70" s="1"/>
      <c r="DW70" s="99"/>
      <c r="DX70" s="1"/>
      <c r="EE70" s="1"/>
      <c r="EK70" s="98"/>
      <c r="EL70" s="98"/>
      <c r="EM70" s="98"/>
      <c r="EN70" s="98"/>
      <c r="EO70" s="98"/>
      <c r="EP70" s="238"/>
      <c r="EQ70" s="239"/>
      <c r="ER70" s="98"/>
      <c r="ES70" s="98"/>
      <c r="ET70" s="267"/>
      <c r="EU70" s="253"/>
      <c r="EV70" s="254"/>
    </row>
    <row r="71" spans="1:152" s="93" customFormat="1">
      <c r="A71" s="95"/>
      <c r="B71" s="95"/>
      <c r="D71" s="97"/>
      <c r="E71" s="97"/>
      <c r="F71" s="97"/>
      <c r="G71" s="220"/>
      <c r="H71" s="98"/>
      <c r="I71" s="96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92"/>
      <c r="AP71" s="92"/>
      <c r="AQ71" s="92"/>
      <c r="AR71" s="1"/>
      <c r="AS71" s="233"/>
      <c r="AT71" s="1"/>
      <c r="AU71" s="1"/>
      <c r="AV71" s="1"/>
      <c r="AW71" s="1"/>
      <c r="AX71" s="1"/>
      <c r="AY71" s="1"/>
      <c r="AZ71" s="1"/>
      <c r="BA71" s="1"/>
      <c r="BB71" s="1"/>
      <c r="BC71" s="102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36"/>
      <c r="BZ71" s="136"/>
      <c r="CA71" s="136"/>
      <c r="CB71" s="136"/>
      <c r="CC71" s="136"/>
      <c r="CD71" s="136"/>
      <c r="CE71" s="136"/>
      <c r="CF71" s="147"/>
      <c r="CG71" s="136"/>
      <c r="CH71" s="147"/>
      <c r="CI71" s="147"/>
      <c r="CJ71" s="136"/>
      <c r="CK71" s="136"/>
      <c r="CL71" s="136"/>
      <c r="CM71" s="136"/>
      <c r="CN71" s="136"/>
      <c r="CO71" s="136"/>
      <c r="CP71" s="136"/>
      <c r="CQ71" s="1"/>
      <c r="CR71" s="1"/>
      <c r="CS71" s="230"/>
      <c r="CT71" s="1"/>
      <c r="CU71" s="136"/>
      <c r="CV71" s="136"/>
      <c r="CW71" s="136"/>
      <c r="CX71" s="136"/>
      <c r="CY71" s="136"/>
      <c r="CZ71" s="136"/>
      <c r="DA71" s="136"/>
      <c r="DB71" s="136"/>
      <c r="DC71" s="136"/>
      <c r="DD71" s="136"/>
      <c r="DE71" s="211"/>
      <c r="DF71" s="211"/>
      <c r="DG71" s="273"/>
      <c r="DH71" s="136"/>
      <c r="DI71" s="1"/>
      <c r="DJ71" s="1"/>
      <c r="DK71" s="102"/>
      <c r="DL71" s="102"/>
      <c r="DM71" s="102"/>
      <c r="DN71" s="102"/>
      <c r="DO71" s="102"/>
      <c r="DP71" s="143"/>
      <c r="DQ71" s="143"/>
      <c r="DR71" s="143"/>
      <c r="DS71" s="102"/>
      <c r="DT71" s="1"/>
      <c r="DU71" s="1"/>
      <c r="DV71" s="1"/>
      <c r="DW71" s="99"/>
      <c r="DX71" s="1"/>
      <c r="EE71" s="1"/>
      <c r="EK71" s="98"/>
      <c r="EL71" s="98"/>
      <c r="EM71" s="98"/>
      <c r="EN71" s="98"/>
      <c r="EO71" s="98"/>
      <c r="EP71" s="238"/>
      <c r="EQ71" s="239"/>
      <c r="ER71" s="98"/>
      <c r="ES71" s="98"/>
      <c r="ET71" s="267"/>
      <c r="EU71" s="253"/>
      <c r="EV71" s="254"/>
    </row>
    <row r="72" spans="1:152" s="93" customFormat="1">
      <c r="A72" s="95"/>
      <c r="B72" s="95"/>
      <c r="D72" s="97"/>
      <c r="E72" s="97"/>
      <c r="F72" s="97"/>
      <c r="G72" s="220"/>
      <c r="H72" s="98"/>
      <c r="I72" s="96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92"/>
      <c r="AP72" s="92"/>
      <c r="AQ72" s="92"/>
      <c r="AR72" s="1"/>
      <c r="AS72" s="233"/>
      <c r="AT72" s="1"/>
      <c r="AU72" s="1"/>
      <c r="AV72" s="1"/>
      <c r="AW72" s="1"/>
      <c r="AX72" s="1"/>
      <c r="AY72" s="1"/>
      <c r="AZ72" s="1"/>
      <c r="BA72" s="1"/>
      <c r="BB72" s="1"/>
      <c r="BC72" s="102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36"/>
      <c r="BZ72" s="136"/>
      <c r="CA72" s="136"/>
      <c r="CB72" s="136"/>
      <c r="CC72" s="136"/>
      <c r="CD72" s="136"/>
      <c r="CE72" s="136"/>
      <c r="CF72" s="147"/>
      <c r="CG72" s="136"/>
      <c r="CH72" s="147"/>
      <c r="CI72" s="147"/>
      <c r="CJ72" s="136"/>
      <c r="CK72" s="136"/>
      <c r="CL72" s="136"/>
      <c r="CM72" s="136"/>
      <c r="CN72" s="136"/>
      <c r="CO72" s="136"/>
      <c r="CP72" s="136"/>
      <c r="CQ72" s="1"/>
      <c r="CR72" s="1"/>
      <c r="CS72" s="230"/>
      <c r="CT72" s="1"/>
      <c r="CU72" s="136"/>
      <c r="CV72" s="136"/>
      <c r="CW72" s="136"/>
      <c r="CX72" s="136"/>
      <c r="CY72" s="136"/>
      <c r="CZ72" s="136"/>
      <c r="DA72" s="136"/>
      <c r="DB72" s="136"/>
      <c r="DC72" s="136"/>
      <c r="DD72" s="136"/>
      <c r="DE72" s="211"/>
      <c r="DF72" s="211"/>
      <c r="DG72" s="273"/>
      <c r="DH72" s="136"/>
      <c r="DI72" s="1"/>
      <c r="DJ72" s="1"/>
      <c r="DK72" s="102"/>
      <c r="DL72" s="102"/>
      <c r="DM72" s="102"/>
      <c r="DN72" s="102"/>
      <c r="DO72" s="102"/>
      <c r="DP72" s="143"/>
      <c r="DQ72" s="143"/>
      <c r="DR72" s="143"/>
      <c r="DS72" s="102"/>
      <c r="DT72" s="1"/>
      <c r="DU72" s="1"/>
      <c r="DV72" s="1"/>
      <c r="DW72" s="99"/>
      <c r="DX72" s="1"/>
      <c r="EE72" s="1"/>
      <c r="EK72" s="98"/>
      <c r="EL72" s="98"/>
      <c r="EM72" s="98"/>
      <c r="EN72" s="98"/>
      <c r="EO72" s="98"/>
      <c r="EP72" s="238"/>
      <c r="EQ72" s="239"/>
      <c r="ER72" s="98"/>
      <c r="ES72" s="98"/>
      <c r="ET72" s="267"/>
      <c r="EU72" s="253"/>
      <c r="EV72" s="254"/>
    </row>
    <row r="73" spans="1:152" s="93" customFormat="1">
      <c r="A73" s="95"/>
      <c r="B73" s="95"/>
      <c r="D73" s="97"/>
      <c r="E73" s="97"/>
      <c r="F73" s="97"/>
      <c r="G73" s="220"/>
      <c r="H73" s="98"/>
      <c r="I73" s="96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92"/>
      <c r="AP73" s="92"/>
      <c r="AQ73" s="92"/>
      <c r="AR73" s="1"/>
      <c r="AS73" s="233"/>
      <c r="AT73" s="1"/>
      <c r="AU73" s="1"/>
      <c r="AV73" s="1"/>
      <c r="AW73" s="1"/>
      <c r="AX73" s="1"/>
      <c r="AY73" s="1"/>
      <c r="AZ73" s="1"/>
      <c r="BA73" s="1"/>
      <c r="BB73" s="1"/>
      <c r="BC73" s="102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36"/>
      <c r="BZ73" s="136"/>
      <c r="CA73" s="136"/>
      <c r="CB73" s="136"/>
      <c r="CC73" s="136"/>
      <c r="CD73" s="136"/>
      <c r="CE73" s="136"/>
      <c r="CF73" s="147"/>
      <c r="CG73" s="136"/>
      <c r="CH73" s="147"/>
      <c r="CI73" s="147"/>
      <c r="CJ73" s="136"/>
      <c r="CK73" s="136"/>
      <c r="CL73" s="136"/>
      <c r="CM73" s="136"/>
      <c r="CN73" s="136"/>
      <c r="CO73" s="136"/>
      <c r="CP73" s="136"/>
      <c r="CQ73" s="1"/>
      <c r="CR73" s="1"/>
      <c r="CS73" s="230"/>
      <c r="CT73" s="1"/>
      <c r="CU73" s="136"/>
      <c r="CV73" s="136"/>
      <c r="CW73" s="136"/>
      <c r="CX73" s="136"/>
      <c r="CY73" s="136"/>
      <c r="CZ73" s="136"/>
      <c r="DA73" s="136"/>
      <c r="DB73" s="136"/>
      <c r="DC73" s="136"/>
      <c r="DD73" s="136"/>
      <c r="DE73" s="211"/>
      <c r="DF73" s="211"/>
      <c r="DG73" s="273"/>
      <c r="DH73" s="136"/>
      <c r="DI73" s="1"/>
      <c r="DJ73" s="1"/>
      <c r="DK73" s="102"/>
      <c r="DL73" s="102"/>
      <c r="DM73" s="102"/>
      <c r="DN73" s="102"/>
      <c r="DO73" s="102"/>
      <c r="DP73" s="143"/>
      <c r="DQ73" s="143"/>
      <c r="DR73" s="143"/>
      <c r="DS73" s="102"/>
      <c r="DT73" s="1"/>
      <c r="DU73" s="1"/>
      <c r="DV73" s="1"/>
      <c r="DW73" s="99"/>
      <c r="DX73" s="1"/>
      <c r="EE73" s="1"/>
      <c r="EK73" s="98"/>
      <c r="EL73" s="98"/>
      <c r="EM73" s="98"/>
      <c r="EN73" s="98"/>
      <c r="EO73" s="98"/>
      <c r="EP73" s="238"/>
      <c r="EQ73" s="239"/>
      <c r="ER73" s="98"/>
      <c r="ES73" s="98"/>
      <c r="ET73" s="267"/>
      <c r="EU73" s="253"/>
      <c r="EV73" s="254"/>
    </row>
    <row r="74" spans="1:152" s="93" customFormat="1">
      <c r="A74" s="95"/>
      <c r="B74" s="95"/>
      <c r="D74" s="97"/>
      <c r="E74" s="97"/>
      <c r="F74" s="97"/>
      <c r="G74" s="220"/>
      <c r="H74" s="98"/>
      <c r="I74" s="96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92"/>
      <c r="AP74" s="92"/>
      <c r="AQ74" s="92"/>
      <c r="AR74" s="1"/>
      <c r="AS74" s="233"/>
      <c r="AT74" s="1"/>
      <c r="AU74" s="1"/>
      <c r="AV74" s="1"/>
      <c r="AW74" s="1"/>
      <c r="AX74" s="1"/>
      <c r="AY74" s="1"/>
      <c r="AZ74" s="1"/>
      <c r="BA74" s="1"/>
      <c r="BB74" s="1"/>
      <c r="BC74" s="102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36"/>
      <c r="BZ74" s="136"/>
      <c r="CA74" s="136"/>
      <c r="CB74" s="136"/>
      <c r="CC74" s="136"/>
      <c r="CD74" s="136"/>
      <c r="CE74" s="136"/>
      <c r="CF74" s="147"/>
      <c r="CG74" s="136"/>
      <c r="CH74" s="147"/>
      <c r="CI74" s="147"/>
      <c r="CJ74" s="136"/>
      <c r="CK74" s="136"/>
      <c r="CL74" s="136"/>
      <c r="CM74" s="136"/>
      <c r="CN74" s="136"/>
      <c r="CO74" s="136"/>
      <c r="CP74" s="136"/>
      <c r="CQ74" s="1"/>
      <c r="CR74" s="1"/>
      <c r="CS74" s="230"/>
      <c r="CT74" s="1"/>
      <c r="CU74" s="136"/>
      <c r="CV74" s="136"/>
      <c r="CW74" s="136"/>
      <c r="CX74" s="136"/>
      <c r="CY74" s="136"/>
      <c r="CZ74" s="136"/>
      <c r="DA74" s="136"/>
      <c r="DB74" s="136"/>
      <c r="DC74" s="136"/>
      <c r="DD74" s="136"/>
      <c r="DE74" s="211"/>
      <c r="DF74" s="211"/>
      <c r="DG74" s="273"/>
      <c r="DH74" s="136"/>
      <c r="DI74" s="1"/>
      <c r="DJ74" s="1"/>
      <c r="DK74" s="102"/>
      <c r="DL74" s="102"/>
      <c r="DM74" s="102"/>
      <c r="DN74" s="102"/>
      <c r="DO74" s="102"/>
      <c r="DP74" s="143"/>
      <c r="DQ74" s="143"/>
      <c r="DR74" s="143"/>
      <c r="DS74" s="102"/>
      <c r="DT74" s="1"/>
      <c r="DU74" s="1"/>
      <c r="DV74" s="1"/>
      <c r="DW74" s="99"/>
      <c r="DX74" s="1"/>
      <c r="EE74" s="1"/>
      <c r="EK74" s="98"/>
      <c r="EL74" s="98"/>
      <c r="EM74" s="98"/>
      <c r="EN74" s="98"/>
      <c r="EO74" s="98"/>
      <c r="EP74" s="238"/>
      <c r="EQ74" s="239"/>
      <c r="ER74" s="98"/>
      <c r="ES74" s="98"/>
      <c r="ET74" s="267"/>
      <c r="EU74" s="253"/>
      <c r="EV74" s="254"/>
    </row>
    <row r="75" spans="1:152" s="93" customFormat="1">
      <c r="A75" s="95"/>
      <c r="B75" s="95"/>
      <c r="D75" s="97"/>
      <c r="E75" s="97"/>
      <c r="F75" s="97"/>
      <c r="G75" s="220"/>
      <c r="H75" s="98"/>
      <c r="I75" s="96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92"/>
      <c r="AP75" s="92"/>
      <c r="AQ75" s="92"/>
      <c r="AR75" s="1"/>
      <c r="AS75" s="233"/>
      <c r="AT75" s="1"/>
      <c r="AU75" s="1"/>
      <c r="AV75" s="1"/>
      <c r="AW75" s="1"/>
      <c r="AX75" s="1"/>
      <c r="AY75" s="1"/>
      <c r="AZ75" s="1"/>
      <c r="BA75" s="1"/>
      <c r="BB75" s="1"/>
      <c r="BC75" s="102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36"/>
      <c r="BZ75" s="136"/>
      <c r="CA75" s="136"/>
      <c r="CB75" s="136"/>
      <c r="CC75" s="136"/>
      <c r="CD75" s="136"/>
      <c r="CE75" s="136"/>
      <c r="CF75" s="147"/>
      <c r="CG75" s="136"/>
      <c r="CH75" s="147"/>
      <c r="CI75" s="147"/>
      <c r="CJ75" s="136"/>
      <c r="CK75" s="136"/>
      <c r="CL75" s="136"/>
      <c r="CM75" s="136"/>
      <c r="CN75" s="136"/>
      <c r="CO75" s="136"/>
      <c r="CP75" s="136"/>
      <c r="CQ75" s="1"/>
      <c r="CR75" s="1"/>
      <c r="CS75" s="230"/>
      <c r="CT75" s="1"/>
      <c r="CU75" s="136"/>
      <c r="CV75" s="136"/>
      <c r="CW75" s="136"/>
      <c r="CX75" s="136"/>
      <c r="CY75" s="136"/>
      <c r="CZ75" s="136"/>
      <c r="DA75" s="136"/>
      <c r="DB75" s="136"/>
      <c r="DC75" s="136"/>
      <c r="DD75" s="136"/>
      <c r="DE75" s="211"/>
      <c r="DF75" s="211"/>
      <c r="DG75" s="273"/>
      <c r="DH75" s="136"/>
      <c r="DI75" s="1"/>
      <c r="DJ75" s="1"/>
      <c r="DK75" s="102"/>
      <c r="DL75" s="102"/>
      <c r="DM75" s="102"/>
      <c r="DN75" s="102"/>
      <c r="DO75" s="102"/>
      <c r="DP75" s="143"/>
      <c r="DQ75" s="143"/>
      <c r="DR75" s="143"/>
      <c r="DS75" s="102"/>
      <c r="DT75" s="1"/>
      <c r="DU75" s="1"/>
      <c r="DV75" s="1"/>
      <c r="DW75" s="99"/>
      <c r="DX75" s="1"/>
      <c r="EE75" s="1"/>
      <c r="EK75" s="98"/>
      <c r="EL75" s="98"/>
      <c r="EM75" s="98"/>
      <c r="EN75" s="98"/>
      <c r="EO75" s="98"/>
      <c r="EP75" s="238"/>
      <c r="EQ75" s="239"/>
      <c r="ER75" s="98"/>
      <c r="ES75" s="98"/>
      <c r="ET75" s="267"/>
      <c r="EU75" s="253"/>
      <c r="EV75" s="254"/>
    </row>
    <row r="76" spans="1:152" s="93" customFormat="1">
      <c r="A76" s="95"/>
      <c r="B76" s="95"/>
      <c r="D76" s="97"/>
      <c r="E76" s="97"/>
      <c r="F76" s="97"/>
      <c r="G76" s="220"/>
      <c r="H76" s="98"/>
      <c r="I76" s="96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92"/>
      <c r="AP76" s="92"/>
      <c r="AQ76" s="92"/>
      <c r="AR76" s="1"/>
      <c r="AS76" s="233"/>
      <c r="AT76" s="1"/>
      <c r="AU76" s="1"/>
      <c r="AV76" s="1"/>
      <c r="AW76" s="1"/>
      <c r="AX76" s="1"/>
      <c r="AY76" s="1"/>
      <c r="AZ76" s="1"/>
      <c r="BA76" s="1"/>
      <c r="BB76" s="1"/>
      <c r="BC76" s="102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36"/>
      <c r="BZ76" s="136"/>
      <c r="CA76" s="136"/>
      <c r="CB76" s="136"/>
      <c r="CC76" s="136"/>
      <c r="CD76" s="136"/>
      <c r="CE76" s="136"/>
      <c r="CF76" s="147"/>
      <c r="CG76" s="136"/>
      <c r="CH76" s="147"/>
      <c r="CI76" s="147"/>
      <c r="CJ76" s="136"/>
      <c r="CK76" s="136"/>
      <c r="CL76" s="136"/>
      <c r="CM76" s="136"/>
      <c r="CN76" s="136"/>
      <c r="CO76" s="136"/>
      <c r="CP76" s="136"/>
      <c r="CQ76" s="1"/>
      <c r="CR76" s="1"/>
      <c r="CS76" s="230"/>
      <c r="CT76" s="1"/>
      <c r="CU76" s="136"/>
      <c r="CV76" s="136"/>
      <c r="CW76" s="136"/>
      <c r="CX76" s="136"/>
      <c r="CY76" s="136"/>
      <c r="CZ76" s="136"/>
      <c r="DA76" s="136"/>
      <c r="DB76" s="136"/>
      <c r="DC76" s="136"/>
      <c r="DD76" s="136"/>
      <c r="DE76" s="211"/>
      <c r="DF76" s="211"/>
      <c r="DG76" s="273"/>
      <c r="DH76" s="136"/>
      <c r="DI76" s="1"/>
      <c r="DJ76" s="1"/>
      <c r="DK76" s="102"/>
      <c r="DL76" s="102"/>
      <c r="DM76" s="102"/>
      <c r="DN76" s="102"/>
      <c r="DO76" s="102"/>
      <c r="DP76" s="143"/>
      <c r="DQ76" s="143"/>
      <c r="DR76" s="143"/>
      <c r="DS76" s="102"/>
      <c r="DT76" s="1"/>
      <c r="DU76" s="1"/>
      <c r="DV76" s="1"/>
      <c r="DW76" s="99"/>
      <c r="DX76" s="1"/>
      <c r="EE76" s="1"/>
      <c r="EK76" s="98"/>
      <c r="EL76" s="98"/>
      <c r="EM76" s="98"/>
      <c r="EN76" s="98"/>
      <c r="EO76" s="98"/>
      <c r="EP76" s="238"/>
      <c r="EQ76" s="239"/>
      <c r="ER76" s="98"/>
      <c r="ES76" s="98"/>
      <c r="ET76" s="267"/>
      <c r="EU76" s="253"/>
      <c r="EV76" s="254"/>
    </row>
    <row r="77" spans="1:152" s="93" customFormat="1">
      <c r="A77" s="95"/>
      <c r="B77" s="95"/>
      <c r="D77" s="97"/>
      <c r="E77" s="97"/>
      <c r="F77" s="97"/>
      <c r="G77" s="220"/>
      <c r="H77" s="98"/>
      <c r="I77" s="96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92"/>
      <c r="AP77" s="92"/>
      <c r="AQ77" s="92"/>
      <c r="AR77" s="1"/>
      <c r="AS77" s="233"/>
      <c r="AT77" s="1"/>
      <c r="AU77" s="1"/>
      <c r="AV77" s="1"/>
      <c r="AW77" s="1"/>
      <c r="AX77" s="1"/>
      <c r="AY77" s="1"/>
      <c r="AZ77" s="1"/>
      <c r="BA77" s="1"/>
      <c r="BB77" s="1"/>
      <c r="BC77" s="102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36"/>
      <c r="BZ77" s="136"/>
      <c r="CA77" s="136"/>
      <c r="CB77" s="136"/>
      <c r="CC77" s="136"/>
      <c r="CD77" s="136"/>
      <c r="CE77" s="136"/>
      <c r="CF77" s="147"/>
      <c r="CG77" s="136"/>
      <c r="CH77" s="147"/>
      <c r="CI77" s="147"/>
      <c r="CJ77" s="136"/>
      <c r="CK77" s="136"/>
      <c r="CL77" s="136"/>
      <c r="CM77" s="136"/>
      <c r="CN77" s="136"/>
      <c r="CO77" s="136"/>
      <c r="CP77" s="136"/>
      <c r="CQ77" s="1"/>
      <c r="CR77" s="1"/>
      <c r="CS77" s="230"/>
      <c r="CT77" s="1"/>
      <c r="CU77" s="136"/>
      <c r="CV77" s="136"/>
      <c r="CW77" s="136"/>
      <c r="CX77" s="136"/>
      <c r="CY77" s="136"/>
      <c r="CZ77" s="136"/>
      <c r="DA77" s="136"/>
      <c r="DB77" s="136"/>
      <c r="DC77" s="136"/>
      <c r="DD77" s="136"/>
      <c r="DE77" s="211"/>
      <c r="DF77" s="211"/>
      <c r="DG77" s="273"/>
      <c r="DH77" s="136"/>
      <c r="DI77" s="1"/>
      <c r="DJ77" s="1"/>
      <c r="DK77" s="102"/>
      <c r="DL77" s="102"/>
      <c r="DM77" s="102"/>
      <c r="DN77" s="102"/>
      <c r="DO77" s="102"/>
      <c r="DP77" s="143"/>
      <c r="DQ77" s="143"/>
      <c r="DR77" s="143"/>
      <c r="DS77" s="102"/>
      <c r="DT77" s="1"/>
      <c r="DU77" s="1"/>
      <c r="DV77" s="1"/>
      <c r="DW77" s="99"/>
      <c r="DX77" s="1"/>
      <c r="EE77" s="1"/>
      <c r="EK77" s="98"/>
      <c r="EL77" s="98"/>
      <c r="EM77" s="98"/>
      <c r="EN77" s="98"/>
      <c r="EO77" s="98"/>
      <c r="EP77" s="238"/>
      <c r="EQ77" s="239"/>
      <c r="ER77" s="98"/>
      <c r="ES77" s="98"/>
      <c r="ET77" s="267"/>
      <c r="EU77" s="253"/>
      <c r="EV77" s="254"/>
    </row>
    <row r="78" spans="1:152" s="93" customFormat="1">
      <c r="A78" s="95"/>
      <c r="B78" s="95"/>
      <c r="D78" s="97"/>
      <c r="E78" s="97"/>
      <c r="F78" s="97"/>
      <c r="G78" s="220"/>
      <c r="H78" s="98"/>
      <c r="I78" s="96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92"/>
      <c r="AP78" s="92"/>
      <c r="AQ78" s="92"/>
      <c r="AR78" s="1"/>
      <c r="AS78" s="233"/>
      <c r="AT78" s="1"/>
      <c r="AU78" s="1"/>
      <c r="AV78" s="1"/>
      <c r="AW78" s="1"/>
      <c r="AX78" s="1"/>
      <c r="AY78" s="1"/>
      <c r="AZ78" s="1"/>
      <c r="BA78" s="1"/>
      <c r="BB78" s="1"/>
      <c r="BC78" s="102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36"/>
      <c r="BZ78" s="136"/>
      <c r="CA78" s="136"/>
      <c r="CB78" s="136"/>
      <c r="CC78" s="136"/>
      <c r="CD78" s="136"/>
      <c r="CE78" s="136"/>
      <c r="CF78" s="147"/>
      <c r="CG78" s="136"/>
      <c r="CH78" s="147"/>
      <c r="CI78" s="147"/>
      <c r="CJ78" s="136"/>
      <c r="CK78" s="136"/>
      <c r="CL78" s="136"/>
      <c r="CM78" s="136"/>
      <c r="CN78" s="136"/>
      <c r="CO78" s="136"/>
      <c r="CP78" s="136"/>
      <c r="CQ78" s="1"/>
      <c r="CR78" s="1"/>
      <c r="CS78" s="230"/>
      <c r="CT78" s="1"/>
      <c r="CU78" s="136"/>
      <c r="CV78" s="136"/>
      <c r="CW78" s="136"/>
      <c r="CX78" s="136"/>
      <c r="CY78" s="136"/>
      <c r="CZ78" s="136"/>
      <c r="DA78" s="136"/>
      <c r="DB78" s="136"/>
      <c r="DC78" s="136"/>
      <c r="DD78" s="136"/>
      <c r="DE78" s="211"/>
      <c r="DF78" s="211"/>
      <c r="DG78" s="273"/>
      <c r="DH78" s="136"/>
      <c r="DI78" s="1"/>
      <c r="DJ78" s="1"/>
      <c r="DK78" s="102"/>
      <c r="DL78" s="102"/>
      <c r="DM78" s="102"/>
      <c r="DN78" s="102"/>
      <c r="DO78" s="102"/>
      <c r="DP78" s="143"/>
      <c r="DQ78" s="143"/>
      <c r="DR78" s="143"/>
      <c r="DS78" s="102"/>
      <c r="DT78" s="1"/>
      <c r="DU78" s="1"/>
      <c r="DV78" s="1"/>
      <c r="DW78" s="99"/>
      <c r="DX78" s="1"/>
      <c r="EE78" s="1"/>
      <c r="EK78" s="98"/>
      <c r="EL78" s="98"/>
      <c r="EM78" s="98"/>
      <c r="EN78" s="98"/>
      <c r="EO78" s="98"/>
      <c r="EP78" s="238"/>
      <c r="EQ78" s="239"/>
      <c r="ER78" s="98"/>
      <c r="ES78" s="98"/>
      <c r="ET78" s="267"/>
      <c r="EU78" s="253"/>
      <c r="EV78" s="254"/>
    </row>
    <row r="79" spans="1:152" s="93" customFormat="1">
      <c r="A79" s="95"/>
      <c r="B79" s="95"/>
      <c r="D79" s="97"/>
      <c r="E79" s="97"/>
      <c r="F79" s="97"/>
      <c r="G79" s="220"/>
      <c r="H79" s="98"/>
      <c r="I79" s="96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92"/>
      <c r="AP79" s="92"/>
      <c r="AQ79" s="92"/>
      <c r="AR79" s="1"/>
      <c r="AS79" s="233"/>
      <c r="AT79" s="1"/>
      <c r="AU79" s="1"/>
      <c r="AV79" s="1"/>
      <c r="AW79" s="1"/>
      <c r="AX79" s="1"/>
      <c r="AY79" s="1"/>
      <c r="AZ79" s="1"/>
      <c r="BA79" s="1"/>
      <c r="BB79" s="1"/>
      <c r="BC79" s="102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36"/>
      <c r="BZ79" s="136"/>
      <c r="CA79" s="136"/>
      <c r="CB79" s="136"/>
      <c r="CC79" s="136"/>
      <c r="CD79" s="136"/>
      <c r="CE79" s="136"/>
      <c r="CF79" s="147"/>
      <c r="CG79" s="136"/>
      <c r="CH79" s="147"/>
      <c r="CI79" s="147"/>
      <c r="CJ79" s="136"/>
      <c r="CK79" s="136"/>
      <c r="CL79" s="136"/>
      <c r="CM79" s="136"/>
      <c r="CN79" s="136"/>
      <c r="CO79" s="136"/>
      <c r="CP79" s="136"/>
      <c r="CQ79" s="1"/>
      <c r="CR79" s="1"/>
      <c r="CS79" s="230"/>
      <c r="CT79" s="1"/>
      <c r="CU79" s="136"/>
      <c r="CV79" s="136"/>
      <c r="CW79" s="136"/>
      <c r="CX79" s="136"/>
      <c r="CY79" s="136"/>
      <c r="CZ79" s="136"/>
      <c r="DA79" s="136"/>
      <c r="DB79" s="136"/>
      <c r="DC79" s="136"/>
      <c r="DD79" s="136"/>
      <c r="DE79" s="211"/>
      <c r="DF79" s="211"/>
      <c r="DG79" s="273"/>
      <c r="DH79" s="136"/>
      <c r="DI79" s="1"/>
      <c r="DJ79" s="1"/>
      <c r="DK79" s="102"/>
      <c r="DL79" s="102"/>
      <c r="DM79" s="102"/>
      <c r="DN79" s="102"/>
      <c r="DO79" s="102"/>
      <c r="DP79" s="143"/>
      <c r="DQ79" s="143"/>
      <c r="DR79" s="143"/>
      <c r="DS79" s="102"/>
      <c r="DT79" s="1"/>
      <c r="DU79" s="1"/>
      <c r="DV79" s="1"/>
      <c r="DW79" s="99"/>
      <c r="DX79" s="1"/>
      <c r="EE79" s="1"/>
      <c r="EK79" s="98"/>
      <c r="EL79" s="98"/>
      <c r="EM79" s="98"/>
      <c r="EN79" s="98"/>
      <c r="EO79" s="98"/>
      <c r="EP79" s="238"/>
      <c r="EQ79" s="239"/>
      <c r="ER79" s="98"/>
      <c r="ES79" s="98"/>
      <c r="ET79" s="267"/>
      <c r="EU79" s="253"/>
      <c r="EV79" s="254"/>
    </row>
    <row r="80" spans="1:152" s="93" customFormat="1">
      <c r="A80" s="95"/>
      <c r="B80" s="95"/>
      <c r="D80" s="97"/>
      <c r="E80" s="97"/>
      <c r="F80" s="97"/>
      <c r="G80" s="220"/>
      <c r="H80" s="98"/>
      <c r="I80" s="96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92"/>
      <c r="AP80" s="92"/>
      <c r="AQ80" s="92"/>
      <c r="AR80" s="1"/>
      <c r="AS80" s="233"/>
      <c r="AT80" s="1"/>
      <c r="AU80" s="1"/>
      <c r="AV80" s="1"/>
      <c r="AW80" s="1"/>
      <c r="AX80" s="1"/>
      <c r="AY80" s="1"/>
      <c r="AZ80" s="1"/>
      <c r="BA80" s="1"/>
      <c r="BB80" s="1"/>
      <c r="BC80" s="102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36"/>
      <c r="BZ80" s="136"/>
      <c r="CA80" s="136"/>
      <c r="CB80" s="136"/>
      <c r="CC80" s="136"/>
      <c r="CD80" s="136"/>
      <c r="CE80" s="136"/>
      <c r="CF80" s="147"/>
      <c r="CG80" s="136"/>
      <c r="CH80" s="147"/>
      <c r="CI80" s="147"/>
      <c r="CJ80" s="136"/>
      <c r="CK80" s="136"/>
      <c r="CL80" s="136"/>
      <c r="CM80" s="136"/>
      <c r="CN80" s="136"/>
      <c r="CO80" s="136"/>
      <c r="CP80" s="136"/>
      <c r="CQ80" s="1"/>
      <c r="CR80" s="1"/>
      <c r="CS80" s="230"/>
      <c r="CT80" s="1"/>
      <c r="CU80" s="136"/>
      <c r="CV80" s="136"/>
      <c r="CW80" s="136"/>
      <c r="CX80" s="136"/>
      <c r="CY80" s="136"/>
      <c r="CZ80" s="136"/>
      <c r="DA80" s="136"/>
      <c r="DB80" s="136"/>
      <c r="DC80" s="136"/>
      <c r="DD80" s="136"/>
      <c r="DE80" s="211"/>
      <c r="DF80" s="211"/>
      <c r="DG80" s="273"/>
      <c r="DH80" s="136"/>
      <c r="DI80" s="1"/>
      <c r="DJ80" s="1"/>
      <c r="DK80" s="102"/>
      <c r="DL80" s="102"/>
      <c r="DM80" s="102"/>
      <c r="DN80" s="102"/>
      <c r="DO80" s="102"/>
      <c r="DP80" s="143"/>
      <c r="DQ80" s="143"/>
      <c r="DR80" s="143"/>
      <c r="DS80" s="102"/>
      <c r="DT80" s="1"/>
      <c r="DU80" s="1"/>
      <c r="DV80" s="1"/>
      <c r="DW80" s="99"/>
      <c r="DX80" s="1"/>
      <c r="EE80" s="1"/>
      <c r="EK80" s="98"/>
      <c r="EL80" s="98"/>
      <c r="EM80" s="98"/>
      <c r="EN80" s="98"/>
      <c r="EO80" s="98"/>
      <c r="EP80" s="238"/>
      <c r="EQ80" s="239"/>
      <c r="ER80" s="98"/>
      <c r="ES80" s="98"/>
      <c r="ET80" s="267"/>
      <c r="EU80" s="253"/>
      <c r="EV80" s="254"/>
    </row>
    <row r="81" spans="1:152" s="93" customFormat="1">
      <c r="A81" s="95"/>
      <c r="B81" s="95"/>
      <c r="D81" s="97"/>
      <c r="E81" s="97"/>
      <c r="F81" s="97"/>
      <c r="G81" s="220"/>
      <c r="H81" s="98"/>
      <c r="I81" s="96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92"/>
      <c r="AP81" s="92"/>
      <c r="AQ81" s="92"/>
      <c r="AR81" s="1"/>
      <c r="AS81" s="233"/>
      <c r="AT81" s="1"/>
      <c r="AU81" s="1"/>
      <c r="AV81" s="1"/>
      <c r="AW81" s="1"/>
      <c r="AX81" s="1"/>
      <c r="AY81" s="1"/>
      <c r="AZ81" s="1"/>
      <c r="BA81" s="1"/>
      <c r="BB81" s="1"/>
      <c r="BC81" s="102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36"/>
      <c r="BZ81" s="136"/>
      <c r="CA81" s="136"/>
      <c r="CB81" s="136"/>
      <c r="CC81" s="136"/>
      <c r="CD81" s="136"/>
      <c r="CE81" s="136"/>
      <c r="CF81" s="147"/>
      <c r="CG81" s="136"/>
      <c r="CH81" s="147"/>
      <c r="CI81" s="147"/>
      <c r="CJ81" s="136"/>
      <c r="CK81" s="136"/>
      <c r="CL81" s="136"/>
      <c r="CM81" s="136"/>
      <c r="CN81" s="136"/>
      <c r="CO81" s="136"/>
      <c r="CP81" s="136"/>
      <c r="CQ81" s="1"/>
      <c r="CR81" s="1"/>
      <c r="CS81" s="230"/>
      <c r="CT81" s="1"/>
      <c r="CU81" s="136"/>
      <c r="CV81" s="136"/>
      <c r="CW81" s="136"/>
      <c r="CX81" s="136"/>
      <c r="CY81" s="136"/>
      <c r="CZ81" s="136"/>
      <c r="DA81" s="136"/>
      <c r="DB81" s="136"/>
      <c r="DC81" s="136"/>
      <c r="DD81" s="136"/>
      <c r="DE81" s="211"/>
      <c r="DF81" s="211"/>
      <c r="DG81" s="273"/>
      <c r="DH81" s="136"/>
      <c r="DI81" s="1"/>
      <c r="DJ81" s="1"/>
      <c r="DK81" s="102"/>
      <c r="DL81" s="102"/>
      <c r="DM81" s="102"/>
      <c r="DN81" s="102"/>
      <c r="DO81" s="102"/>
      <c r="DP81" s="143"/>
      <c r="DQ81" s="143"/>
      <c r="DR81" s="143"/>
      <c r="DS81" s="102"/>
      <c r="DT81" s="1"/>
      <c r="DU81" s="1"/>
      <c r="DV81" s="1"/>
      <c r="DW81" s="99"/>
      <c r="DX81" s="1"/>
      <c r="EE81" s="1"/>
      <c r="EK81" s="98"/>
      <c r="EL81" s="98"/>
      <c r="EM81" s="98"/>
      <c r="EN81" s="98"/>
      <c r="EO81" s="98"/>
      <c r="EP81" s="238"/>
      <c r="EQ81" s="239"/>
      <c r="ER81" s="98"/>
      <c r="ES81" s="98"/>
      <c r="ET81" s="267"/>
      <c r="EU81" s="253"/>
      <c r="EV81" s="254"/>
    </row>
    <row r="82" spans="1:152" s="93" customFormat="1">
      <c r="A82" s="95"/>
      <c r="B82" s="95"/>
      <c r="D82" s="97"/>
      <c r="E82" s="97"/>
      <c r="F82" s="97"/>
      <c r="G82" s="220"/>
      <c r="H82" s="98"/>
      <c r="I82" s="96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92"/>
      <c r="AP82" s="92"/>
      <c r="AQ82" s="92"/>
      <c r="AR82" s="1"/>
      <c r="AS82" s="233"/>
      <c r="AT82" s="1"/>
      <c r="AU82" s="1"/>
      <c r="AV82" s="1"/>
      <c r="AW82" s="1"/>
      <c r="AX82" s="1"/>
      <c r="AY82" s="1"/>
      <c r="AZ82" s="1"/>
      <c r="BA82" s="1"/>
      <c r="BB82" s="1"/>
      <c r="BC82" s="102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36"/>
      <c r="BZ82" s="136"/>
      <c r="CA82" s="136"/>
      <c r="CB82" s="136"/>
      <c r="CC82" s="136"/>
      <c r="CD82" s="136"/>
      <c r="CE82" s="136"/>
      <c r="CF82" s="147"/>
      <c r="CG82" s="136"/>
      <c r="CH82" s="147"/>
      <c r="CI82" s="147"/>
      <c r="CJ82" s="136"/>
      <c r="CK82" s="136"/>
      <c r="CL82" s="136"/>
      <c r="CM82" s="136"/>
      <c r="CN82" s="136"/>
      <c r="CO82" s="136"/>
      <c r="CP82" s="136"/>
      <c r="CQ82" s="1"/>
      <c r="CR82" s="1"/>
      <c r="CS82" s="230"/>
      <c r="CT82" s="1"/>
      <c r="CU82" s="136"/>
      <c r="CV82" s="136"/>
      <c r="CW82" s="136"/>
      <c r="CX82" s="136"/>
      <c r="CY82" s="136"/>
      <c r="CZ82" s="136"/>
      <c r="DA82" s="136"/>
      <c r="DB82" s="136"/>
      <c r="DC82" s="136"/>
      <c r="DD82" s="136"/>
      <c r="DE82" s="211"/>
      <c r="DF82" s="211"/>
      <c r="DG82" s="273"/>
      <c r="DH82" s="136"/>
      <c r="DI82" s="1"/>
      <c r="DJ82" s="1"/>
      <c r="DK82" s="102"/>
      <c r="DL82" s="102"/>
      <c r="DM82" s="102"/>
      <c r="DN82" s="102"/>
      <c r="DO82" s="102"/>
      <c r="DP82" s="143"/>
      <c r="DQ82" s="143"/>
      <c r="DR82" s="143"/>
      <c r="DS82" s="102"/>
      <c r="DT82" s="1"/>
      <c r="DU82" s="1"/>
      <c r="DV82" s="1"/>
      <c r="DW82" s="99"/>
      <c r="DX82" s="1"/>
      <c r="EE82" s="1"/>
      <c r="EK82" s="98"/>
      <c r="EL82" s="98"/>
      <c r="EM82" s="98"/>
      <c r="EN82" s="98"/>
      <c r="EO82" s="98"/>
      <c r="EP82" s="238"/>
      <c r="EQ82" s="239"/>
      <c r="ER82" s="98"/>
      <c r="ES82" s="98"/>
      <c r="ET82" s="267"/>
      <c r="EU82" s="253"/>
      <c r="EV82" s="254"/>
    </row>
    <row r="83" spans="1:152" s="93" customFormat="1">
      <c r="A83" s="95"/>
      <c r="B83" s="95"/>
      <c r="D83" s="97"/>
      <c r="E83" s="97"/>
      <c r="F83" s="97"/>
      <c r="G83" s="220"/>
      <c r="H83" s="98"/>
      <c r="I83" s="96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92"/>
      <c r="AP83" s="92"/>
      <c r="AQ83" s="92"/>
      <c r="AR83" s="1"/>
      <c r="AS83" s="233"/>
      <c r="AT83" s="1"/>
      <c r="AU83" s="1"/>
      <c r="AV83" s="1"/>
      <c r="AW83" s="1"/>
      <c r="AX83" s="1"/>
      <c r="AY83" s="1"/>
      <c r="AZ83" s="1"/>
      <c r="BA83" s="1"/>
      <c r="BB83" s="1"/>
      <c r="BC83" s="102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36"/>
      <c r="BZ83" s="136"/>
      <c r="CA83" s="136"/>
      <c r="CB83" s="136"/>
      <c r="CC83" s="136"/>
      <c r="CD83" s="136"/>
      <c r="CE83" s="136"/>
      <c r="CF83" s="147"/>
      <c r="CG83" s="136"/>
      <c r="CH83" s="147"/>
      <c r="CI83" s="147"/>
      <c r="CJ83" s="136"/>
      <c r="CK83" s="136"/>
      <c r="CL83" s="136"/>
      <c r="CM83" s="136"/>
      <c r="CN83" s="136"/>
      <c r="CO83" s="136"/>
      <c r="CP83" s="136"/>
      <c r="CQ83" s="1"/>
      <c r="CR83" s="1"/>
      <c r="CS83" s="230"/>
      <c r="CT83" s="1"/>
      <c r="CU83" s="136"/>
      <c r="CV83" s="136"/>
      <c r="CW83" s="136"/>
      <c r="CX83" s="136"/>
      <c r="CY83" s="136"/>
      <c r="CZ83" s="136"/>
      <c r="DA83" s="136"/>
      <c r="DB83" s="136"/>
      <c r="DC83" s="136"/>
      <c r="DD83" s="136"/>
      <c r="DE83" s="211"/>
      <c r="DF83" s="211"/>
      <c r="DG83" s="273"/>
      <c r="DH83" s="136"/>
      <c r="DI83" s="1"/>
      <c r="DJ83" s="1"/>
      <c r="DK83" s="102"/>
      <c r="DL83" s="102"/>
      <c r="DM83" s="102"/>
      <c r="DN83" s="102"/>
      <c r="DO83" s="102"/>
      <c r="DP83" s="143"/>
      <c r="DQ83" s="143"/>
      <c r="DR83" s="143"/>
      <c r="DS83" s="102"/>
      <c r="DT83" s="1"/>
      <c r="DU83" s="1"/>
      <c r="DV83" s="1"/>
      <c r="DW83" s="99"/>
      <c r="DX83" s="1"/>
      <c r="EE83" s="1"/>
      <c r="EK83" s="98"/>
      <c r="EL83" s="98"/>
      <c r="EM83" s="98"/>
      <c r="EN83" s="98"/>
      <c r="EO83" s="98"/>
      <c r="EP83" s="238"/>
      <c r="EQ83" s="239"/>
      <c r="ER83" s="98"/>
      <c r="ES83" s="98"/>
      <c r="ET83" s="267"/>
      <c r="EU83" s="253"/>
      <c r="EV83" s="254"/>
    </row>
    <row r="84" spans="1:152" s="93" customFormat="1">
      <c r="A84" s="95"/>
      <c r="B84" s="95"/>
      <c r="D84" s="97"/>
      <c r="E84" s="97"/>
      <c r="F84" s="97"/>
      <c r="G84" s="220"/>
      <c r="H84" s="98"/>
      <c r="I84" s="96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92"/>
      <c r="AP84" s="92"/>
      <c r="AQ84" s="92"/>
      <c r="AR84" s="1"/>
      <c r="AS84" s="233"/>
      <c r="AT84" s="1"/>
      <c r="AU84" s="1"/>
      <c r="AV84" s="1"/>
      <c r="AW84" s="1"/>
      <c r="AX84" s="1"/>
      <c r="AY84" s="1"/>
      <c r="AZ84" s="1"/>
      <c r="BA84" s="1"/>
      <c r="BB84" s="1"/>
      <c r="BC84" s="102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36"/>
      <c r="BZ84" s="136"/>
      <c r="CA84" s="136"/>
      <c r="CB84" s="136"/>
      <c r="CC84" s="136"/>
      <c r="CD84" s="136"/>
      <c r="CE84" s="136"/>
      <c r="CF84" s="147"/>
      <c r="CG84" s="136"/>
      <c r="CH84" s="147"/>
      <c r="CI84" s="147"/>
      <c r="CJ84" s="136"/>
      <c r="CK84" s="136"/>
      <c r="CL84" s="136"/>
      <c r="CM84" s="136"/>
      <c r="CN84" s="136"/>
      <c r="CO84" s="136"/>
      <c r="CP84" s="136"/>
      <c r="CQ84" s="1"/>
      <c r="CR84" s="1"/>
      <c r="CS84" s="230"/>
      <c r="CT84" s="1"/>
      <c r="CU84" s="136"/>
      <c r="CV84" s="136"/>
      <c r="CW84" s="136"/>
      <c r="CX84" s="136"/>
      <c r="CY84" s="136"/>
      <c r="CZ84" s="136"/>
      <c r="DA84" s="136"/>
      <c r="DB84" s="136"/>
      <c r="DC84" s="136"/>
      <c r="DD84" s="136"/>
      <c r="DE84" s="211"/>
      <c r="DF84" s="211"/>
      <c r="DG84" s="273"/>
      <c r="DH84" s="136"/>
      <c r="DI84" s="1"/>
      <c r="DJ84" s="1"/>
      <c r="DK84" s="102"/>
      <c r="DL84" s="102"/>
      <c r="DM84" s="102"/>
      <c r="DN84" s="102"/>
      <c r="DO84" s="102"/>
      <c r="DP84" s="143"/>
      <c r="DQ84" s="143"/>
      <c r="DR84" s="143"/>
      <c r="DS84" s="102"/>
      <c r="DT84" s="1"/>
      <c r="DU84" s="1"/>
      <c r="DV84" s="1"/>
      <c r="DW84" s="99"/>
      <c r="DX84" s="1"/>
      <c r="EE84" s="1"/>
      <c r="EK84" s="98"/>
      <c r="EL84" s="98"/>
      <c r="EM84" s="98"/>
      <c r="EN84" s="98"/>
      <c r="EO84" s="98"/>
      <c r="EP84" s="238"/>
      <c r="EQ84" s="239"/>
      <c r="ER84" s="98"/>
      <c r="ES84" s="98"/>
      <c r="ET84" s="267"/>
      <c r="EU84" s="253"/>
      <c r="EV84" s="254"/>
    </row>
    <row r="85" spans="1:152" s="93" customFormat="1">
      <c r="A85" s="95"/>
      <c r="B85" s="95"/>
      <c r="D85" s="97"/>
      <c r="E85" s="97"/>
      <c r="F85" s="97"/>
      <c r="G85" s="220"/>
      <c r="H85" s="98"/>
      <c r="I85" s="96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92"/>
      <c r="AP85" s="92"/>
      <c r="AQ85" s="92"/>
      <c r="AR85" s="1"/>
      <c r="AS85" s="233"/>
      <c r="AT85" s="1"/>
      <c r="AU85" s="1"/>
      <c r="AV85" s="1"/>
      <c r="AW85" s="1"/>
      <c r="AX85" s="1"/>
      <c r="AY85" s="1"/>
      <c r="AZ85" s="1"/>
      <c r="BA85" s="1"/>
      <c r="BB85" s="1"/>
      <c r="BC85" s="102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36"/>
      <c r="BZ85" s="136"/>
      <c r="CA85" s="136"/>
      <c r="CB85" s="136"/>
      <c r="CC85" s="136"/>
      <c r="CD85" s="136"/>
      <c r="CE85" s="136"/>
      <c r="CF85" s="147"/>
      <c r="CG85" s="136"/>
      <c r="CH85" s="147"/>
      <c r="CI85" s="147"/>
      <c r="CJ85" s="136"/>
      <c r="CK85" s="136"/>
      <c r="CL85" s="136"/>
      <c r="CM85" s="136"/>
      <c r="CN85" s="136"/>
      <c r="CO85" s="136"/>
      <c r="CP85" s="136"/>
      <c r="CQ85" s="1"/>
      <c r="CR85" s="1"/>
      <c r="CS85" s="230"/>
      <c r="CT85" s="1"/>
      <c r="CU85" s="136"/>
      <c r="CV85" s="136"/>
      <c r="CW85" s="136"/>
      <c r="CX85" s="136"/>
      <c r="CY85" s="136"/>
      <c r="CZ85" s="136"/>
      <c r="DA85" s="136"/>
      <c r="DB85" s="136"/>
      <c r="DC85" s="136"/>
      <c r="DD85" s="136"/>
      <c r="DE85" s="211"/>
      <c r="DF85" s="211"/>
      <c r="DG85" s="273"/>
      <c r="DH85" s="136"/>
      <c r="DI85" s="1"/>
      <c r="DJ85" s="1"/>
      <c r="DK85" s="102"/>
      <c r="DL85" s="102"/>
      <c r="DM85" s="102"/>
      <c r="DN85" s="102"/>
      <c r="DO85" s="102"/>
      <c r="DP85" s="143"/>
      <c r="DQ85" s="143"/>
      <c r="DR85" s="143"/>
      <c r="DS85" s="102"/>
      <c r="DT85" s="1"/>
      <c r="DU85" s="1"/>
      <c r="DV85" s="1"/>
      <c r="DW85" s="99"/>
      <c r="DX85" s="1"/>
      <c r="EE85" s="1"/>
      <c r="EK85" s="98"/>
      <c r="EL85" s="98"/>
      <c r="EM85" s="98"/>
      <c r="EN85" s="98"/>
      <c r="EO85" s="98"/>
      <c r="EP85" s="238"/>
      <c r="EQ85" s="239"/>
      <c r="ER85" s="98"/>
      <c r="ES85" s="98"/>
      <c r="ET85" s="267"/>
      <c r="EU85" s="253"/>
      <c r="EV85" s="254"/>
    </row>
    <row r="86" spans="1:152" s="93" customFormat="1">
      <c r="A86" s="95"/>
      <c r="B86" s="95"/>
      <c r="D86" s="97"/>
      <c r="E86" s="97"/>
      <c r="F86" s="97"/>
      <c r="G86" s="220"/>
      <c r="H86" s="98"/>
      <c r="I86" s="96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92"/>
      <c r="AP86" s="92"/>
      <c r="AQ86" s="92"/>
      <c r="AR86" s="1"/>
      <c r="AS86" s="233"/>
      <c r="AT86" s="1"/>
      <c r="AU86" s="1"/>
      <c r="AV86" s="1"/>
      <c r="AW86" s="1"/>
      <c r="AX86" s="1"/>
      <c r="AY86" s="1"/>
      <c r="AZ86" s="1"/>
      <c r="BA86" s="1"/>
      <c r="BB86" s="1"/>
      <c r="BC86" s="102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36"/>
      <c r="BZ86" s="136"/>
      <c r="CA86" s="136"/>
      <c r="CB86" s="136"/>
      <c r="CC86" s="136"/>
      <c r="CD86" s="136"/>
      <c r="CE86" s="136"/>
      <c r="CF86" s="147"/>
      <c r="CG86" s="136"/>
      <c r="CH86" s="147"/>
      <c r="CI86" s="147"/>
      <c r="CJ86" s="136"/>
      <c r="CK86" s="136"/>
      <c r="CL86" s="136"/>
      <c r="CM86" s="136"/>
      <c r="CN86" s="136"/>
      <c r="CO86" s="136"/>
      <c r="CP86" s="136"/>
      <c r="CQ86" s="1"/>
      <c r="CR86" s="1"/>
      <c r="CS86" s="230"/>
      <c r="CT86" s="1"/>
      <c r="CU86" s="136"/>
      <c r="CV86" s="136"/>
      <c r="CW86" s="136"/>
      <c r="CX86" s="136"/>
      <c r="CY86" s="136"/>
      <c r="CZ86" s="136"/>
      <c r="DA86" s="136"/>
      <c r="DB86" s="136"/>
      <c r="DC86" s="136"/>
      <c r="DD86" s="136"/>
      <c r="DE86" s="211"/>
      <c r="DF86" s="211"/>
      <c r="DG86" s="273"/>
      <c r="DH86" s="136"/>
      <c r="DI86" s="1"/>
      <c r="DJ86" s="1"/>
      <c r="DK86" s="102"/>
      <c r="DL86" s="102"/>
      <c r="DM86" s="102"/>
      <c r="DN86" s="102"/>
      <c r="DO86" s="102"/>
      <c r="DP86" s="143"/>
      <c r="DQ86" s="143"/>
      <c r="DR86" s="143"/>
      <c r="DS86" s="102"/>
      <c r="DT86" s="1"/>
      <c r="DU86" s="1"/>
      <c r="DV86" s="1"/>
      <c r="DW86" s="99"/>
      <c r="DX86" s="1"/>
      <c r="EE86" s="1"/>
      <c r="EK86" s="98"/>
      <c r="EL86" s="98"/>
      <c r="EM86" s="98"/>
      <c r="EN86" s="98"/>
      <c r="EO86" s="98"/>
      <c r="EP86" s="238"/>
      <c r="EQ86" s="239"/>
      <c r="ER86" s="98"/>
      <c r="ES86" s="98"/>
      <c r="ET86" s="267"/>
      <c r="EU86" s="253"/>
      <c r="EV86" s="254"/>
    </row>
    <row r="87" spans="1:152" s="93" customFormat="1">
      <c r="A87" s="95"/>
      <c r="B87" s="95"/>
      <c r="D87" s="97"/>
      <c r="E87" s="97"/>
      <c r="F87" s="97"/>
      <c r="G87" s="220"/>
      <c r="H87" s="98"/>
      <c r="I87" s="96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92"/>
      <c r="AP87" s="92"/>
      <c r="AQ87" s="92"/>
      <c r="AR87" s="1"/>
      <c r="AS87" s="233"/>
      <c r="AT87" s="1"/>
      <c r="AU87" s="1"/>
      <c r="AV87" s="1"/>
      <c r="AW87" s="1"/>
      <c r="AX87" s="1"/>
      <c r="AY87" s="1"/>
      <c r="AZ87" s="1"/>
      <c r="BA87" s="1"/>
      <c r="BB87" s="1"/>
      <c r="BC87" s="102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36"/>
      <c r="BZ87" s="136"/>
      <c r="CA87" s="136"/>
      <c r="CB87" s="136"/>
      <c r="CC87" s="136"/>
      <c r="CD87" s="136"/>
      <c r="CE87" s="136"/>
      <c r="CF87" s="147"/>
      <c r="CG87" s="136"/>
      <c r="CH87" s="147"/>
      <c r="CI87" s="147"/>
      <c r="CJ87" s="136"/>
      <c r="CK87" s="136"/>
      <c r="CL87" s="136"/>
      <c r="CM87" s="136"/>
      <c r="CN87" s="136"/>
      <c r="CO87" s="136"/>
      <c r="CP87" s="136"/>
      <c r="CQ87" s="1"/>
      <c r="CR87" s="1"/>
      <c r="CS87" s="230"/>
      <c r="CT87" s="1"/>
      <c r="CU87" s="136"/>
      <c r="CV87" s="136"/>
      <c r="CW87" s="136"/>
      <c r="CX87" s="136"/>
      <c r="CY87" s="136"/>
      <c r="CZ87" s="136"/>
      <c r="DA87" s="136"/>
      <c r="DB87" s="136"/>
      <c r="DC87" s="136"/>
      <c r="DD87" s="136"/>
      <c r="DE87" s="211"/>
      <c r="DF87" s="211"/>
      <c r="DG87" s="273"/>
      <c r="DH87" s="136"/>
      <c r="DI87" s="1"/>
      <c r="DJ87" s="1"/>
      <c r="DK87" s="102"/>
      <c r="DL87" s="102"/>
      <c r="DM87" s="102"/>
      <c r="DN87" s="102"/>
      <c r="DO87" s="102"/>
      <c r="DP87" s="143"/>
      <c r="DQ87" s="143"/>
      <c r="DR87" s="143"/>
      <c r="DS87" s="102"/>
      <c r="DT87" s="1"/>
      <c r="DU87" s="1"/>
      <c r="DV87" s="1"/>
      <c r="DW87" s="99"/>
      <c r="DX87" s="1"/>
      <c r="EE87" s="1"/>
      <c r="EK87" s="98"/>
      <c r="EL87" s="98"/>
      <c r="EM87" s="98"/>
      <c r="EN87" s="98"/>
      <c r="EO87" s="98"/>
      <c r="EP87" s="238"/>
      <c r="EQ87" s="239"/>
      <c r="ER87" s="98"/>
      <c r="ES87" s="98"/>
      <c r="ET87" s="267"/>
      <c r="EU87" s="253"/>
      <c r="EV87" s="254"/>
    </row>
    <row r="88" spans="1:152" s="93" customFormat="1">
      <c r="A88" s="95"/>
      <c r="B88" s="95"/>
      <c r="D88" s="97"/>
      <c r="E88" s="97"/>
      <c r="F88" s="97"/>
      <c r="G88" s="220"/>
      <c r="H88" s="98"/>
      <c r="I88" s="96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92"/>
      <c r="AP88" s="92"/>
      <c r="AQ88" s="92"/>
      <c r="AR88" s="1"/>
      <c r="AS88" s="233"/>
      <c r="AT88" s="1"/>
      <c r="AU88" s="1"/>
      <c r="AV88" s="1"/>
      <c r="AW88" s="1"/>
      <c r="AX88" s="1"/>
      <c r="AY88" s="1"/>
      <c r="AZ88" s="1"/>
      <c r="BA88" s="1"/>
      <c r="BB88" s="1"/>
      <c r="BC88" s="102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36"/>
      <c r="BZ88" s="136"/>
      <c r="CA88" s="136"/>
      <c r="CB88" s="136"/>
      <c r="CC88" s="136"/>
      <c r="CD88" s="136"/>
      <c r="CE88" s="136"/>
      <c r="CF88" s="147"/>
      <c r="CG88" s="136"/>
      <c r="CH88" s="147"/>
      <c r="CI88" s="147"/>
      <c r="CJ88" s="136"/>
      <c r="CK88" s="136"/>
      <c r="CL88" s="136"/>
      <c r="CM88" s="136"/>
      <c r="CN88" s="136"/>
      <c r="CO88" s="136"/>
      <c r="CP88" s="136"/>
      <c r="CQ88" s="1"/>
      <c r="CR88" s="1"/>
      <c r="CS88" s="230"/>
      <c r="CT88" s="1"/>
      <c r="CU88" s="136"/>
      <c r="CV88" s="136"/>
      <c r="CW88" s="136"/>
      <c r="CX88" s="136"/>
      <c r="CY88" s="136"/>
      <c r="CZ88" s="136"/>
      <c r="DA88" s="136"/>
      <c r="DB88" s="136"/>
      <c r="DC88" s="136"/>
      <c r="DD88" s="136"/>
      <c r="DE88" s="211"/>
      <c r="DF88" s="211"/>
      <c r="DG88" s="273"/>
      <c r="DH88" s="136"/>
      <c r="DI88" s="1"/>
      <c r="DJ88" s="1"/>
      <c r="DK88" s="102"/>
      <c r="DL88" s="102"/>
      <c r="DM88" s="102"/>
      <c r="DN88" s="102"/>
      <c r="DO88" s="102"/>
      <c r="DP88" s="143"/>
      <c r="DQ88" s="143"/>
      <c r="DR88" s="143"/>
      <c r="DS88" s="102"/>
      <c r="DT88" s="1"/>
      <c r="DU88" s="1"/>
      <c r="DV88" s="1"/>
      <c r="DW88" s="99"/>
      <c r="DX88" s="1"/>
      <c r="EE88" s="1"/>
      <c r="EK88" s="98"/>
      <c r="EL88" s="98"/>
      <c r="EM88" s="98"/>
      <c r="EN88" s="98"/>
      <c r="EO88" s="98"/>
      <c r="EP88" s="238"/>
      <c r="EQ88" s="239"/>
      <c r="ER88" s="98"/>
      <c r="ES88" s="98"/>
      <c r="ET88" s="267"/>
      <c r="EU88" s="253"/>
      <c r="EV88" s="254"/>
    </row>
    <row r="89" spans="1:152" s="93" customFormat="1">
      <c r="A89" s="95"/>
      <c r="B89" s="95"/>
      <c r="D89" s="97"/>
      <c r="E89" s="97"/>
      <c r="F89" s="97"/>
      <c r="G89" s="220"/>
      <c r="H89" s="98"/>
      <c r="I89" s="96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92"/>
      <c r="AP89" s="92"/>
      <c r="AQ89" s="92"/>
      <c r="AR89" s="1"/>
      <c r="AS89" s="233"/>
      <c r="AT89" s="1"/>
      <c r="AU89" s="1"/>
      <c r="AV89" s="1"/>
      <c r="AW89" s="1"/>
      <c r="AX89" s="1"/>
      <c r="AY89" s="1"/>
      <c r="AZ89" s="1"/>
      <c r="BA89" s="1"/>
      <c r="BB89" s="1"/>
      <c r="BC89" s="102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36"/>
      <c r="BZ89" s="136"/>
      <c r="CA89" s="136"/>
      <c r="CB89" s="136"/>
      <c r="CC89" s="136"/>
      <c r="CD89" s="136"/>
      <c r="CE89" s="136"/>
      <c r="CF89" s="147"/>
      <c r="CG89" s="136"/>
      <c r="CH89" s="147"/>
      <c r="CI89" s="147"/>
      <c r="CJ89" s="136"/>
      <c r="CK89" s="136"/>
      <c r="CL89" s="136"/>
      <c r="CM89" s="136"/>
      <c r="CN89" s="136"/>
      <c r="CO89" s="136"/>
      <c r="CP89" s="136"/>
      <c r="CQ89" s="1"/>
      <c r="CR89" s="1"/>
      <c r="CS89" s="230"/>
      <c r="CT89" s="1"/>
      <c r="CU89" s="136"/>
      <c r="CV89" s="136"/>
      <c r="CW89" s="136"/>
      <c r="CX89" s="136"/>
      <c r="CY89" s="136"/>
      <c r="CZ89" s="136"/>
      <c r="DA89" s="136"/>
      <c r="DB89" s="136"/>
      <c r="DC89" s="136"/>
      <c r="DD89" s="136"/>
      <c r="DE89" s="211"/>
      <c r="DF89" s="211"/>
      <c r="DG89" s="273"/>
      <c r="DH89" s="136"/>
      <c r="DI89" s="1"/>
      <c r="DJ89" s="1"/>
      <c r="DK89" s="102"/>
      <c r="DL89" s="102"/>
      <c r="DM89" s="102"/>
      <c r="DN89" s="102"/>
      <c r="DO89" s="102"/>
      <c r="DP89" s="143"/>
      <c r="DQ89" s="143"/>
      <c r="DR89" s="143"/>
      <c r="DS89" s="102"/>
      <c r="DT89" s="1"/>
      <c r="DU89" s="1"/>
      <c r="DV89" s="1"/>
      <c r="DW89" s="99"/>
      <c r="DX89" s="1"/>
      <c r="EE89" s="1"/>
      <c r="EK89" s="98"/>
      <c r="EL89" s="98"/>
      <c r="EM89" s="98"/>
      <c r="EN89" s="98"/>
      <c r="EO89" s="98"/>
      <c r="EP89" s="238"/>
      <c r="EQ89" s="239"/>
      <c r="ER89" s="98"/>
      <c r="ES89" s="98"/>
      <c r="ET89" s="267"/>
      <c r="EU89" s="253"/>
      <c r="EV89" s="254"/>
    </row>
    <row r="90" spans="1:152" s="93" customFormat="1">
      <c r="A90" s="95"/>
      <c r="B90" s="95"/>
      <c r="D90" s="97"/>
      <c r="E90" s="97"/>
      <c r="F90" s="97"/>
      <c r="G90" s="220"/>
      <c r="H90" s="98"/>
      <c r="I90" s="96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92"/>
      <c r="AP90" s="92"/>
      <c r="AQ90" s="92"/>
      <c r="AR90" s="1"/>
      <c r="AS90" s="233"/>
      <c r="AT90" s="1"/>
      <c r="AU90" s="1"/>
      <c r="AV90" s="1"/>
      <c r="AW90" s="1"/>
      <c r="AX90" s="1"/>
      <c r="AY90" s="1"/>
      <c r="AZ90" s="1"/>
      <c r="BA90" s="1"/>
      <c r="BB90" s="1"/>
      <c r="BC90" s="102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36"/>
      <c r="BZ90" s="136"/>
      <c r="CA90" s="136"/>
      <c r="CB90" s="136"/>
      <c r="CC90" s="136"/>
      <c r="CD90" s="136"/>
      <c r="CE90" s="136"/>
      <c r="CF90" s="147"/>
      <c r="CG90" s="136"/>
      <c r="CH90" s="147"/>
      <c r="CI90" s="147"/>
      <c r="CJ90" s="136"/>
      <c r="CK90" s="136"/>
      <c r="CL90" s="136"/>
      <c r="CM90" s="136"/>
      <c r="CN90" s="136"/>
      <c r="CO90" s="136"/>
      <c r="CP90" s="136"/>
      <c r="CQ90" s="1"/>
      <c r="CR90" s="1"/>
      <c r="CS90" s="230"/>
      <c r="CT90" s="1"/>
      <c r="CU90" s="136"/>
      <c r="CV90" s="136"/>
      <c r="CW90" s="136"/>
      <c r="CX90" s="136"/>
      <c r="CY90" s="136"/>
      <c r="CZ90" s="136"/>
      <c r="DA90" s="136"/>
      <c r="DB90" s="136"/>
      <c r="DC90" s="136"/>
      <c r="DD90" s="136"/>
      <c r="DE90" s="211"/>
      <c r="DF90" s="211"/>
      <c r="DG90" s="273"/>
      <c r="DH90" s="136"/>
      <c r="DI90" s="1"/>
      <c r="DJ90" s="1"/>
      <c r="DK90" s="102"/>
      <c r="DL90" s="102"/>
      <c r="DM90" s="102"/>
      <c r="DN90" s="102"/>
      <c r="DO90" s="102"/>
      <c r="DP90" s="143"/>
      <c r="DQ90" s="143"/>
      <c r="DR90" s="143"/>
      <c r="DS90" s="102"/>
      <c r="DT90" s="1"/>
      <c r="DU90" s="1"/>
      <c r="DV90" s="1"/>
      <c r="DW90" s="99"/>
      <c r="DX90" s="1"/>
      <c r="EE90" s="1"/>
      <c r="EK90" s="98"/>
      <c r="EL90" s="98"/>
      <c r="EM90" s="98"/>
      <c r="EN90" s="98"/>
      <c r="EO90" s="98"/>
      <c r="EP90" s="238"/>
      <c r="EQ90" s="239"/>
      <c r="ER90" s="98"/>
      <c r="ES90" s="98"/>
      <c r="ET90" s="267"/>
      <c r="EU90" s="253"/>
      <c r="EV90" s="254"/>
    </row>
    <row r="91" spans="1:152" s="93" customFormat="1">
      <c r="A91" s="95"/>
      <c r="B91" s="95"/>
      <c r="D91" s="97"/>
      <c r="E91" s="97"/>
      <c r="F91" s="97"/>
      <c r="G91" s="220"/>
      <c r="H91" s="98"/>
      <c r="I91" s="96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92"/>
      <c r="AP91" s="92"/>
      <c r="AQ91" s="92"/>
      <c r="AR91" s="1"/>
      <c r="AS91" s="233"/>
      <c r="AT91" s="1"/>
      <c r="AU91" s="1"/>
      <c r="AV91" s="1"/>
      <c r="AW91" s="1"/>
      <c r="AX91" s="1"/>
      <c r="AY91" s="1"/>
      <c r="AZ91" s="1"/>
      <c r="BA91" s="1"/>
      <c r="BB91" s="1"/>
      <c r="BC91" s="102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36"/>
      <c r="BZ91" s="136"/>
      <c r="CA91" s="136"/>
      <c r="CB91" s="136"/>
      <c r="CC91" s="136"/>
      <c r="CD91" s="136"/>
      <c r="CE91" s="136"/>
      <c r="CF91" s="147"/>
      <c r="CG91" s="136"/>
      <c r="CH91" s="147"/>
      <c r="CI91" s="147"/>
      <c r="CJ91" s="136"/>
      <c r="CK91" s="136"/>
      <c r="CL91" s="136"/>
      <c r="CM91" s="136"/>
      <c r="CN91" s="136"/>
      <c r="CO91" s="136"/>
      <c r="CP91" s="136"/>
      <c r="CQ91" s="1"/>
      <c r="CR91" s="1"/>
      <c r="CS91" s="230"/>
      <c r="CT91" s="1"/>
      <c r="CU91" s="136"/>
      <c r="CV91" s="136"/>
      <c r="CW91" s="136"/>
      <c r="CX91" s="136"/>
      <c r="CY91" s="136"/>
      <c r="CZ91" s="136"/>
      <c r="DA91" s="136"/>
      <c r="DB91" s="136"/>
      <c r="DC91" s="136"/>
      <c r="DD91" s="136"/>
      <c r="DE91" s="211"/>
      <c r="DF91" s="211"/>
      <c r="DG91" s="273"/>
      <c r="DH91" s="136"/>
      <c r="DI91" s="1"/>
      <c r="DJ91" s="1"/>
      <c r="DK91" s="102"/>
      <c r="DL91" s="102"/>
      <c r="DM91" s="102"/>
      <c r="DN91" s="102"/>
      <c r="DO91" s="102"/>
      <c r="DP91" s="143"/>
      <c r="DQ91" s="143"/>
      <c r="DR91" s="143"/>
      <c r="DS91" s="102"/>
      <c r="DT91" s="1"/>
      <c r="DU91" s="1"/>
      <c r="DV91" s="1"/>
      <c r="DW91" s="99"/>
      <c r="DX91" s="1"/>
      <c r="EE91" s="1"/>
      <c r="EK91" s="98"/>
      <c r="EL91" s="98"/>
      <c r="EM91" s="98"/>
      <c r="EN91" s="98"/>
      <c r="EO91" s="98"/>
      <c r="EP91" s="238"/>
      <c r="EQ91" s="239"/>
      <c r="ER91" s="98"/>
      <c r="ES91" s="98"/>
      <c r="ET91" s="267"/>
      <c r="EU91" s="253"/>
      <c r="EV91" s="254"/>
    </row>
    <row r="92" spans="1:152" s="93" customFormat="1">
      <c r="A92" s="95"/>
      <c r="B92" s="95"/>
      <c r="D92" s="97"/>
      <c r="E92" s="97"/>
      <c r="F92" s="97"/>
      <c r="G92" s="220"/>
      <c r="H92" s="98"/>
      <c r="I92" s="96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92"/>
      <c r="AP92" s="92"/>
      <c r="AQ92" s="92"/>
      <c r="AR92" s="1"/>
      <c r="AS92" s="233"/>
      <c r="AT92" s="1"/>
      <c r="AU92" s="1"/>
      <c r="AV92" s="1"/>
      <c r="AW92" s="1"/>
      <c r="AX92" s="1"/>
      <c r="AY92" s="1"/>
      <c r="AZ92" s="1"/>
      <c r="BA92" s="1"/>
      <c r="BB92" s="1"/>
      <c r="BC92" s="102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36"/>
      <c r="BZ92" s="136"/>
      <c r="CA92" s="136"/>
      <c r="CB92" s="136"/>
      <c r="CC92" s="136"/>
      <c r="CD92" s="136"/>
      <c r="CE92" s="136"/>
      <c r="CF92" s="147"/>
      <c r="CG92" s="136"/>
      <c r="CH92" s="147"/>
      <c r="CI92" s="147"/>
      <c r="CJ92" s="136"/>
      <c r="CK92" s="136"/>
      <c r="CL92" s="136"/>
      <c r="CM92" s="136"/>
      <c r="CN92" s="136"/>
      <c r="CO92" s="136"/>
      <c r="CP92" s="136"/>
      <c r="CQ92" s="1"/>
      <c r="CR92" s="1"/>
      <c r="CS92" s="230"/>
      <c r="CT92" s="1"/>
      <c r="CU92" s="136"/>
      <c r="CV92" s="136"/>
      <c r="CW92" s="136"/>
      <c r="CX92" s="136"/>
      <c r="CY92" s="136"/>
      <c r="CZ92" s="136"/>
      <c r="DA92" s="136"/>
      <c r="DB92" s="136"/>
      <c r="DC92" s="136"/>
      <c r="DD92" s="136"/>
      <c r="DE92" s="211"/>
      <c r="DF92" s="211"/>
      <c r="DG92" s="273"/>
      <c r="DH92" s="136"/>
      <c r="DI92" s="1"/>
      <c r="DJ92" s="1"/>
      <c r="DK92" s="102"/>
      <c r="DL92" s="102"/>
      <c r="DM92" s="102"/>
      <c r="DN92" s="102"/>
      <c r="DO92" s="102"/>
      <c r="DP92" s="143"/>
      <c r="DQ92" s="143"/>
      <c r="DR92" s="143"/>
      <c r="DS92" s="102"/>
      <c r="DT92" s="1"/>
      <c r="DU92" s="1"/>
      <c r="DV92" s="1"/>
      <c r="DW92" s="99"/>
      <c r="DX92" s="1"/>
      <c r="EE92" s="1"/>
      <c r="EK92" s="98"/>
      <c r="EL92" s="98"/>
      <c r="EM92" s="98"/>
      <c r="EN92" s="98"/>
      <c r="EO92" s="98"/>
      <c r="EP92" s="238"/>
      <c r="EQ92" s="239"/>
      <c r="ER92" s="98"/>
      <c r="ES92" s="98"/>
      <c r="ET92" s="267"/>
      <c r="EU92" s="253"/>
      <c r="EV92" s="254"/>
    </row>
    <row r="93" spans="1:152" s="93" customFormat="1">
      <c r="A93" s="95"/>
      <c r="B93" s="95"/>
      <c r="D93" s="97"/>
      <c r="E93" s="97"/>
      <c r="F93" s="97"/>
      <c r="G93" s="220"/>
      <c r="H93" s="98"/>
      <c r="I93" s="96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92"/>
      <c r="AP93" s="92"/>
      <c r="AQ93" s="92"/>
      <c r="AR93" s="1"/>
      <c r="AS93" s="233"/>
      <c r="AT93" s="1"/>
      <c r="AU93" s="1"/>
      <c r="AV93" s="1"/>
      <c r="AW93" s="1"/>
      <c r="AX93" s="1"/>
      <c r="AY93" s="1"/>
      <c r="AZ93" s="1"/>
      <c r="BA93" s="1"/>
      <c r="BB93" s="1"/>
      <c r="BC93" s="102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36"/>
      <c r="BZ93" s="136"/>
      <c r="CA93" s="136"/>
      <c r="CB93" s="136"/>
      <c r="CC93" s="136"/>
      <c r="CD93" s="136"/>
      <c r="CE93" s="136"/>
      <c r="CF93" s="147"/>
      <c r="CG93" s="136"/>
      <c r="CH93" s="147"/>
      <c r="CI93" s="147"/>
      <c r="CJ93" s="136"/>
      <c r="CK93" s="136"/>
      <c r="CL93" s="136"/>
      <c r="CM93" s="136"/>
      <c r="CN93" s="136"/>
      <c r="CO93" s="136"/>
      <c r="CP93" s="136"/>
      <c r="CQ93" s="1"/>
      <c r="CR93" s="1"/>
      <c r="CS93" s="230"/>
      <c r="CT93" s="1"/>
      <c r="CU93" s="136"/>
      <c r="CV93" s="136"/>
      <c r="CW93" s="136"/>
      <c r="CX93" s="136"/>
      <c r="CY93" s="136"/>
      <c r="CZ93" s="136"/>
      <c r="DA93" s="136"/>
      <c r="DB93" s="136"/>
      <c r="DC93" s="136"/>
      <c r="DD93" s="136"/>
      <c r="DE93" s="211"/>
      <c r="DF93" s="211"/>
      <c r="DG93" s="273"/>
      <c r="DH93" s="136"/>
      <c r="DI93" s="1"/>
      <c r="DJ93" s="1"/>
      <c r="DK93" s="102"/>
      <c r="DL93" s="102"/>
      <c r="DM93" s="102"/>
      <c r="DN93" s="102"/>
      <c r="DO93" s="102"/>
      <c r="DP93" s="143"/>
      <c r="DQ93" s="143"/>
      <c r="DR93" s="143"/>
      <c r="DS93" s="102"/>
      <c r="DT93" s="1"/>
      <c r="DU93" s="1"/>
      <c r="DV93" s="1"/>
      <c r="DW93" s="99"/>
      <c r="DX93" s="1"/>
      <c r="EE93" s="1"/>
      <c r="EK93" s="98"/>
      <c r="EL93" s="98"/>
      <c r="EM93" s="98"/>
      <c r="EN93" s="98"/>
      <c r="EO93" s="98"/>
      <c r="EP93" s="238"/>
      <c r="EQ93" s="239"/>
      <c r="ER93" s="98"/>
      <c r="ES93" s="98"/>
      <c r="ET93" s="267"/>
      <c r="EU93" s="253"/>
      <c r="EV93" s="254"/>
    </row>
    <row r="94" spans="1:152" s="93" customFormat="1">
      <c r="A94" s="95"/>
      <c r="B94" s="95"/>
      <c r="D94" s="97"/>
      <c r="E94" s="97"/>
      <c r="F94" s="97"/>
      <c r="G94" s="220"/>
      <c r="H94" s="98"/>
      <c r="I94" s="96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92"/>
      <c r="AP94" s="92"/>
      <c r="AQ94" s="92"/>
      <c r="AR94" s="1"/>
      <c r="AS94" s="233"/>
      <c r="AT94" s="1"/>
      <c r="AU94" s="1"/>
      <c r="AV94" s="1"/>
      <c r="AW94" s="1"/>
      <c r="AX94" s="1"/>
      <c r="AY94" s="1"/>
      <c r="AZ94" s="1"/>
      <c r="BA94" s="1"/>
      <c r="BB94" s="1"/>
      <c r="BC94" s="102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36"/>
      <c r="BZ94" s="136"/>
      <c r="CA94" s="136"/>
      <c r="CB94" s="136"/>
      <c r="CC94" s="136"/>
      <c r="CD94" s="136"/>
      <c r="CE94" s="136"/>
      <c r="CF94" s="147"/>
      <c r="CG94" s="136"/>
      <c r="CH94" s="147"/>
      <c r="CI94" s="147"/>
      <c r="CJ94" s="136"/>
      <c r="CK94" s="136"/>
      <c r="CL94" s="136"/>
      <c r="CM94" s="136"/>
      <c r="CN94" s="136"/>
      <c r="CO94" s="136"/>
      <c r="CP94" s="136"/>
      <c r="CQ94" s="1"/>
      <c r="CR94" s="1"/>
      <c r="CS94" s="230"/>
      <c r="CT94" s="1"/>
      <c r="CU94" s="136"/>
      <c r="CV94" s="136"/>
      <c r="CW94" s="136"/>
      <c r="CX94" s="136"/>
      <c r="CY94" s="136"/>
      <c r="CZ94" s="136"/>
      <c r="DA94" s="136"/>
      <c r="DB94" s="136"/>
      <c r="DC94" s="136"/>
      <c r="DD94" s="136"/>
      <c r="DE94" s="211"/>
      <c r="DF94" s="211"/>
      <c r="DG94" s="273"/>
      <c r="DH94" s="136"/>
      <c r="DI94" s="1"/>
      <c r="DJ94" s="1"/>
      <c r="DK94" s="102"/>
      <c r="DL94" s="102"/>
      <c r="DM94" s="102"/>
      <c r="DN94" s="102"/>
      <c r="DO94" s="102"/>
      <c r="DP94" s="143"/>
      <c r="DQ94" s="143"/>
      <c r="DR94" s="143"/>
      <c r="DS94" s="102"/>
      <c r="DT94" s="1"/>
      <c r="DU94" s="1"/>
      <c r="DV94" s="1"/>
      <c r="DW94" s="99"/>
      <c r="DX94" s="1"/>
      <c r="EE94" s="1"/>
      <c r="EK94" s="98"/>
      <c r="EL94" s="98"/>
      <c r="EM94" s="98"/>
      <c r="EN94" s="98"/>
      <c r="EO94" s="98"/>
      <c r="EP94" s="238"/>
      <c r="EQ94" s="239"/>
      <c r="ER94" s="98"/>
      <c r="ES94" s="98"/>
      <c r="ET94" s="267"/>
      <c r="EU94" s="253"/>
      <c r="EV94" s="254"/>
    </row>
    <row r="95" spans="1:152" s="93" customFormat="1">
      <c r="A95" s="95"/>
      <c r="B95" s="95"/>
      <c r="D95" s="97"/>
      <c r="E95" s="97"/>
      <c r="F95" s="97"/>
      <c r="G95" s="220"/>
      <c r="H95" s="98"/>
      <c r="I95" s="96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92"/>
      <c r="AP95" s="92"/>
      <c r="AQ95" s="92"/>
      <c r="AR95" s="1"/>
      <c r="AS95" s="233"/>
      <c r="AT95" s="1"/>
      <c r="AU95" s="1"/>
      <c r="AV95" s="1"/>
      <c r="AW95" s="1"/>
      <c r="AX95" s="1"/>
      <c r="AY95" s="1"/>
      <c r="AZ95" s="1"/>
      <c r="BA95" s="1"/>
      <c r="BB95" s="1"/>
      <c r="BC95" s="102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36"/>
      <c r="BZ95" s="136"/>
      <c r="CA95" s="136"/>
      <c r="CB95" s="136"/>
      <c r="CC95" s="136"/>
      <c r="CD95" s="136"/>
      <c r="CE95" s="136"/>
      <c r="CF95" s="147"/>
      <c r="CG95" s="136"/>
      <c r="CH95" s="147"/>
      <c r="CI95" s="147"/>
      <c r="CJ95" s="136"/>
      <c r="CK95" s="136"/>
      <c r="CL95" s="136"/>
      <c r="CM95" s="136"/>
      <c r="CN95" s="136"/>
      <c r="CO95" s="136"/>
      <c r="CP95" s="136"/>
      <c r="CQ95" s="1"/>
      <c r="CR95" s="1"/>
      <c r="CS95" s="230"/>
      <c r="CT95" s="1"/>
      <c r="CU95" s="136"/>
      <c r="CV95" s="136"/>
      <c r="CW95" s="136"/>
      <c r="CX95" s="136"/>
      <c r="CY95" s="136"/>
      <c r="CZ95" s="136"/>
      <c r="DA95" s="136"/>
      <c r="DB95" s="136"/>
      <c r="DC95" s="136"/>
      <c r="DD95" s="136"/>
      <c r="DE95" s="211"/>
      <c r="DF95" s="211"/>
      <c r="DG95" s="273"/>
      <c r="DH95" s="136"/>
      <c r="DI95" s="1"/>
      <c r="DJ95" s="1"/>
      <c r="DK95" s="102"/>
      <c r="DL95" s="102"/>
      <c r="DM95" s="102"/>
      <c r="DN95" s="102"/>
      <c r="DO95" s="102"/>
      <c r="DP95" s="143"/>
      <c r="DQ95" s="143"/>
      <c r="DR95" s="143"/>
      <c r="DS95" s="102"/>
      <c r="DT95" s="1"/>
      <c r="DU95" s="1"/>
      <c r="DV95" s="1"/>
      <c r="DW95" s="99"/>
      <c r="DX95" s="1"/>
      <c r="EE95" s="1"/>
      <c r="EK95" s="98"/>
      <c r="EL95" s="98"/>
      <c r="EM95" s="98"/>
      <c r="EN95" s="98"/>
      <c r="EO95" s="98"/>
      <c r="EP95" s="238"/>
      <c r="EQ95" s="239"/>
      <c r="ER95" s="98"/>
      <c r="ES95" s="98"/>
      <c r="ET95" s="267"/>
      <c r="EU95" s="253"/>
      <c r="EV95" s="254"/>
    </row>
    <row r="96" spans="1:152" s="93" customFormat="1">
      <c r="A96" s="95"/>
      <c r="B96" s="95"/>
      <c r="D96" s="97"/>
      <c r="E96" s="97"/>
      <c r="F96" s="97"/>
      <c r="G96" s="220"/>
      <c r="H96" s="98"/>
      <c r="I96" s="96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92"/>
      <c r="AP96" s="92"/>
      <c r="AQ96" s="92"/>
      <c r="AR96" s="1"/>
      <c r="AS96" s="233"/>
      <c r="AT96" s="1"/>
      <c r="AU96" s="1"/>
      <c r="AV96" s="1"/>
      <c r="AW96" s="1"/>
      <c r="AX96" s="1"/>
      <c r="AY96" s="1"/>
      <c r="AZ96" s="1"/>
      <c r="BA96" s="1"/>
      <c r="BB96" s="1"/>
      <c r="BC96" s="102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36"/>
      <c r="BZ96" s="136"/>
      <c r="CA96" s="136"/>
      <c r="CB96" s="136"/>
      <c r="CC96" s="136"/>
      <c r="CD96" s="136"/>
      <c r="CE96" s="136"/>
      <c r="CF96" s="147"/>
      <c r="CG96" s="136"/>
      <c r="CH96" s="147"/>
      <c r="CI96" s="147"/>
      <c r="CJ96" s="136"/>
      <c r="CK96" s="136"/>
      <c r="CL96" s="136"/>
      <c r="CM96" s="136"/>
      <c r="CN96" s="136"/>
      <c r="CO96" s="136"/>
      <c r="CP96" s="136"/>
      <c r="CQ96" s="1"/>
      <c r="CR96" s="1"/>
      <c r="CS96" s="230"/>
      <c r="CT96" s="1"/>
      <c r="CU96" s="136"/>
      <c r="CV96" s="136"/>
      <c r="CW96" s="136"/>
      <c r="CX96" s="136"/>
      <c r="CY96" s="136"/>
      <c r="CZ96" s="136"/>
      <c r="DA96" s="136"/>
      <c r="DB96" s="136"/>
      <c r="DC96" s="136"/>
      <c r="DD96" s="136"/>
      <c r="DE96" s="211"/>
      <c r="DF96" s="211"/>
      <c r="DG96" s="273"/>
      <c r="DH96" s="136"/>
      <c r="DI96" s="1"/>
      <c r="DJ96" s="1"/>
      <c r="DK96" s="102"/>
      <c r="DL96" s="102"/>
      <c r="DM96" s="102"/>
      <c r="DN96" s="102"/>
      <c r="DO96" s="102"/>
      <c r="DP96" s="143"/>
      <c r="DQ96" s="143"/>
      <c r="DR96" s="143"/>
      <c r="DS96" s="102"/>
      <c r="DT96" s="1"/>
      <c r="DU96" s="1"/>
      <c r="DV96" s="1"/>
      <c r="DW96" s="99"/>
      <c r="DX96" s="1"/>
      <c r="EE96" s="1"/>
      <c r="EK96" s="98"/>
      <c r="EL96" s="98"/>
      <c r="EM96" s="98"/>
      <c r="EN96" s="98"/>
      <c r="EO96" s="98"/>
      <c r="EP96" s="238"/>
      <c r="EQ96" s="239"/>
      <c r="ER96" s="98"/>
      <c r="ES96" s="98"/>
      <c r="ET96" s="267"/>
      <c r="EU96" s="253"/>
      <c r="EV96" s="254"/>
    </row>
    <row r="97" spans="1:152" s="93" customFormat="1">
      <c r="A97" s="95"/>
      <c r="B97" s="95"/>
      <c r="D97" s="97"/>
      <c r="E97" s="97"/>
      <c r="F97" s="97"/>
      <c r="G97" s="220"/>
      <c r="H97" s="98"/>
      <c r="I97" s="96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92"/>
      <c r="AP97" s="92"/>
      <c r="AQ97" s="92"/>
      <c r="AR97" s="1"/>
      <c r="AS97" s="233"/>
      <c r="AT97" s="1"/>
      <c r="AU97" s="1"/>
      <c r="AV97" s="1"/>
      <c r="AW97" s="1"/>
      <c r="AX97" s="1"/>
      <c r="AY97" s="1"/>
      <c r="AZ97" s="1"/>
      <c r="BA97" s="1"/>
      <c r="BB97" s="1"/>
      <c r="BC97" s="102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36"/>
      <c r="BZ97" s="136"/>
      <c r="CA97" s="136"/>
      <c r="CB97" s="136"/>
      <c r="CC97" s="136"/>
      <c r="CD97" s="136"/>
      <c r="CE97" s="136"/>
      <c r="CF97" s="147"/>
      <c r="CG97" s="136"/>
      <c r="CH97" s="147"/>
      <c r="CI97" s="147"/>
      <c r="CJ97" s="136"/>
      <c r="CK97" s="136"/>
      <c r="CL97" s="136"/>
      <c r="CM97" s="136"/>
      <c r="CN97" s="136"/>
      <c r="CO97" s="136"/>
      <c r="CP97" s="136"/>
      <c r="CQ97" s="1"/>
      <c r="CR97" s="1"/>
      <c r="CS97" s="230"/>
      <c r="CT97" s="1"/>
      <c r="CU97" s="136"/>
      <c r="CV97" s="136"/>
      <c r="CW97" s="136"/>
      <c r="CX97" s="136"/>
      <c r="CY97" s="136"/>
      <c r="CZ97" s="136"/>
      <c r="DA97" s="136"/>
      <c r="DB97" s="136"/>
      <c r="DC97" s="136"/>
      <c r="DD97" s="136"/>
      <c r="DE97" s="211"/>
      <c r="DF97" s="211"/>
      <c r="DG97" s="273"/>
      <c r="DH97" s="136"/>
      <c r="DI97" s="1"/>
      <c r="DJ97" s="1"/>
      <c r="DK97" s="102"/>
      <c r="DL97" s="102"/>
      <c r="DM97" s="102"/>
      <c r="DN97" s="102"/>
      <c r="DO97" s="102"/>
      <c r="DP97" s="143"/>
      <c r="DQ97" s="143"/>
      <c r="DR97" s="143"/>
      <c r="DS97" s="102"/>
      <c r="DT97" s="1"/>
      <c r="DU97" s="1"/>
      <c r="DV97" s="1"/>
      <c r="DW97" s="99"/>
      <c r="DX97" s="1"/>
      <c r="EE97" s="1"/>
      <c r="EK97" s="98"/>
      <c r="EL97" s="98"/>
      <c r="EM97" s="98"/>
      <c r="EN97" s="98"/>
      <c r="EO97" s="98"/>
      <c r="EP97" s="238"/>
      <c r="EQ97" s="239"/>
      <c r="ER97" s="98"/>
      <c r="ES97" s="98"/>
      <c r="ET97" s="267"/>
      <c r="EU97" s="253"/>
      <c r="EV97" s="254"/>
    </row>
    <row r="98" spans="1:152" s="93" customFormat="1">
      <c r="A98" s="95"/>
      <c r="B98" s="95"/>
      <c r="D98" s="97"/>
      <c r="E98" s="97"/>
      <c r="F98" s="97"/>
      <c r="G98" s="220"/>
      <c r="H98" s="98"/>
      <c r="I98" s="96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92"/>
      <c r="AP98" s="92"/>
      <c r="AQ98" s="92"/>
      <c r="AR98" s="1"/>
      <c r="AS98" s="233"/>
      <c r="AT98" s="1"/>
      <c r="AU98" s="1"/>
      <c r="AV98" s="1"/>
      <c r="AW98" s="1"/>
      <c r="AX98" s="1"/>
      <c r="AY98" s="1"/>
      <c r="AZ98" s="1"/>
      <c r="BA98" s="1"/>
      <c r="BB98" s="1"/>
      <c r="BC98" s="102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36"/>
      <c r="BZ98" s="136"/>
      <c r="CA98" s="136"/>
      <c r="CB98" s="136"/>
      <c r="CC98" s="136"/>
      <c r="CD98" s="136"/>
      <c r="CE98" s="136"/>
      <c r="CF98" s="147"/>
      <c r="CG98" s="136"/>
      <c r="CH98" s="147"/>
      <c r="CI98" s="147"/>
      <c r="CJ98" s="136"/>
      <c r="CK98" s="136"/>
      <c r="CL98" s="136"/>
      <c r="CM98" s="136"/>
      <c r="CN98" s="136"/>
      <c r="CO98" s="136"/>
      <c r="CP98" s="136"/>
      <c r="CQ98" s="1"/>
      <c r="CR98" s="1"/>
      <c r="CS98" s="230"/>
      <c r="CT98" s="1"/>
      <c r="CU98" s="136"/>
      <c r="CV98" s="136"/>
      <c r="CW98" s="136"/>
      <c r="CX98" s="136"/>
      <c r="CY98" s="136"/>
      <c r="CZ98" s="136"/>
      <c r="DA98" s="136"/>
      <c r="DB98" s="136"/>
      <c r="DC98" s="136"/>
      <c r="DD98" s="136"/>
      <c r="DE98" s="211"/>
      <c r="DF98" s="211"/>
      <c r="DG98" s="273"/>
      <c r="DH98" s="136"/>
      <c r="DI98" s="1"/>
      <c r="DJ98" s="1"/>
      <c r="DK98" s="102"/>
      <c r="DL98" s="102"/>
      <c r="DM98" s="102"/>
      <c r="DN98" s="102"/>
      <c r="DO98" s="102"/>
      <c r="DP98" s="143"/>
      <c r="DQ98" s="143"/>
      <c r="DR98" s="143"/>
      <c r="DS98" s="102"/>
      <c r="DT98" s="1"/>
      <c r="DU98" s="1"/>
      <c r="DV98" s="1"/>
      <c r="DW98" s="99"/>
      <c r="DX98" s="1"/>
      <c r="EE98" s="1"/>
      <c r="EK98" s="98"/>
      <c r="EL98" s="98"/>
      <c r="EM98" s="98"/>
      <c r="EN98" s="98"/>
      <c r="EO98" s="98"/>
      <c r="EP98" s="238"/>
      <c r="EQ98" s="239"/>
      <c r="ER98" s="98"/>
      <c r="ES98" s="98"/>
      <c r="ET98" s="267"/>
      <c r="EU98" s="253"/>
      <c r="EV98" s="254"/>
    </row>
    <row r="99" spans="1:152" s="93" customFormat="1">
      <c r="A99" s="95"/>
      <c r="B99" s="95"/>
      <c r="D99" s="97"/>
      <c r="E99" s="97"/>
      <c r="F99" s="97"/>
      <c r="G99" s="220"/>
      <c r="H99" s="98"/>
      <c r="I99" s="96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92"/>
      <c r="AP99" s="92"/>
      <c r="AQ99" s="92"/>
      <c r="AR99" s="1"/>
      <c r="AS99" s="233"/>
      <c r="AT99" s="1"/>
      <c r="AU99" s="1"/>
      <c r="AV99" s="1"/>
      <c r="AW99" s="1"/>
      <c r="AX99" s="1"/>
      <c r="AY99" s="1"/>
      <c r="AZ99" s="1"/>
      <c r="BA99" s="1"/>
      <c r="BB99" s="1"/>
      <c r="BC99" s="102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36"/>
      <c r="BZ99" s="136"/>
      <c r="CA99" s="136"/>
      <c r="CB99" s="136"/>
      <c r="CC99" s="136"/>
      <c r="CD99" s="136"/>
      <c r="CE99" s="136"/>
      <c r="CF99" s="147"/>
      <c r="CG99" s="136"/>
      <c r="CH99" s="147"/>
      <c r="CI99" s="147"/>
      <c r="CJ99" s="136"/>
      <c r="CK99" s="136"/>
      <c r="CL99" s="136"/>
      <c r="CM99" s="136"/>
      <c r="CN99" s="136"/>
      <c r="CO99" s="136"/>
      <c r="CP99" s="136"/>
      <c r="CQ99" s="1"/>
      <c r="CR99" s="1"/>
      <c r="CS99" s="230"/>
      <c r="CT99" s="1"/>
      <c r="CU99" s="136"/>
      <c r="CV99" s="136"/>
      <c r="CW99" s="136"/>
      <c r="CX99" s="136"/>
      <c r="CY99" s="136"/>
      <c r="CZ99" s="136"/>
      <c r="DA99" s="136"/>
      <c r="DB99" s="136"/>
      <c r="DC99" s="136"/>
      <c r="DD99" s="136"/>
      <c r="DE99" s="211"/>
      <c r="DF99" s="211"/>
      <c r="DG99" s="273"/>
      <c r="DH99" s="136"/>
      <c r="DI99" s="1"/>
      <c r="DJ99" s="1"/>
      <c r="DK99" s="102"/>
      <c r="DL99" s="102"/>
      <c r="DM99" s="102"/>
      <c r="DN99" s="102"/>
      <c r="DO99" s="102"/>
      <c r="DP99" s="143"/>
      <c r="DQ99" s="143"/>
      <c r="DR99" s="143"/>
      <c r="DS99" s="102"/>
      <c r="DT99" s="1"/>
      <c r="DU99" s="1"/>
      <c r="DV99" s="1"/>
      <c r="DW99" s="99"/>
      <c r="DX99" s="1"/>
      <c r="EE99" s="1"/>
      <c r="EK99" s="98"/>
      <c r="EL99" s="98"/>
      <c r="EM99" s="98"/>
      <c r="EN99" s="98"/>
      <c r="EO99" s="98"/>
      <c r="EP99" s="238"/>
      <c r="EQ99" s="239"/>
      <c r="ER99" s="98"/>
      <c r="ES99" s="98"/>
      <c r="ET99" s="267"/>
      <c r="EU99" s="253"/>
      <c r="EV99" s="254"/>
    </row>
    <row r="100" spans="1:152" s="93" customFormat="1">
      <c r="A100" s="95"/>
      <c r="B100" s="95"/>
      <c r="D100" s="97"/>
      <c r="E100" s="97"/>
      <c r="F100" s="97"/>
      <c r="G100" s="220"/>
      <c r="H100" s="98"/>
      <c r="I100" s="96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92"/>
      <c r="AP100" s="92"/>
      <c r="AQ100" s="92"/>
      <c r="AR100" s="1"/>
      <c r="AS100" s="233"/>
      <c r="AT100" s="1"/>
      <c r="AU100" s="1"/>
      <c r="AV100" s="1"/>
      <c r="AW100" s="1"/>
      <c r="AX100" s="1"/>
      <c r="AY100" s="1"/>
      <c r="AZ100" s="1"/>
      <c r="BA100" s="1"/>
      <c r="BB100" s="1"/>
      <c r="BC100" s="102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36"/>
      <c r="BZ100" s="136"/>
      <c r="CA100" s="136"/>
      <c r="CB100" s="136"/>
      <c r="CC100" s="136"/>
      <c r="CD100" s="136"/>
      <c r="CE100" s="136"/>
      <c r="CF100" s="147"/>
      <c r="CG100" s="136"/>
      <c r="CH100" s="147"/>
      <c r="CI100" s="147"/>
      <c r="CJ100" s="136"/>
      <c r="CK100" s="136"/>
      <c r="CL100" s="136"/>
      <c r="CM100" s="136"/>
      <c r="CN100" s="136"/>
      <c r="CO100" s="136"/>
      <c r="CP100" s="136"/>
      <c r="CQ100" s="1"/>
      <c r="CR100" s="1"/>
      <c r="CS100" s="230"/>
      <c r="CT100" s="1"/>
      <c r="CU100" s="136"/>
      <c r="CV100" s="136"/>
      <c r="CW100" s="136"/>
      <c r="CX100" s="136"/>
      <c r="CY100" s="136"/>
      <c r="CZ100" s="136"/>
      <c r="DA100" s="136"/>
      <c r="DB100" s="136"/>
      <c r="DC100" s="136"/>
      <c r="DD100" s="136"/>
      <c r="DE100" s="211"/>
      <c r="DF100" s="211"/>
      <c r="DG100" s="273"/>
      <c r="DH100" s="136"/>
      <c r="DI100" s="1"/>
      <c r="DJ100" s="1"/>
      <c r="DK100" s="102"/>
      <c r="DL100" s="102"/>
      <c r="DM100" s="102"/>
      <c r="DN100" s="102"/>
      <c r="DO100" s="102"/>
      <c r="DP100" s="143"/>
      <c r="DQ100" s="143"/>
      <c r="DR100" s="143"/>
      <c r="DS100" s="102"/>
      <c r="DT100" s="1"/>
      <c r="DU100" s="1"/>
      <c r="DV100" s="1"/>
      <c r="DW100" s="99"/>
      <c r="DX100" s="1"/>
      <c r="EE100" s="1"/>
      <c r="EK100" s="98"/>
      <c r="EL100" s="98"/>
      <c r="EM100" s="98"/>
      <c r="EN100" s="98"/>
      <c r="EO100" s="98"/>
      <c r="EP100" s="238"/>
      <c r="EQ100" s="239"/>
      <c r="ER100" s="98"/>
      <c r="ES100" s="98"/>
      <c r="ET100" s="267"/>
      <c r="EU100" s="253"/>
      <c r="EV100" s="254"/>
    </row>
    <row r="101" spans="1:152" s="93" customFormat="1">
      <c r="A101" s="95"/>
      <c r="B101" s="95"/>
      <c r="D101" s="97"/>
      <c r="E101" s="97"/>
      <c r="F101" s="97"/>
      <c r="G101" s="220"/>
      <c r="H101" s="98"/>
      <c r="I101" s="96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92"/>
      <c r="AP101" s="92"/>
      <c r="AQ101" s="92"/>
      <c r="AR101" s="1"/>
      <c r="AS101" s="233"/>
      <c r="AT101" s="1"/>
      <c r="AU101" s="1"/>
      <c r="AV101" s="1"/>
      <c r="AW101" s="1"/>
      <c r="AX101" s="1"/>
      <c r="AY101" s="1"/>
      <c r="AZ101" s="1"/>
      <c r="BA101" s="1"/>
      <c r="BB101" s="1"/>
      <c r="BC101" s="102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36"/>
      <c r="BZ101" s="136"/>
      <c r="CA101" s="136"/>
      <c r="CB101" s="136"/>
      <c r="CC101" s="136"/>
      <c r="CD101" s="136"/>
      <c r="CE101" s="136"/>
      <c r="CF101" s="147"/>
      <c r="CG101" s="136"/>
      <c r="CH101" s="147"/>
      <c r="CI101" s="147"/>
      <c r="CJ101" s="136"/>
      <c r="CK101" s="136"/>
      <c r="CL101" s="136"/>
      <c r="CM101" s="136"/>
      <c r="CN101" s="136"/>
      <c r="CO101" s="136"/>
      <c r="CP101" s="136"/>
      <c r="CQ101" s="1"/>
      <c r="CR101" s="1"/>
      <c r="CS101" s="230"/>
      <c r="CT101" s="1"/>
      <c r="CU101" s="136"/>
      <c r="CV101" s="136"/>
      <c r="CW101" s="136"/>
      <c r="CX101" s="136"/>
      <c r="CY101" s="136"/>
      <c r="CZ101" s="136"/>
      <c r="DA101" s="136"/>
      <c r="DB101" s="136"/>
      <c r="DC101" s="136"/>
      <c r="DD101" s="136"/>
      <c r="DE101" s="211"/>
      <c r="DF101" s="211"/>
      <c r="DG101" s="273"/>
      <c r="DH101" s="136"/>
      <c r="DI101" s="1"/>
      <c r="DJ101" s="1"/>
      <c r="DK101" s="102"/>
      <c r="DL101" s="102"/>
      <c r="DM101" s="102"/>
      <c r="DN101" s="102"/>
      <c r="DO101" s="102"/>
      <c r="DP101" s="143"/>
      <c r="DQ101" s="143"/>
      <c r="DR101" s="143"/>
      <c r="DS101" s="102"/>
      <c r="DT101" s="1"/>
      <c r="DU101" s="1"/>
      <c r="DV101" s="1"/>
      <c r="DW101" s="99"/>
      <c r="DX101" s="1"/>
      <c r="EE101" s="1"/>
      <c r="EK101" s="98"/>
      <c r="EL101" s="98"/>
      <c r="EM101" s="98"/>
      <c r="EN101" s="98"/>
      <c r="EO101" s="98"/>
      <c r="EP101" s="238"/>
      <c r="EQ101" s="239"/>
      <c r="ER101" s="98"/>
      <c r="ES101" s="98"/>
      <c r="ET101" s="267"/>
      <c r="EU101" s="253"/>
      <c r="EV101" s="254"/>
    </row>
    <row r="102" spans="1:152" s="93" customFormat="1">
      <c r="A102" s="95"/>
      <c r="B102" s="95"/>
      <c r="D102" s="97"/>
      <c r="E102" s="97"/>
      <c r="F102" s="97"/>
      <c r="G102" s="220"/>
      <c r="H102" s="98"/>
      <c r="I102" s="96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92"/>
      <c r="AP102" s="92"/>
      <c r="AQ102" s="92"/>
      <c r="AR102" s="1"/>
      <c r="AS102" s="233"/>
      <c r="AT102" s="1"/>
      <c r="AU102" s="1"/>
      <c r="AV102" s="1"/>
      <c r="AW102" s="1"/>
      <c r="AX102" s="1"/>
      <c r="AY102" s="1"/>
      <c r="AZ102" s="1"/>
      <c r="BA102" s="1"/>
      <c r="BB102" s="1"/>
      <c r="BC102" s="102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36"/>
      <c r="BZ102" s="136"/>
      <c r="CA102" s="136"/>
      <c r="CB102" s="136"/>
      <c r="CC102" s="136"/>
      <c r="CD102" s="136"/>
      <c r="CE102" s="136"/>
      <c r="CF102" s="147"/>
      <c r="CG102" s="136"/>
      <c r="CH102" s="147"/>
      <c r="CI102" s="147"/>
      <c r="CJ102" s="136"/>
      <c r="CK102" s="136"/>
      <c r="CL102" s="136"/>
      <c r="CM102" s="136"/>
      <c r="CN102" s="136"/>
      <c r="CO102" s="136"/>
      <c r="CP102" s="136"/>
      <c r="CQ102" s="1"/>
      <c r="CR102" s="1"/>
      <c r="CS102" s="230"/>
      <c r="CT102" s="1"/>
      <c r="CU102" s="136"/>
      <c r="CV102" s="136"/>
      <c r="CW102" s="136"/>
      <c r="CX102" s="136"/>
      <c r="CY102" s="136"/>
      <c r="CZ102" s="136"/>
      <c r="DA102" s="136"/>
      <c r="DB102" s="136"/>
      <c r="DC102" s="136"/>
      <c r="DD102" s="136"/>
      <c r="DE102" s="211"/>
      <c r="DF102" s="211"/>
      <c r="DG102" s="273"/>
      <c r="DH102" s="136"/>
      <c r="DI102" s="1"/>
      <c r="DJ102" s="1"/>
      <c r="DK102" s="102"/>
      <c r="DL102" s="102"/>
      <c r="DM102" s="102"/>
      <c r="DN102" s="102"/>
      <c r="DO102" s="102"/>
      <c r="DP102" s="143"/>
      <c r="DQ102" s="143"/>
      <c r="DR102" s="143"/>
      <c r="DS102" s="102"/>
      <c r="DT102" s="1"/>
      <c r="DU102" s="1"/>
      <c r="DV102" s="1"/>
      <c r="DW102" s="99"/>
      <c r="DX102" s="1"/>
      <c r="EE102" s="1"/>
      <c r="EK102" s="98"/>
      <c r="EL102" s="98"/>
      <c r="EM102" s="98"/>
      <c r="EN102" s="98"/>
      <c r="EO102" s="98"/>
      <c r="EP102" s="238"/>
      <c r="EQ102" s="239"/>
      <c r="ER102" s="98"/>
      <c r="ES102" s="98"/>
      <c r="ET102" s="267"/>
      <c r="EU102" s="253"/>
      <c r="EV102" s="254"/>
    </row>
    <row r="103" spans="1:152" s="93" customFormat="1">
      <c r="A103" s="95"/>
      <c r="B103" s="95"/>
      <c r="D103" s="97"/>
      <c r="E103" s="97"/>
      <c r="F103" s="97"/>
      <c r="G103" s="220"/>
      <c r="H103" s="98"/>
      <c r="I103" s="96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92"/>
      <c r="AP103" s="92"/>
      <c r="AQ103" s="92"/>
      <c r="AR103" s="1"/>
      <c r="AS103" s="233"/>
      <c r="AT103" s="1"/>
      <c r="AU103" s="1"/>
      <c r="AV103" s="1"/>
      <c r="AW103" s="1"/>
      <c r="AX103" s="1"/>
      <c r="AY103" s="1"/>
      <c r="AZ103" s="1"/>
      <c r="BA103" s="1"/>
      <c r="BB103" s="1"/>
      <c r="BC103" s="102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36"/>
      <c r="BZ103" s="136"/>
      <c r="CA103" s="136"/>
      <c r="CB103" s="136"/>
      <c r="CC103" s="136"/>
      <c r="CD103" s="136"/>
      <c r="CE103" s="136"/>
      <c r="CF103" s="147"/>
      <c r="CG103" s="136"/>
      <c r="CH103" s="147"/>
      <c r="CI103" s="147"/>
      <c r="CJ103" s="136"/>
      <c r="CK103" s="136"/>
      <c r="CL103" s="136"/>
      <c r="CM103" s="136"/>
      <c r="CN103" s="136"/>
      <c r="CO103" s="136"/>
      <c r="CP103" s="136"/>
      <c r="CQ103" s="1"/>
      <c r="CR103" s="1"/>
      <c r="CS103" s="230"/>
      <c r="CT103" s="1"/>
      <c r="CU103" s="136"/>
      <c r="CV103" s="136"/>
      <c r="CW103" s="136"/>
      <c r="CX103" s="136"/>
      <c r="CY103" s="136"/>
      <c r="CZ103" s="136"/>
      <c r="DA103" s="136"/>
      <c r="DB103" s="136"/>
      <c r="DC103" s="136"/>
      <c r="DD103" s="136"/>
      <c r="DE103" s="211"/>
      <c r="DF103" s="211"/>
      <c r="DG103" s="273"/>
      <c r="DH103" s="136"/>
      <c r="DI103" s="1"/>
      <c r="DJ103" s="1"/>
      <c r="DK103" s="102"/>
      <c r="DL103" s="102"/>
      <c r="DM103" s="102"/>
      <c r="DN103" s="102"/>
      <c r="DO103" s="102"/>
      <c r="DP103" s="143"/>
      <c r="DQ103" s="143"/>
      <c r="DR103" s="143"/>
      <c r="DS103" s="102"/>
      <c r="DT103" s="1"/>
      <c r="DU103" s="1"/>
      <c r="DV103" s="1"/>
      <c r="DW103" s="99"/>
      <c r="DX103" s="1"/>
      <c r="EE103" s="1"/>
      <c r="EK103" s="98"/>
      <c r="EL103" s="98"/>
      <c r="EM103" s="98"/>
      <c r="EN103" s="98"/>
      <c r="EO103" s="98"/>
      <c r="EP103" s="238"/>
      <c r="EQ103" s="239"/>
      <c r="ER103" s="98"/>
      <c r="ES103" s="98"/>
      <c r="ET103" s="267"/>
      <c r="EU103" s="253"/>
      <c r="EV103" s="254"/>
    </row>
    <row r="104" spans="1:152" s="93" customFormat="1">
      <c r="A104" s="95"/>
      <c r="B104" s="95"/>
      <c r="D104" s="97"/>
      <c r="E104" s="97"/>
      <c r="F104" s="97"/>
      <c r="G104" s="220"/>
      <c r="H104" s="98"/>
      <c r="I104" s="96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92"/>
      <c r="AP104" s="92"/>
      <c r="AQ104" s="92"/>
      <c r="AR104" s="1"/>
      <c r="AS104" s="233"/>
      <c r="AT104" s="1"/>
      <c r="AU104" s="1"/>
      <c r="AV104" s="1"/>
      <c r="AW104" s="1"/>
      <c r="AX104" s="1"/>
      <c r="AY104" s="1"/>
      <c r="AZ104" s="1"/>
      <c r="BA104" s="1"/>
      <c r="BB104" s="1"/>
      <c r="BC104" s="102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36"/>
      <c r="BZ104" s="136"/>
      <c r="CA104" s="136"/>
      <c r="CB104" s="136"/>
      <c r="CC104" s="136"/>
      <c r="CD104" s="136"/>
      <c r="CE104" s="136"/>
      <c r="CF104" s="147"/>
      <c r="CG104" s="136"/>
      <c r="CH104" s="147"/>
      <c r="CI104" s="147"/>
      <c r="CJ104" s="136"/>
      <c r="CK104" s="136"/>
      <c r="CL104" s="136"/>
      <c r="CM104" s="136"/>
      <c r="CN104" s="136"/>
      <c r="CO104" s="136"/>
      <c r="CP104" s="136"/>
      <c r="CQ104" s="1"/>
      <c r="CR104" s="1"/>
      <c r="CS104" s="230"/>
      <c r="CT104" s="1"/>
      <c r="CU104" s="136"/>
      <c r="CV104" s="136"/>
      <c r="CW104" s="136"/>
      <c r="CX104" s="136"/>
      <c r="CY104" s="136"/>
      <c r="CZ104" s="136"/>
      <c r="DA104" s="136"/>
      <c r="DB104" s="136"/>
      <c r="DC104" s="136"/>
      <c r="DD104" s="136"/>
      <c r="DE104" s="211"/>
      <c r="DF104" s="211"/>
      <c r="DG104" s="273"/>
      <c r="DH104" s="136"/>
      <c r="DI104" s="1"/>
      <c r="DJ104" s="1"/>
      <c r="DK104" s="102"/>
      <c r="DL104" s="102"/>
      <c r="DM104" s="102"/>
      <c r="DN104" s="102"/>
      <c r="DO104" s="102"/>
      <c r="DP104" s="143"/>
      <c r="DQ104" s="143"/>
      <c r="DR104" s="143"/>
      <c r="DS104" s="102"/>
      <c r="DT104" s="1"/>
      <c r="DU104" s="1"/>
      <c r="DV104" s="1"/>
      <c r="DW104" s="99"/>
      <c r="DX104" s="1"/>
      <c r="EE104" s="1"/>
      <c r="EK104" s="98"/>
      <c r="EL104" s="98"/>
      <c r="EM104" s="98"/>
      <c r="EN104" s="98"/>
      <c r="EO104" s="98"/>
      <c r="EP104" s="238"/>
      <c r="EQ104" s="239"/>
      <c r="ER104" s="98"/>
      <c r="ES104" s="98"/>
      <c r="ET104" s="267"/>
      <c r="EU104" s="253"/>
      <c r="EV104" s="254"/>
    </row>
    <row r="105" spans="1:152" s="93" customFormat="1">
      <c r="A105" s="95"/>
      <c r="B105" s="95"/>
      <c r="D105" s="97"/>
      <c r="E105" s="97"/>
      <c r="F105" s="97"/>
      <c r="G105" s="220"/>
      <c r="H105" s="98"/>
      <c r="I105" s="96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92"/>
      <c r="AP105" s="92"/>
      <c r="AQ105" s="92"/>
      <c r="AR105" s="1"/>
      <c r="AS105" s="233"/>
      <c r="AT105" s="1"/>
      <c r="AU105" s="1"/>
      <c r="AV105" s="1"/>
      <c r="AW105" s="1"/>
      <c r="AX105" s="1"/>
      <c r="AY105" s="1"/>
      <c r="AZ105" s="1"/>
      <c r="BA105" s="1"/>
      <c r="BB105" s="1"/>
      <c r="BC105" s="102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36"/>
      <c r="BZ105" s="136"/>
      <c r="CA105" s="136"/>
      <c r="CB105" s="136"/>
      <c r="CC105" s="136"/>
      <c r="CD105" s="136"/>
      <c r="CE105" s="136"/>
      <c r="CF105" s="147"/>
      <c r="CG105" s="136"/>
      <c r="CH105" s="147"/>
      <c r="CI105" s="147"/>
      <c r="CJ105" s="136"/>
      <c r="CK105" s="136"/>
      <c r="CL105" s="136"/>
      <c r="CM105" s="136"/>
      <c r="CN105" s="136"/>
      <c r="CO105" s="136"/>
      <c r="CP105" s="136"/>
      <c r="CQ105" s="1"/>
      <c r="CR105" s="1"/>
      <c r="CS105" s="230"/>
      <c r="CT105" s="1"/>
      <c r="CU105" s="136"/>
      <c r="CV105" s="136"/>
      <c r="CW105" s="136"/>
      <c r="CX105" s="136"/>
      <c r="CY105" s="136"/>
      <c r="CZ105" s="136"/>
      <c r="DA105" s="136"/>
      <c r="DB105" s="136"/>
      <c r="DC105" s="136"/>
      <c r="DD105" s="136"/>
      <c r="DE105" s="211"/>
      <c r="DF105" s="211"/>
      <c r="DG105" s="273"/>
      <c r="DH105" s="136"/>
      <c r="DI105" s="1"/>
      <c r="DJ105" s="1"/>
      <c r="DK105" s="102"/>
      <c r="DL105" s="102"/>
      <c r="DM105" s="102"/>
      <c r="DN105" s="102"/>
      <c r="DO105" s="102"/>
      <c r="DP105" s="143"/>
      <c r="DQ105" s="143"/>
      <c r="DR105" s="143"/>
      <c r="DS105" s="102"/>
      <c r="DT105" s="1"/>
      <c r="DU105" s="1"/>
      <c r="DV105" s="1"/>
      <c r="DW105" s="99"/>
      <c r="DX105" s="1"/>
      <c r="EE105" s="1"/>
      <c r="EK105" s="98"/>
      <c r="EL105" s="98"/>
      <c r="EM105" s="98"/>
      <c r="EN105" s="98"/>
      <c r="EO105" s="98"/>
      <c r="EP105" s="238"/>
      <c r="EQ105" s="239"/>
      <c r="ER105" s="98"/>
      <c r="ES105" s="98"/>
      <c r="ET105" s="267"/>
      <c r="EU105" s="253"/>
      <c r="EV105" s="254"/>
    </row>
    <row r="106" spans="1:152" s="93" customFormat="1">
      <c r="A106" s="95"/>
      <c r="B106" s="95"/>
      <c r="D106" s="97"/>
      <c r="E106" s="97"/>
      <c r="F106" s="97"/>
      <c r="G106" s="220"/>
      <c r="H106" s="98"/>
      <c r="I106" s="96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92"/>
      <c r="AP106" s="92"/>
      <c r="AQ106" s="92"/>
      <c r="AR106" s="1"/>
      <c r="AS106" s="233"/>
      <c r="AT106" s="1"/>
      <c r="AU106" s="1"/>
      <c r="AV106" s="1"/>
      <c r="AW106" s="1"/>
      <c r="AX106" s="1"/>
      <c r="AY106" s="1"/>
      <c r="AZ106" s="1"/>
      <c r="BA106" s="1"/>
      <c r="BB106" s="1"/>
      <c r="BC106" s="102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36"/>
      <c r="BZ106" s="136"/>
      <c r="CA106" s="136"/>
      <c r="CB106" s="136"/>
      <c r="CC106" s="136"/>
      <c r="CD106" s="136"/>
      <c r="CE106" s="136"/>
      <c r="CF106" s="147"/>
      <c r="CG106" s="136"/>
      <c r="CH106" s="147"/>
      <c r="CI106" s="147"/>
      <c r="CJ106" s="136"/>
      <c r="CK106" s="136"/>
      <c r="CL106" s="136"/>
      <c r="CM106" s="136"/>
      <c r="CN106" s="136"/>
      <c r="CO106" s="136"/>
      <c r="CP106" s="136"/>
      <c r="CQ106" s="1"/>
      <c r="CR106" s="1"/>
      <c r="CS106" s="230"/>
      <c r="CT106" s="1"/>
      <c r="CU106" s="136"/>
      <c r="CV106" s="136"/>
      <c r="CW106" s="136"/>
      <c r="CX106" s="136"/>
      <c r="CY106" s="136"/>
      <c r="CZ106" s="136"/>
      <c r="DA106" s="136"/>
      <c r="DB106" s="136"/>
      <c r="DC106" s="136"/>
      <c r="DD106" s="136"/>
      <c r="DE106" s="211"/>
      <c r="DF106" s="211"/>
      <c r="DG106" s="273"/>
      <c r="DH106" s="136"/>
      <c r="DI106" s="1"/>
      <c r="DJ106" s="1"/>
      <c r="DK106" s="102"/>
      <c r="DL106" s="102"/>
      <c r="DM106" s="102"/>
      <c r="DN106" s="102"/>
      <c r="DO106" s="102"/>
      <c r="DP106" s="143"/>
      <c r="DQ106" s="143"/>
      <c r="DR106" s="143"/>
      <c r="DS106" s="102"/>
      <c r="DT106" s="1"/>
      <c r="DU106" s="1"/>
      <c r="DV106" s="1"/>
      <c r="DW106" s="99"/>
      <c r="DX106" s="1"/>
      <c r="EE106" s="1"/>
      <c r="EK106" s="98"/>
      <c r="EL106" s="98"/>
      <c r="EM106" s="98"/>
      <c r="EN106" s="98"/>
      <c r="EO106" s="98"/>
      <c r="EP106" s="238"/>
      <c r="EQ106" s="239"/>
      <c r="ER106" s="98"/>
      <c r="ES106" s="98"/>
      <c r="ET106" s="267"/>
      <c r="EU106" s="253"/>
      <c r="EV106" s="254"/>
    </row>
    <row r="107" spans="1:152" s="93" customFormat="1">
      <c r="A107" s="95"/>
      <c r="B107" s="95"/>
      <c r="D107" s="97"/>
      <c r="E107" s="97"/>
      <c r="F107" s="97"/>
      <c r="G107" s="220"/>
      <c r="H107" s="98"/>
      <c r="I107" s="96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92"/>
      <c r="AP107" s="92"/>
      <c r="AQ107" s="92"/>
      <c r="AR107" s="1"/>
      <c r="AS107" s="233"/>
      <c r="AT107" s="1"/>
      <c r="AU107" s="1"/>
      <c r="AV107" s="1"/>
      <c r="AW107" s="1"/>
      <c r="AX107" s="1"/>
      <c r="AY107" s="1"/>
      <c r="AZ107" s="1"/>
      <c r="BA107" s="1"/>
      <c r="BB107" s="1"/>
      <c r="BC107" s="102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36"/>
      <c r="BZ107" s="136"/>
      <c r="CA107" s="136"/>
      <c r="CB107" s="136"/>
      <c r="CC107" s="136"/>
      <c r="CD107" s="136"/>
      <c r="CE107" s="136"/>
      <c r="CF107" s="147"/>
      <c r="CG107" s="136"/>
      <c r="CH107" s="147"/>
      <c r="CI107" s="147"/>
      <c r="CJ107" s="136"/>
      <c r="CK107" s="136"/>
      <c r="CL107" s="136"/>
      <c r="CM107" s="136"/>
      <c r="CN107" s="136"/>
      <c r="CO107" s="136"/>
      <c r="CP107" s="136"/>
      <c r="CQ107" s="1"/>
      <c r="CR107" s="1"/>
      <c r="CS107" s="230"/>
      <c r="CT107" s="1"/>
      <c r="CU107" s="136"/>
      <c r="CV107" s="136"/>
      <c r="CW107" s="136"/>
      <c r="CX107" s="136"/>
      <c r="CY107" s="136"/>
      <c r="CZ107" s="136"/>
      <c r="DA107" s="136"/>
      <c r="DB107" s="136"/>
      <c r="DC107" s="136"/>
      <c r="DD107" s="136"/>
      <c r="DE107" s="211"/>
      <c r="DF107" s="211"/>
      <c r="DG107" s="273"/>
      <c r="DH107" s="136"/>
      <c r="DI107" s="1"/>
      <c r="DJ107" s="1"/>
      <c r="DK107" s="102"/>
      <c r="DL107" s="102"/>
      <c r="DM107" s="102"/>
      <c r="DN107" s="102"/>
      <c r="DO107" s="102"/>
      <c r="DP107" s="143"/>
      <c r="DQ107" s="143"/>
      <c r="DR107" s="143"/>
      <c r="DS107" s="102"/>
      <c r="DT107" s="1"/>
      <c r="DU107" s="1"/>
      <c r="DV107" s="1"/>
      <c r="DW107" s="99"/>
      <c r="DX107" s="1"/>
      <c r="EE107" s="1"/>
      <c r="EK107" s="98"/>
      <c r="EL107" s="98"/>
      <c r="EM107" s="98"/>
      <c r="EN107" s="98"/>
      <c r="EO107" s="98"/>
      <c r="EP107" s="238"/>
      <c r="EQ107" s="239"/>
      <c r="ER107" s="98"/>
      <c r="ES107" s="98"/>
      <c r="ET107" s="267"/>
      <c r="EU107" s="253"/>
      <c r="EV107" s="254"/>
    </row>
    <row r="108" spans="1:152" s="93" customFormat="1">
      <c r="A108" s="95"/>
      <c r="B108" s="95"/>
      <c r="D108" s="97"/>
      <c r="E108" s="97"/>
      <c r="F108" s="97"/>
      <c r="G108" s="220"/>
      <c r="H108" s="98"/>
      <c r="I108" s="96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92"/>
      <c r="AP108" s="92"/>
      <c r="AQ108" s="92"/>
      <c r="AR108" s="1"/>
      <c r="AS108" s="233"/>
      <c r="AT108" s="1"/>
      <c r="AU108" s="1"/>
      <c r="AV108" s="1"/>
      <c r="AW108" s="1"/>
      <c r="AX108" s="1"/>
      <c r="AY108" s="1"/>
      <c r="AZ108" s="1"/>
      <c r="BA108" s="1"/>
      <c r="BB108" s="1"/>
      <c r="BC108" s="102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36"/>
      <c r="BZ108" s="136"/>
      <c r="CA108" s="136"/>
      <c r="CB108" s="136"/>
      <c r="CC108" s="136"/>
      <c r="CD108" s="136"/>
      <c r="CE108" s="136"/>
      <c r="CF108" s="147"/>
      <c r="CG108" s="136"/>
      <c r="CH108" s="147"/>
      <c r="CI108" s="147"/>
      <c r="CJ108" s="136"/>
      <c r="CK108" s="136"/>
      <c r="CL108" s="136"/>
      <c r="CM108" s="136"/>
      <c r="CN108" s="136"/>
      <c r="CO108" s="136"/>
      <c r="CP108" s="136"/>
      <c r="CQ108" s="1"/>
      <c r="CR108" s="1"/>
      <c r="CS108" s="230"/>
      <c r="CT108" s="1"/>
      <c r="CU108" s="136"/>
      <c r="CV108" s="136"/>
      <c r="CW108" s="136"/>
      <c r="CX108" s="136"/>
      <c r="CY108" s="136"/>
      <c r="CZ108" s="136"/>
      <c r="DA108" s="136"/>
      <c r="DB108" s="136"/>
      <c r="DC108" s="136"/>
      <c r="DD108" s="136"/>
      <c r="DE108" s="211"/>
      <c r="DF108" s="211"/>
      <c r="DG108" s="273"/>
      <c r="DH108" s="136"/>
      <c r="DI108" s="1"/>
      <c r="DJ108" s="1"/>
      <c r="DK108" s="102"/>
      <c r="DL108" s="102"/>
      <c r="DM108" s="102"/>
      <c r="DN108" s="102"/>
      <c r="DO108" s="102"/>
      <c r="DP108" s="143"/>
      <c r="DQ108" s="143"/>
      <c r="DR108" s="143"/>
      <c r="DS108" s="102"/>
      <c r="DT108" s="1"/>
      <c r="DU108" s="1"/>
      <c r="DV108" s="1"/>
      <c r="DW108" s="99"/>
      <c r="DX108" s="1"/>
      <c r="EE108" s="1"/>
      <c r="EK108" s="98"/>
      <c r="EL108" s="98"/>
      <c r="EM108" s="98"/>
      <c r="EN108" s="98"/>
      <c r="EO108" s="98"/>
      <c r="EP108" s="238"/>
      <c r="EQ108" s="239"/>
      <c r="ER108" s="98"/>
      <c r="ES108" s="98"/>
      <c r="ET108" s="267"/>
      <c r="EU108" s="253"/>
      <c r="EV108" s="254"/>
    </row>
    <row r="109" spans="1:152" s="93" customFormat="1">
      <c r="A109" s="95"/>
      <c r="B109" s="95"/>
      <c r="D109" s="97"/>
      <c r="E109" s="97"/>
      <c r="F109" s="97"/>
      <c r="G109" s="220"/>
      <c r="H109" s="98"/>
      <c r="I109" s="96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92"/>
      <c r="AP109" s="92"/>
      <c r="AQ109" s="92"/>
      <c r="AR109" s="1"/>
      <c r="AS109" s="233"/>
      <c r="AT109" s="1"/>
      <c r="AU109" s="1"/>
      <c r="AV109" s="1"/>
      <c r="AW109" s="1"/>
      <c r="AX109" s="1"/>
      <c r="AY109" s="1"/>
      <c r="AZ109" s="1"/>
      <c r="BA109" s="1"/>
      <c r="BB109" s="1"/>
      <c r="BC109" s="102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36"/>
      <c r="BZ109" s="136"/>
      <c r="CA109" s="136"/>
      <c r="CB109" s="136"/>
      <c r="CC109" s="136"/>
      <c r="CD109" s="136"/>
      <c r="CE109" s="136"/>
      <c r="CF109" s="147"/>
      <c r="CG109" s="136"/>
      <c r="CH109" s="147"/>
      <c r="CI109" s="147"/>
      <c r="CJ109" s="136"/>
      <c r="CK109" s="136"/>
      <c r="CL109" s="136"/>
      <c r="CM109" s="136"/>
      <c r="CN109" s="136"/>
      <c r="CO109" s="136"/>
      <c r="CP109" s="136"/>
      <c r="CQ109" s="1"/>
      <c r="CR109" s="1"/>
      <c r="CS109" s="230"/>
      <c r="CT109" s="1"/>
      <c r="CU109" s="136"/>
      <c r="CV109" s="136"/>
      <c r="CW109" s="136"/>
      <c r="CX109" s="136"/>
      <c r="CY109" s="136"/>
      <c r="CZ109" s="136"/>
      <c r="DA109" s="136"/>
      <c r="DB109" s="136"/>
      <c r="DC109" s="136"/>
      <c r="DD109" s="136"/>
      <c r="DE109" s="211"/>
      <c r="DF109" s="211"/>
      <c r="DG109" s="273"/>
      <c r="DH109" s="136"/>
      <c r="DI109" s="1"/>
      <c r="DJ109" s="1"/>
      <c r="DK109" s="102"/>
      <c r="DL109" s="102"/>
      <c r="DM109" s="102"/>
      <c r="DN109" s="102"/>
      <c r="DO109" s="102"/>
      <c r="DP109" s="143"/>
      <c r="DQ109" s="143"/>
      <c r="DR109" s="143"/>
      <c r="DS109" s="102"/>
      <c r="DT109" s="1"/>
      <c r="DU109" s="1"/>
      <c r="DV109" s="1"/>
      <c r="DW109" s="99"/>
      <c r="DX109" s="1"/>
      <c r="EE109" s="1"/>
      <c r="EK109" s="98"/>
      <c r="EL109" s="98"/>
      <c r="EM109" s="98"/>
      <c r="EN109" s="98"/>
      <c r="EO109" s="98"/>
      <c r="EP109" s="238"/>
      <c r="EQ109" s="239"/>
      <c r="ER109" s="98"/>
      <c r="ES109" s="98"/>
      <c r="ET109" s="267"/>
      <c r="EU109" s="253"/>
      <c r="EV109" s="254"/>
    </row>
    <row r="110" spans="1:152" s="93" customFormat="1">
      <c r="A110" s="95"/>
      <c r="B110" s="95"/>
      <c r="D110" s="97"/>
      <c r="E110" s="97"/>
      <c r="F110" s="97"/>
      <c r="G110" s="220"/>
      <c r="H110" s="98"/>
      <c r="I110" s="96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92"/>
      <c r="AP110" s="92"/>
      <c r="AQ110" s="92"/>
      <c r="AR110" s="1"/>
      <c r="AS110" s="233"/>
      <c r="AT110" s="1"/>
      <c r="AU110" s="1"/>
      <c r="AV110" s="1"/>
      <c r="AW110" s="1"/>
      <c r="AX110" s="1"/>
      <c r="AY110" s="1"/>
      <c r="AZ110" s="1"/>
      <c r="BA110" s="1"/>
      <c r="BB110" s="1"/>
      <c r="BC110" s="102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36"/>
      <c r="BZ110" s="136"/>
      <c r="CA110" s="136"/>
      <c r="CB110" s="136"/>
      <c r="CC110" s="136"/>
      <c r="CD110" s="136"/>
      <c r="CE110" s="136"/>
      <c r="CF110" s="147"/>
      <c r="CG110" s="136"/>
      <c r="CH110" s="147"/>
      <c r="CI110" s="147"/>
      <c r="CJ110" s="136"/>
      <c r="CK110" s="136"/>
      <c r="CL110" s="136"/>
      <c r="CM110" s="136"/>
      <c r="CN110" s="136"/>
      <c r="CO110" s="136"/>
      <c r="CP110" s="136"/>
      <c r="CQ110" s="1"/>
      <c r="CR110" s="1"/>
      <c r="CS110" s="230"/>
      <c r="CT110" s="1"/>
      <c r="CU110" s="136"/>
      <c r="CV110" s="136"/>
      <c r="CW110" s="136"/>
      <c r="CX110" s="136"/>
      <c r="CY110" s="136"/>
      <c r="CZ110" s="136"/>
      <c r="DA110" s="136"/>
      <c r="DB110" s="136"/>
      <c r="DC110" s="136"/>
      <c r="DD110" s="136"/>
      <c r="DE110" s="211"/>
      <c r="DF110" s="211"/>
      <c r="DG110" s="273"/>
      <c r="DH110" s="136"/>
      <c r="DI110" s="1"/>
      <c r="DJ110" s="1"/>
      <c r="DK110" s="102"/>
      <c r="DL110" s="102"/>
      <c r="DM110" s="102"/>
      <c r="DN110" s="102"/>
      <c r="DO110" s="102"/>
      <c r="DP110" s="143"/>
      <c r="DQ110" s="143"/>
      <c r="DR110" s="143"/>
      <c r="DS110" s="102"/>
      <c r="DT110" s="1"/>
      <c r="DU110" s="1"/>
      <c r="DV110" s="1"/>
      <c r="DW110" s="99"/>
      <c r="DX110" s="1"/>
      <c r="EE110" s="1"/>
      <c r="EK110" s="98"/>
      <c r="EL110" s="98"/>
      <c r="EM110" s="98"/>
      <c r="EN110" s="98"/>
      <c r="EO110" s="98"/>
      <c r="EP110" s="238"/>
      <c r="EQ110" s="239"/>
      <c r="ER110" s="98"/>
      <c r="ES110" s="98"/>
      <c r="ET110" s="267"/>
      <c r="EU110" s="253"/>
      <c r="EV110" s="254"/>
    </row>
    <row r="111" spans="1:152" s="93" customFormat="1">
      <c r="A111" s="95"/>
      <c r="B111" s="95"/>
      <c r="D111" s="97"/>
      <c r="E111" s="97"/>
      <c r="F111" s="97"/>
      <c r="G111" s="220"/>
      <c r="H111" s="98"/>
      <c r="I111" s="96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92"/>
      <c r="AP111" s="92"/>
      <c r="AQ111" s="92"/>
      <c r="AR111" s="1"/>
      <c r="AS111" s="233"/>
      <c r="AT111" s="1"/>
      <c r="AU111" s="1"/>
      <c r="AV111" s="1"/>
      <c r="AW111" s="1"/>
      <c r="AX111" s="1"/>
      <c r="AY111" s="1"/>
      <c r="AZ111" s="1"/>
      <c r="BA111" s="1"/>
      <c r="BB111" s="1"/>
      <c r="BC111" s="102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36"/>
      <c r="BZ111" s="136"/>
      <c r="CA111" s="136"/>
      <c r="CB111" s="136"/>
      <c r="CC111" s="136"/>
      <c r="CD111" s="136"/>
      <c r="CE111" s="136"/>
      <c r="CF111" s="147"/>
      <c r="CG111" s="136"/>
      <c r="CH111" s="147"/>
      <c r="CI111" s="147"/>
      <c r="CJ111" s="136"/>
      <c r="CK111" s="136"/>
      <c r="CL111" s="136"/>
      <c r="CM111" s="136"/>
      <c r="CN111" s="136"/>
      <c r="CO111" s="136"/>
      <c r="CP111" s="136"/>
      <c r="CQ111" s="1"/>
      <c r="CR111" s="1"/>
      <c r="CS111" s="230"/>
      <c r="CT111" s="1"/>
      <c r="CU111" s="136"/>
      <c r="CV111" s="136"/>
      <c r="CW111" s="136"/>
      <c r="CX111" s="136"/>
      <c r="CY111" s="136"/>
      <c r="CZ111" s="136"/>
      <c r="DA111" s="136"/>
      <c r="DB111" s="136"/>
      <c r="DC111" s="136"/>
      <c r="DD111" s="136"/>
      <c r="DE111" s="211"/>
      <c r="DF111" s="211"/>
      <c r="DG111" s="273"/>
      <c r="DH111" s="136"/>
      <c r="DI111" s="1"/>
      <c r="DJ111" s="1"/>
      <c r="DK111" s="102"/>
      <c r="DL111" s="102"/>
      <c r="DM111" s="102"/>
      <c r="DN111" s="102"/>
      <c r="DO111" s="102"/>
      <c r="DP111" s="143"/>
      <c r="DQ111" s="143"/>
      <c r="DR111" s="143"/>
      <c r="DS111" s="102"/>
      <c r="DT111" s="1"/>
      <c r="DU111" s="1"/>
      <c r="DV111" s="1"/>
      <c r="DW111" s="99"/>
      <c r="DX111" s="1"/>
      <c r="EE111" s="1"/>
      <c r="EK111" s="98"/>
      <c r="EL111" s="98"/>
      <c r="EM111" s="98"/>
      <c r="EN111" s="98"/>
      <c r="EO111" s="98"/>
      <c r="EP111" s="238"/>
      <c r="EQ111" s="239"/>
      <c r="ER111" s="98"/>
      <c r="ES111" s="98"/>
      <c r="ET111" s="267"/>
      <c r="EU111" s="253"/>
      <c r="EV111" s="254"/>
    </row>
    <row r="112" spans="1:152" s="93" customFormat="1">
      <c r="A112" s="95"/>
      <c r="B112" s="95"/>
      <c r="D112" s="97"/>
      <c r="E112" s="97"/>
      <c r="F112" s="97"/>
      <c r="G112" s="220"/>
      <c r="H112" s="98"/>
      <c r="I112" s="96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92"/>
      <c r="AP112" s="92"/>
      <c r="AQ112" s="92"/>
      <c r="AR112" s="1"/>
      <c r="AS112" s="233"/>
      <c r="AT112" s="1"/>
      <c r="AU112" s="1"/>
      <c r="AV112" s="1"/>
      <c r="AW112" s="1"/>
      <c r="AX112" s="1"/>
      <c r="AY112" s="1"/>
      <c r="AZ112" s="1"/>
      <c r="BA112" s="1"/>
      <c r="BB112" s="1"/>
      <c r="BC112" s="102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36"/>
      <c r="BZ112" s="136"/>
      <c r="CA112" s="136"/>
      <c r="CB112" s="136"/>
      <c r="CC112" s="136"/>
      <c r="CD112" s="136"/>
      <c r="CE112" s="136"/>
      <c r="CF112" s="147"/>
      <c r="CG112" s="136"/>
      <c r="CH112" s="147"/>
      <c r="CI112" s="147"/>
      <c r="CJ112" s="136"/>
      <c r="CK112" s="136"/>
      <c r="CL112" s="136"/>
      <c r="CM112" s="136"/>
      <c r="CN112" s="136"/>
      <c r="CO112" s="136"/>
      <c r="CP112" s="136"/>
      <c r="CQ112" s="1"/>
      <c r="CR112" s="1"/>
      <c r="CS112" s="230"/>
      <c r="CT112" s="1"/>
      <c r="CU112" s="136"/>
      <c r="CV112" s="136"/>
      <c r="CW112" s="136"/>
      <c r="CX112" s="136"/>
      <c r="CY112" s="136"/>
      <c r="CZ112" s="136"/>
      <c r="DA112" s="136"/>
      <c r="DB112" s="136"/>
      <c r="DC112" s="136"/>
      <c r="DD112" s="136"/>
      <c r="DE112" s="211"/>
      <c r="DF112" s="211"/>
      <c r="DG112" s="273"/>
      <c r="DH112" s="136"/>
      <c r="DI112" s="1"/>
      <c r="DJ112" s="1"/>
      <c r="DK112" s="102"/>
      <c r="DL112" s="102"/>
      <c r="DM112" s="102"/>
      <c r="DN112" s="102"/>
      <c r="DO112" s="102"/>
      <c r="DP112" s="143"/>
      <c r="DQ112" s="143"/>
      <c r="DR112" s="143"/>
      <c r="DS112" s="102"/>
      <c r="DT112" s="1"/>
      <c r="DU112" s="1"/>
      <c r="DV112" s="1"/>
      <c r="DW112" s="99"/>
      <c r="DX112" s="1"/>
      <c r="EE112" s="1"/>
      <c r="EK112" s="98"/>
      <c r="EL112" s="98"/>
      <c r="EM112" s="98"/>
      <c r="EN112" s="98"/>
      <c r="EO112" s="98"/>
      <c r="EP112" s="238"/>
      <c r="EQ112" s="239"/>
      <c r="ER112" s="98"/>
      <c r="ES112" s="98"/>
      <c r="ET112" s="267"/>
      <c r="EU112" s="253"/>
      <c r="EV112" s="254"/>
    </row>
    <row r="113" spans="1:152" s="93" customFormat="1">
      <c r="A113" s="95"/>
      <c r="B113" s="95"/>
      <c r="D113" s="97"/>
      <c r="E113" s="97"/>
      <c r="F113" s="97"/>
      <c r="G113" s="220"/>
      <c r="H113" s="98"/>
      <c r="I113" s="96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92"/>
      <c r="AP113" s="92"/>
      <c r="AQ113" s="92"/>
      <c r="AR113" s="1"/>
      <c r="AS113" s="233"/>
      <c r="AT113" s="1"/>
      <c r="AU113" s="1"/>
      <c r="AV113" s="1"/>
      <c r="AW113" s="1"/>
      <c r="AX113" s="1"/>
      <c r="AY113" s="1"/>
      <c r="AZ113" s="1"/>
      <c r="BA113" s="1"/>
      <c r="BB113" s="1"/>
      <c r="BC113" s="102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36"/>
      <c r="BZ113" s="136"/>
      <c r="CA113" s="136"/>
      <c r="CB113" s="136"/>
      <c r="CC113" s="136"/>
      <c r="CD113" s="136"/>
      <c r="CE113" s="136"/>
      <c r="CF113" s="147"/>
      <c r="CG113" s="136"/>
      <c r="CH113" s="147"/>
      <c r="CI113" s="147"/>
      <c r="CJ113" s="136"/>
      <c r="CK113" s="136"/>
      <c r="CL113" s="136"/>
      <c r="CM113" s="136"/>
      <c r="CN113" s="136"/>
      <c r="CO113" s="136"/>
      <c r="CP113" s="136"/>
      <c r="CQ113" s="1"/>
      <c r="CR113" s="1"/>
      <c r="CS113" s="230"/>
      <c r="CT113" s="1"/>
      <c r="CU113" s="136"/>
      <c r="CV113" s="136"/>
      <c r="CW113" s="136"/>
      <c r="CX113" s="136"/>
      <c r="CY113" s="136"/>
      <c r="CZ113" s="136"/>
      <c r="DA113" s="136"/>
      <c r="DB113" s="136"/>
      <c r="DC113" s="136"/>
      <c r="DD113" s="136"/>
      <c r="DE113" s="211"/>
      <c r="DF113" s="211"/>
      <c r="DG113" s="273"/>
      <c r="DH113" s="136"/>
      <c r="DI113" s="1"/>
      <c r="DJ113" s="1"/>
      <c r="DK113" s="102"/>
      <c r="DL113" s="102"/>
      <c r="DM113" s="102"/>
      <c r="DN113" s="102"/>
      <c r="DO113" s="102"/>
      <c r="DP113" s="143"/>
      <c r="DQ113" s="143"/>
      <c r="DR113" s="143"/>
      <c r="DS113" s="102"/>
      <c r="DT113" s="1"/>
      <c r="DU113" s="1"/>
      <c r="DV113" s="1"/>
      <c r="DW113" s="99"/>
      <c r="DX113" s="1"/>
      <c r="EE113" s="1"/>
      <c r="EK113" s="98"/>
      <c r="EL113" s="98"/>
      <c r="EM113" s="98"/>
      <c r="EN113" s="98"/>
      <c r="EO113" s="98"/>
      <c r="EP113" s="238"/>
      <c r="EQ113" s="239"/>
      <c r="ER113" s="98"/>
      <c r="ES113" s="98"/>
      <c r="ET113" s="267"/>
      <c r="EU113" s="253"/>
      <c r="EV113" s="254"/>
    </row>
    <row r="114" spans="1:152" s="93" customFormat="1">
      <c r="A114" s="95"/>
      <c r="B114" s="95"/>
      <c r="D114" s="97"/>
      <c r="E114" s="97"/>
      <c r="F114" s="97"/>
      <c r="G114" s="220"/>
      <c r="H114" s="98"/>
      <c r="I114" s="96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92"/>
      <c r="AP114" s="92"/>
      <c r="AQ114" s="92"/>
      <c r="AR114" s="1"/>
      <c r="AS114" s="233"/>
      <c r="AT114" s="1"/>
      <c r="AU114" s="1"/>
      <c r="AV114" s="1"/>
      <c r="AW114" s="1"/>
      <c r="AX114" s="1"/>
      <c r="AY114" s="1"/>
      <c r="AZ114" s="1"/>
      <c r="BA114" s="1"/>
      <c r="BB114" s="1"/>
      <c r="BC114" s="102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36"/>
      <c r="BZ114" s="136"/>
      <c r="CA114" s="136"/>
      <c r="CB114" s="136"/>
      <c r="CC114" s="136"/>
      <c r="CD114" s="136"/>
      <c r="CE114" s="136"/>
      <c r="CF114" s="147"/>
      <c r="CG114" s="136"/>
      <c r="CH114" s="147"/>
      <c r="CI114" s="147"/>
      <c r="CJ114" s="136"/>
      <c r="CK114" s="136"/>
      <c r="CL114" s="136"/>
      <c r="CM114" s="136"/>
      <c r="CN114" s="136"/>
      <c r="CO114" s="136"/>
      <c r="CP114" s="136"/>
      <c r="CQ114" s="1"/>
      <c r="CR114" s="1"/>
      <c r="CS114" s="230"/>
      <c r="CT114" s="1"/>
      <c r="CU114" s="136"/>
      <c r="CV114" s="136"/>
      <c r="CW114" s="136"/>
      <c r="CX114" s="136"/>
      <c r="CY114" s="136"/>
      <c r="CZ114" s="136"/>
      <c r="DA114" s="136"/>
      <c r="DB114" s="136"/>
      <c r="DC114" s="136"/>
      <c r="DD114" s="136"/>
      <c r="DE114" s="211"/>
      <c r="DF114" s="211"/>
      <c r="DG114" s="273"/>
      <c r="DH114" s="136"/>
      <c r="DI114" s="1"/>
      <c r="DJ114" s="1"/>
      <c r="DK114" s="102"/>
      <c r="DL114" s="102"/>
      <c r="DM114" s="102"/>
      <c r="DN114" s="102"/>
      <c r="DO114" s="102"/>
      <c r="DP114" s="143"/>
      <c r="DQ114" s="143"/>
      <c r="DR114" s="143"/>
      <c r="DS114" s="102"/>
      <c r="DT114" s="1"/>
      <c r="DU114" s="1"/>
      <c r="DV114" s="1"/>
      <c r="DW114" s="99"/>
      <c r="DX114" s="1"/>
      <c r="EE114" s="1"/>
      <c r="EK114" s="98"/>
      <c r="EL114" s="98"/>
      <c r="EM114" s="98"/>
      <c r="EN114" s="98"/>
      <c r="EO114" s="98"/>
      <c r="EP114" s="238"/>
      <c r="EQ114" s="239"/>
      <c r="ER114" s="98"/>
      <c r="ES114" s="98"/>
      <c r="ET114" s="267"/>
      <c r="EU114" s="253"/>
      <c r="EV114" s="254"/>
    </row>
    <row r="115" spans="1:152" s="93" customFormat="1">
      <c r="A115" s="95"/>
      <c r="B115" s="95"/>
      <c r="D115" s="97"/>
      <c r="E115" s="97"/>
      <c r="F115" s="97"/>
      <c r="G115" s="220"/>
      <c r="H115" s="98"/>
      <c r="I115" s="96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92"/>
      <c r="AP115" s="92"/>
      <c r="AQ115" s="92"/>
      <c r="AR115" s="1"/>
      <c r="AS115" s="233"/>
      <c r="AT115" s="1"/>
      <c r="AU115" s="1"/>
      <c r="AV115" s="1"/>
      <c r="AW115" s="1"/>
      <c r="AX115" s="1"/>
      <c r="AY115" s="1"/>
      <c r="AZ115" s="1"/>
      <c r="BA115" s="1"/>
      <c r="BB115" s="1"/>
      <c r="BC115" s="102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36"/>
      <c r="BZ115" s="136"/>
      <c r="CA115" s="136"/>
      <c r="CB115" s="136"/>
      <c r="CC115" s="136"/>
      <c r="CD115" s="136"/>
      <c r="CE115" s="136"/>
      <c r="CF115" s="147"/>
      <c r="CG115" s="136"/>
      <c r="CH115" s="147"/>
      <c r="CI115" s="147"/>
      <c r="CJ115" s="136"/>
      <c r="CK115" s="136"/>
      <c r="CL115" s="136"/>
      <c r="CM115" s="136"/>
      <c r="CN115" s="136"/>
      <c r="CO115" s="136"/>
      <c r="CP115" s="136"/>
      <c r="CQ115" s="1"/>
      <c r="CR115" s="1"/>
      <c r="CS115" s="230"/>
      <c r="CT115" s="1"/>
      <c r="CU115" s="136"/>
      <c r="CV115" s="136"/>
      <c r="CW115" s="136"/>
      <c r="CX115" s="136"/>
      <c r="CY115" s="136"/>
      <c r="CZ115" s="136"/>
      <c r="DA115" s="136"/>
      <c r="DB115" s="136"/>
      <c r="DC115" s="136"/>
      <c r="DD115" s="136"/>
      <c r="DE115" s="211"/>
      <c r="DF115" s="211"/>
      <c r="DG115" s="273"/>
      <c r="DH115" s="136"/>
      <c r="DI115" s="1"/>
      <c r="DJ115" s="1"/>
      <c r="DK115" s="102"/>
      <c r="DL115" s="102"/>
      <c r="DM115" s="102"/>
      <c r="DN115" s="102"/>
      <c r="DO115" s="102"/>
      <c r="DP115" s="143"/>
      <c r="DQ115" s="143"/>
      <c r="DR115" s="143"/>
      <c r="DS115" s="102"/>
      <c r="DT115" s="1"/>
      <c r="DU115" s="1"/>
      <c r="DV115" s="1"/>
      <c r="DW115" s="99"/>
      <c r="DX115" s="1"/>
      <c r="EE115" s="1"/>
      <c r="EK115" s="98"/>
      <c r="EL115" s="98"/>
      <c r="EM115" s="98"/>
      <c r="EN115" s="98"/>
      <c r="EO115" s="98"/>
      <c r="EP115" s="238"/>
      <c r="EQ115" s="239"/>
      <c r="ER115" s="98"/>
      <c r="ES115" s="98"/>
      <c r="ET115" s="267"/>
      <c r="EU115" s="253"/>
      <c r="EV115" s="254"/>
    </row>
    <row r="116" spans="1:152" s="93" customFormat="1">
      <c r="A116" s="95"/>
      <c r="B116" s="95"/>
      <c r="D116" s="97"/>
      <c r="E116" s="97"/>
      <c r="F116" s="97"/>
      <c r="G116" s="220"/>
      <c r="H116" s="98"/>
      <c r="I116" s="96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92"/>
      <c r="AP116" s="92"/>
      <c r="AQ116" s="92"/>
      <c r="AR116" s="1"/>
      <c r="AS116" s="233"/>
      <c r="AT116" s="1"/>
      <c r="AU116" s="1"/>
      <c r="AV116" s="1"/>
      <c r="AW116" s="1"/>
      <c r="AX116" s="1"/>
      <c r="AY116" s="1"/>
      <c r="AZ116" s="1"/>
      <c r="BA116" s="1"/>
      <c r="BB116" s="1"/>
      <c r="BC116" s="102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36"/>
      <c r="BZ116" s="136"/>
      <c r="CA116" s="136"/>
      <c r="CB116" s="136"/>
      <c r="CC116" s="136"/>
      <c r="CD116" s="136"/>
      <c r="CE116" s="136"/>
      <c r="CF116" s="147"/>
      <c r="CG116" s="136"/>
      <c r="CH116" s="147"/>
      <c r="CI116" s="147"/>
      <c r="CJ116" s="136"/>
      <c r="CK116" s="136"/>
      <c r="CL116" s="136"/>
      <c r="CM116" s="136"/>
      <c r="CN116" s="136"/>
      <c r="CO116" s="136"/>
      <c r="CP116" s="136"/>
      <c r="CQ116" s="1"/>
      <c r="CR116" s="1"/>
      <c r="CS116" s="230"/>
      <c r="CT116" s="1"/>
      <c r="CU116" s="136"/>
      <c r="CV116" s="136"/>
      <c r="CW116" s="136"/>
      <c r="CX116" s="136"/>
      <c r="CY116" s="136"/>
      <c r="CZ116" s="136"/>
      <c r="DA116" s="136"/>
      <c r="DB116" s="136"/>
      <c r="DC116" s="136"/>
      <c r="DD116" s="136"/>
      <c r="DE116" s="211"/>
      <c r="DF116" s="211"/>
      <c r="DG116" s="273"/>
      <c r="DH116" s="136"/>
      <c r="DI116" s="1"/>
      <c r="DJ116" s="1"/>
      <c r="DK116" s="102"/>
      <c r="DL116" s="102"/>
      <c r="DM116" s="102"/>
      <c r="DN116" s="102"/>
      <c r="DO116" s="102"/>
      <c r="DP116" s="143"/>
      <c r="DQ116" s="143"/>
      <c r="DR116" s="143"/>
      <c r="DS116" s="102"/>
      <c r="DT116" s="1"/>
      <c r="DU116" s="1"/>
      <c r="DV116" s="1"/>
      <c r="DW116" s="99"/>
      <c r="DX116" s="1"/>
      <c r="EE116" s="1"/>
      <c r="EK116" s="98"/>
      <c r="EL116" s="98"/>
      <c r="EM116" s="98"/>
      <c r="EN116" s="98"/>
      <c r="EO116" s="98"/>
      <c r="EP116" s="238"/>
      <c r="EQ116" s="239"/>
      <c r="ER116" s="98"/>
      <c r="ES116" s="98"/>
      <c r="ET116" s="267"/>
      <c r="EU116" s="253"/>
      <c r="EV116" s="254"/>
    </row>
    <row r="117" spans="1:152" s="93" customFormat="1">
      <c r="A117" s="95"/>
      <c r="B117" s="95"/>
      <c r="D117" s="97"/>
      <c r="E117" s="97"/>
      <c r="F117" s="97"/>
      <c r="G117" s="220"/>
      <c r="H117" s="98"/>
      <c r="I117" s="96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92"/>
      <c r="AP117" s="92"/>
      <c r="AQ117" s="92"/>
      <c r="AR117" s="1"/>
      <c r="AS117" s="233"/>
      <c r="AT117" s="1"/>
      <c r="AU117" s="1"/>
      <c r="AV117" s="1"/>
      <c r="AW117" s="1"/>
      <c r="AX117" s="1"/>
      <c r="AY117" s="1"/>
      <c r="AZ117" s="1"/>
      <c r="BA117" s="1"/>
      <c r="BB117" s="1"/>
      <c r="BC117" s="102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36"/>
      <c r="BZ117" s="136"/>
      <c r="CA117" s="136"/>
      <c r="CB117" s="136"/>
      <c r="CC117" s="136"/>
      <c r="CD117" s="136"/>
      <c r="CE117" s="136"/>
      <c r="CF117" s="147"/>
      <c r="CG117" s="136"/>
      <c r="CH117" s="147"/>
      <c r="CI117" s="147"/>
      <c r="CJ117" s="136"/>
      <c r="CK117" s="136"/>
      <c r="CL117" s="136"/>
      <c r="CM117" s="136"/>
      <c r="CN117" s="136"/>
      <c r="CO117" s="136"/>
      <c r="CP117" s="136"/>
      <c r="CQ117" s="1"/>
      <c r="CR117" s="1"/>
      <c r="CS117" s="230"/>
      <c r="CT117" s="1"/>
      <c r="CU117" s="136"/>
      <c r="CV117" s="136"/>
      <c r="CW117" s="136"/>
      <c r="CX117" s="136"/>
      <c r="CY117" s="136"/>
      <c r="CZ117" s="136"/>
      <c r="DA117" s="136"/>
      <c r="DB117" s="136"/>
      <c r="DC117" s="136"/>
      <c r="DD117" s="136"/>
      <c r="DE117" s="211"/>
      <c r="DF117" s="211"/>
      <c r="DG117" s="273"/>
      <c r="DH117" s="136"/>
      <c r="DI117" s="1"/>
      <c r="DJ117" s="1"/>
      <c r="DK117" s="102"/>
      <c r="DL117" s="102"/>
      <c r="DM117" s="102"/>
      <c r="DN117" s="102"/>
      <c r="DO117" s="102"/>
      <c r="DP117" s="143"/>
      <c r="DQ117" s="143"/>
      <c r="DR117" s="143"/>
      <c r="DS117" s="102"/>
      <c r="DT117" s="1"/>
      <c r="DU117" s="1"/>
      <c r="DV117" s="1"/>
      <c r="DW117" s="99"/>
      <c r="DX117" s="1"/>
      <c r="EE117" s="1"/>
      <c r="EK117" s="98"/>
      <c r="EL117" s="98"/>
      <c r="EM117" s="98"/>
      <c r="EN117" s="98"/>
      <c r="EO117" s="98"/>
      <c r="EP117" s="238"/>
      <c r="EQ117" s="239"/>
      <c r="ER117" s="98"/>
      <c r="ES117" s="98"/>
      <c r="ET117" s="267"/>
      <c r="EU117" s="253"/>
      <c r="EV117" s="254"/>
    </row>
    <row r="118" spans="1:152" s="93" customFormat="1">
      <c r="A118" s="95"/>
      <c r="B118" s="95"/>
      <c r="D118" s="97"/>
      <c r="E118" s="97"/>
      <c r="F118" s="97"/>
      <c r="G118" s="220"/>
      <c r="H118" s="98"/>
      <c r="I118" s="96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92"/>
      <c r="AP118" s="92"/>
      <c r="AQ118" s="92"/>
      <c r="AR118" s="1"/>
      <c r="AS118" s="233"/>
      <c r="AT118" s="1"/>
      <c r="AU118" s="1"/>
      <c r="AV118" s="1"/>
      <c r="AW118" s="1"/>
      <c r="AX118" s="1"/>
      <c r="AY118" s="1"/>
      <c r="AZ118" s="1"/>
      <c r="BA118" s="1"/>
      <c r="BB118" s="1"/>
      <c r="BC118" s="102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36"/>
      <c r="BZ118" s="136"/>
      <c r="CA118" s="136"/>
      <c r="CB118" s="136"/>
      <c r="CC118" s="136"/>
      <c r="CD118" s="136"/>
      <c r="CE118" s="136"/>
      <c r="CF118" s="147"/>
      <c r="CG118" s="136"/>
      <c r="CH118" s="147"/>
      <c r="CI118" s="147"/>
      <c r="CJ118" s="136"/>
      <c r="CK118" s="136"/>
      <c r="CL118" s="136"/>
      <c r="CM118" s="136"/>
      <c r="CN118" s="136"/>
      <c r="CO118" s="136"/>
      <c r="CP118" s="136"/>
      <c r="CQ118" s="1"/>
      <c r="CR118" s="1"/>
      <c r="CS118" s="230"/>
      <c r="CT118" s="1"/>
      <c r="CU118" s="136"/>
      <c r="CV118" s="136"/>
      <c r="CW118" s="136"/>
      <c r="CX118" s="136"/>
      <c r="CY118" s="136"/>
      <c r="CZ118" s="136"/>
      <c r="DA118" s="136"/>
      <c r="DB118" s="136"/>
      <c r="DC118" s="136"/>
      <c r="DD118" s="136"/>
      <c r="DE118" s="211"/>
      <c r="DF118" s="211"/>
      <c r="DG118" s="273"/>
      <c r="DH118" s="136"/>
      <c r="DI118" s="1"/>
      <c r="DJ118" s="1"/>
      <c r="DK118" s="102"/>
      <c r="DL118" s="102"/>
      <c r="DM118" s="102"/>
      <c r="DN118" s="102"/>
      <c r="DO118" s="102"/>
      <c r="DP118" s="143"/>
      <c r="DQ118" s="143"/>
      <c r="DR118" s="143"/>
      <c r="DS118" s="102"/>
      <c r="DT118" s="1"/>
      <c r="DU118" s="1"/>
      <c r="DV118" s="1"/>
      <c r="DW118" s="99"/>
      <c r="DX118" s="1"/>
      <c r="EE118" s="1"/>
      <c r="EK118" s="98"/>
      <c r="EL118" s="98"/>
      <c r="EM118" s="98"/>
      <c r="EN118" s="98"/>
      <c r="EO118" s="98"/>
      <c r="EP118" s="238"/>
      <c r="EQ118" s="239"/>
      <c r="ER118" s="98"/>
      <c r="ES118" s="98"/>
      <c r="ET118" s="267"/>
      <c r="EU118" s="253"/>
      <c r="EV118" s="254"/>
    </row>
    <row r="119" spans="1:152" s="93" customFormat="1">
      <c r="A119" s="95"/>
      <c r="B119" s="95"/>
      <c r="D119" s="97"/>
      <c r="E119" s="97"/>
      <c r="F119" s="97"/>
      <c r="G119" s="220"/>
      <c r="H119" s="98"/>
      <c r="I119" s="96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92"/>
      <c r="AP119" s="92"/>
      <c r="AQ119" s="92"/>
      <c r="AR119" s="1"/>
      <c r="AS119" s="233"/>
      <c r="AT119" s="1"/>
      <c r="AU119" s="1"/>
      <c r="AV119" s="1"/>
      <c r="AW119" s="1"/>
      <c r="AX119" s="1"/>
      <c r="AY119" s="1"/>
      <c r="AZ119" s="1"/>
      <c r="BA119" s="1"/>
      <c r="BB119" s="1"/>
      <c r="BC119" s="102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36"/>
      <c r="BZ119" s="136"/>
      <c r="CA119" s="136"/>
      <c r="CB119" s="136"/>
      <c r="CC119" s="136"/>
      <c r="CD119" s="136"/>
      <c r="CE119" s="136"/>
      <c r="CF119" s="147"/>
      <c r="CG119" s="136"/>
      <c r="CH119" s="147"/>
      <c r="CI119" s="147"/>
      <c r="CJ119" s="136"/>
      <c r="CK119" s="136"/>
      <c r="CL119" s="136"/>
      <c r="CM119" s="136"/>
      <c r="CN119" s="136"/>
      <c r="CO119" s="136"/>
      <c r="CP119" s="136"/>
      <c r="CQ119" s="1"/>
      <c r="CR119" s="1"/>
      <c r="CS119" s="230"/>
      <c r="CT119" s="1"/>
      <c r="CU119" s="136"/>
      <c r="CV119" s="136"/>
      <c r="CW119" s="136"/>
      <c r="CX119" s="136"/>
      <c r="CY119" s="136"/>
      <c r="CZ119" s="136"/>
      <c r="DA119" s="136"/>
      <c r="DB119" s="136"/>
      <c r="DC119" s="136"/>
      <c r="DD119" s="136"/>
      <c r="DE119" s="211"/>
      <c r="DF119" s="211"/>
      <c r="DG119" s="273"/>
      <c r="DH119" s="136"/>
      <c r="DI119" s="1"/>
      <c r="DJ119" s="1"/>
      <c r="DK119" s="102"/>
      <c r="DL119" s="102"/>
      <c r="DM119" s="102"/>
      <c r="DN119" s="102"/>
      <c r="DO119" s="102"/>
      <c r="DP119" s="143"/>
      <c r="DQ119" s="143"/>
      <c r="DR119" s="143"/>
      <c r="DS119" s="102"/>
      <c r="DT119" s="1"/>
      <c r="DU119" s="1"/>
      <c r="DV119" s="1"/>
      <c r="DW119" s="99"/>
      <c r="DX119" s="1"/>
      <c r="EE119" s="1"/>
      <c r="EK119" s="98"/>
      <c r="EL119" s="98"/>
      <c r="EM119" s="98"/>
      <c r="EN119" s="98"/>
      <c r="EO119" s="98"/>
      <c r="EP119" s="238"/>
      <c r="EQ119" s="239"/>
      <c r="ER119" s="98"/>
      <c r="ES119" s="98"/>
      <c r="ET119" s="267"/>
      <c r="EU119" s="253"/>
      <c r="EV119" s="254"/>
    </row>
    <row r="120" spans="1:152" s="93" customFormat="1">
      <c r="A120" s="95"/>
      <c r="B120" s="95"/>
      <c r="D120" s="97"/>
      <c r="E120" s="97"/>
      <c r="F120" s="97"/>
      <c r="G120" s="220"/>
      <c r="H120" s="98"/>
      <c r="I120" s="96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92"/>
      <c r="AP120" s="92"/>
      <c r="AQ120" s="92"/>
      <c r="AR120" s="1"/>
      <c r="AS120" s="233"/>
      <c r="AT120" s="1"/>
      <c r="AU120" s="1"/>
      <c r="AV120" s="1"/>
      <c r="AW120" s="1"/>
      <c r="AX120" s="1"/>
      <c r="AY120" s="1"/>
      <c r="AZ120" s="1"/>
      <c r="BA120" s="1"/>
      <c r="BB120" s="1"/>
      <c r="BC120" s="102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36"/>
      <c r="BZ120" s="136"/>
      <c r="CA120" s="136"/>
      <c r="CB120" s="136"/>
      <c r="CC120" s="136"/>
      <c r="CD120" s="136"/>
      <c r="CE120" s="136"/>
      <c r="CF120" s="147"/>
      <c r="CG120" s="136"/>
      <c r="CH120" s="147"/>
      <c r="CI120" s="147"/>
      <c r="CJ120" s="136"/>
      <c r="CK120" s="136"/>
      <c r="CL120" s="136"/>
      <c r="CM120" s="136"/>
      <c r="CN120" s="136"/>
      <c r="CO120" s="136"/>
      <c r="CP120" s="136"/>
      <c r="CQ120" s="1"/>
      <c r="CR120" s="1"/>
      <c r="CS120" s="230"/>
      <c r="CT120" s="1"/>
      <c r="CU120" s="136"/>
      <c r="CV120" s="136"/>
      <c r="CW120" s="136"/>
      <c r="CX120" s="136"/>
      <c r="CY120" s="136"/>
      <c r="CZ120" s="136"/>
      <c r="DA120" s="136"/>
      <c r="DB120" s="136"/>
      <c r="DC120" s="136"/>
      <c r="DD120" s="136"/>
      <c r="DE120" s="211"/>
      <c r="DF120" s="211"/>
      <c r="DG120" s="273"/>
      <c r="DH120" s="136"/>
      <c r="DI120" s="1"/>
      <c r="DJ120" s="1"/>
      <c r="DK120" s="102"/>
      <c r="DL120" s="102"/>
      <c r="DM120" s="102"/>
      <c r="DN120" s="102"/>
      <c r="DO120" s="102"/>
      <c r="DP120" s="143"/>
      <c r="DQ120" s="143"/>
      <c r="DR120" s="143"/>
      <c r="DS120" s="102"/>
      <c r="DT120" s="1"/>
      <c r="DU120" s="1"/>
      <c r="DV120" s="1"/>
      <c r="DW120" s="99"/>
      <c r="DX120" s="1"/>
      <c r="EE120" s="1"/>
      <c r="EK120" s="98"/>
      <c r="EL120" s="98"/>
      <c r="EM120" s="98"/>
      <c r="EN120" s="98"/>
      <c r="EO120" s="98"/>
      <c r="EP120" s="238"/>
      <c r="EQ120" s="239"/>
      <c r="ER120" s="98"/>
      <c r="ES120" s="98"/>
      <c r="ET120" s="267"/>
      <c r="EU120" s="253"/>
      <c r="EV120" s="254"/>
    </row>
    <row r="121" spans="1:152" s="93" customFormat="1">
      <c r="A121" s="95"/>
      <c r="B121" s="95"/>
      <c r="D121" s="97"/>
      <c r="E121" s="97"/>
      <c r="F121" s="97"/>
      <c r="G121" s="220"/>
      <c r="H121" s="98"/>
      <c r="I121" s="96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92"/>
      <c r="AP121" s="92"/>
      <c r="AQ121" s="92"/>
      <c r="AR121" s="1"/>
      <c r="AS121" s="233"/>
      <c r="AT121" s="1"/>
      <c r="AU121" s="1"/>
      <c r="AV121" s="1"/>
      <c r="AW121" s="1"/>
      <c r="AX121" s="1"/>
      <c r="AY121" s="1"/>
      <c r="AZ121" s="1"/>
      <c r="BA121" s="1"/>
      <c r="BB121" s="1"/>
      <c r="BC121" s="102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36"/>
      <c r="BZ121" s="136"/>
      <c r="CA121" s="136"/>
      <c r="CB121" s="136"/>
      <c r="CC121" s="136"/>
      <c r="CD121" s="136"/>
      <c r="CE121" s="136"/>
      <c r="CF121" s="147"/>
      <c r="CG121" s="136"/>
      <c r="CH121" s="147"/>
      <c r="CI121" s="147"/>
      <c r="CJ121" s="136"/>
      <c r="CK121" s="136"/>
      <c r="CL121" s="136"/>
      <c r="CM121" s="136"/>
      <c r="CN121" s="136"/>
      <c r="CO121" s="136"/>
      <c r="CP121" s="136"/>
      <c r="CQ121" s="1"/>
      <c r="CR121" s="1"/>
      <c r="CS121" s="230"/>
      <c r="CT121" s="1"/>
      <c r="CU121" s="136"/>
      <c r="CV121" s="136"/>
      <c r="CW121" s="136"/>
      <c r="CX121" s="136"/>
      <c r="CY121" s="136"/>
      <c r="CZ121" s="136"/>
      <c r="DA121" s="136"/>
      <c r="DB121" s="136"/>
      <c r="DC121" s="136"/>
      <c r="DD121" s="136"/>
      <c r="DE121" s="211"/>
      <c r="DF121" s="211"/>
      <c r="DG121" s="273"/>
      <c r="DH121" s="136"/>
      <c r="DI121" s="1"/>
      <c r="DJ121" s="1"/>
      <c r="DK121" s="102"/>
      <c r="DL121" s="102"/>
      <c r="DM121" s="102"/>
      <c r="DN121" s="102"/>
      <c r="DO121" s="102"/>
      <c r="DP121" s="143"/>
      <c r="DQ121" s="143"/>
      <c r="DR121" s="143"/>
      <c r="DS121" s="102"/>
      <c r="DT121" s="1"/>
      <c r="DU121" s="1"/>
      <c r="DV121" s="1"/>
      <c r="DW121" s="99"/>
      <c r="DX121" s="1"/>
      <c r="EE121" s="1"/>
      <c r="EK121" s="98"/>
      <c r="EL121" s="98"/>
      <c r="EM121" s="98"/>
      <c r="EN121" s="98"/>
      <c r="EO121" s="98"/>
      <c r="EP121" s="238"/>
      <c r="EQ121" s="239"/>
      <c r="ER121" s="98"/>
      <c r="ES121" s="98"/>
      <c r="ET121" s="267"/>
      <c r="EU121" s="253"/>
      <c r="EV121" s="254"/>
    </row>
    <row r="122" spans="1:152" s="93" customFormat="1">
      <c r="A122" s="95"/>
      <c r="B122" s="95"/>
      <c r="D122" s="97"/>
      <c r="E122" s="97"/>
      <c r="F122" s="97"/>
      <c r="G122" s="220"/>
      <c r="H122" s="98"/>
      <c r="I122" s="96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92"/>
      <c r="AP122" s="92"/>
      <c r="AQ122" s="92"/>
      <c r="AR122" s="1"/>
      <c r="AS122" s="233"/>
      <c r="AT122" s="1"/>
      <c r="AU122" s="1"/>
      <c r="AV122" s="1"/>
      <c r="AW122" s="1"/>
      <c r="AX122" s="1"/>
      <c r="AY122" s="1"/>
      <c r="AZ122" s="1"/>
      <c r="BA122" s="1"/>
      <c r="BB122" s="1"/>
      <c r="BC122" s="102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36"/>
      <c r="BZ122" s="136"/>
      <c r="CA122" s="136"/>
      <c r="CB122" s="136"/>
      <c r="CC122" s="136"/>
      <c r="CD122" s="136"/>
      <c r="CE122" s="136"/>
      <c r="CF122" s="147"/>
      <c r="CG122" s="136"/>
      <c r="CH122" s="147"/>
      <c r="CI122" s="147"/>
      <c r="CJ122" s="136"/>
      <c r="CK122" s="136"/>
      <c r="CL122" s="136"/>
      <c r="CM122" s="136"/>
      <c r="CN122" s="136"/>
      <c r="CO122" s="136"/>
      <c r="CP122" s="136"/>
      <c r="CQ122" s="1"/>
      <c r="CR122" s="1"/>
      <c r="CS122" s="230"/>
      <c r="CT122" s="1"/>
      <c r="CU122" s="136"/>
      <c r="CV122" s="136"/>
      <c r="CW122" s="136"/>
      <c r="CX122" s="136"/>
      <c r="CY122" s="136"/>
      <c r="CZ122" s="136"/>
      <c r="DA122" s="136"/>
      <c r="DB122" s="136"/>
      <c r="DC122" s="136"/>
      <c r="DD122" s="136"/>
      <c r="DE122" s="211"/>
      <c r="DF122" s="211"/>
      <c r="DG122" s="273"/>
      <c r="DH122" s="136"/>
      <c r="DI122" s="1"/>
      <c r="DJ122" s="1"/>
      <c r="DK122" s="102"/>
      <c r="DL122" s="102"/>
      <c r="DM122" s="102"/>
      <c r="DN122" s="102"/>
      <c r="DO122" s="102"/>
      <c r="DP122" s="143"/>
      <c r="DQ122" s="143"/>
      <c r="DR122" s="143"/>
      <c r="DS122" s="102"/>
      <c r="DT122" s="1"/>
      <c r="DU122" s="1"/>
      <c r="DV122" s="1"/>
      <c r="DW122" s="99"/>
      <c r="DX122" s="1"/>
      <c r="EE122" s="1"/>
      <c r="EK122" s="98"/>
      <c r="EL122" s="98"/>
      <c r="EM122" s="98"/>
      <c r="EN122" s="98"/>
      <c r="EO122" s="98"/>
      <c r="EP122" s="238"/>
      <c r="EQ122" s="239"/>
      <c r="ER122" s="98"/>
      <c r="ES122" s="98"/>
      <c r="ET122" s="267"/>
      <c r="EU122" s="253"/>
      <c r="EV122" s="254"/>
    </row>
    <row r="123" spans="1:152" s="93" customFormat="1">
      <c r="A123" s="95"/>
      <c r="B123" s="95"/>
      <c r="D123" s="97"/>
      <c r="E123" s="97"/>
      <c r="F123" s="97"/>
      <c r="G123" s="220"/>
      <c r="H123" s="98"/>
      <c r="I123" s="96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92"/>
      <c r="AP123" s="92"/>
      <c r="AQ123" s="92"/>
      <c r="AR123" s="1"/>
      <c r="AS123" s="233"/>
      <c r="AT123" s="1"/>
      <c r="AU123" s="1"/>
      <c r="AV123" s="1"/>
      <c r="AW123" s="1"/>
      <c r="AX123" s="1"/>
      <c r="AY123" s="1"/>
      <c r="AZ123" s="1"/>
      <c r="BA123" s="1"/>
      <c r="BB123" s="1"/>
      <c r="BC123" s="102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36"/>
      <c r="BZ123" s="136"/>
      <c r="CA123" s="136"/>
      <c r="CB123" s="136"/>
      <c r="CC123" s="136"/>
      <c r="CD123" s="136"/>
      <c r="CE123" s="136"/>
      <c r="CF123" s="147"/>
      <c r="CG123" s="136"/>
      <c r="CH123" s="147"/>
      <c r="CI123" s="147"/>
      <c r="CJ123" s="136"/>
      <c r="CK123" s="136"/>
      <c r="CL123" s="136"/>
      <c r="CM123" s="136"/>
      <c r="CN123" s="136"/>
      <c r="CO123" s="136"/>
      <c r="CP123" s="136"/>
      <c r="CQ123" s="1"/>
      <c r="CR123" s="1"/>
      <c r="CS123" s="230"/>
      <c r="CT123" s="1"/>
      <c r="CU123" s="136"/>
      <c r="CV123" s="136"/>
      <c r="CW123" s="136"/>
      <c r="CX123" s="136"/>
      <c r="CY123" s="136"/>
      <c r="CZ123" s="136"/>
      <c r="DA123" s="136"/>
      <c r="DB123" s="136"/>
      <c r="DC123" s="136"/>
      <c r="DD123" s="136"/>
      <c r="DE123" s="211"/>
      <c r="DF123" s="211"/>
      <c r="DG123" s="273"/>
      <c r="DH123" s="136"/>
      <c r="DI123" s="1"/>
      <c r="DJ123" s="1"/>
      <c r="DK123" s="102"/>
      <c r="DL123" s="102"/>
      <c r="DM123" s="102"/>
      <c r="DN123" s="102"/>
      <c r="DO123" s="102"/>
      <c r="DP123" s="143"/>
      <c r="DQ123" s="143"/>
      <c r="DR123" s="143"/>
      <c r="DS123" s="102"/>
      <c r="DT123" s="1"/>
      <c r="DU123" s="1"/>
      <c r="DV123" s="1"/>
      <c r="DW123" s="99"/>
      <c r="DX123" s="1"/>
      <c r="EE123" s="1"/>
      <c r="EK123" s="98"/>
      <c r="EL123" s="98"/>
      <c r="EM123" s="98"/>
      <c r="EN123" s="98"/>
      <c r="EO123" s="98"/>
      <c r="EP123" s="238"/>
      <c r="EQ123" s="239"/>
      <c r="ER123" s="98"/>
      <c r="ES123" s="98"/>
      <c r="ET123" s="267"/>
      <c r="EU123" s="253"/>
      <c r="EV123" s="254"/>
    </row>
    <row r="124" spans="1:152" s="93" customFormat="1">
      <c r="A124" s="95"/>
      <c r="B124" s="95"/>
      <c r="D124" s="97"/>
      <c r="E124" s="97"/>
      <c r="F124" s="97"/>
      <c r="G124" s="220"/>
      <c r="H124" s="98"/>
      <c r="I124" s="96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92"/>
      <c r="AP124" s="92"/>
      <c r="AQ124" s="92"/>
      <c r="AR124" s="1"/>
      <c r="AS124" s="233"/>
      <c r="AT124" s="1"/>
      <c r="AU124" s="1"/>
      <c r="AV124" s="1"/>
      <c r="AW124" s="1"/>
      <c r="AX124" s="1"/>
      <c r="AY124" s="1"/>
      <c r="AZ124" s="1"/>
      <c r="BA124" s="1"/>
      <c r="BB124" s="1"/>
      <c r="BC124" s="102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36"/>
      <c r="BZ124" s="136"/>
      <c r="CA124" s="136"/>
      <c r="CB124" s="136"/>
      <c r="CC124" s="136"/>
      <c r="CD124" s="136"/>
      <c r="CE124" s="136"/>
      <c r="CF124" s="147"/>
      <c r="CG124" s="136"/>
      <c r="CH124" s="147"/>
      <c r="CI124" s="147"/>
      <c r="CJ124" s="136"/>
      <c r="CK124" s="136"/>
      <c r="CL124" s="136"/>
      <c r="CM124" s="136"/>
      <c r="CN124" s="136"/>
      <c r="CO124" s="136"/>
      <c r="CP124" s="136"/>
      <c r="CQ124" s="1"/>
      <c r="CR124" s="1"/>
      <c r="CS124" s="230"/>
      <c r="CT124" s="1"/>
      <c r="CU124" s="136"/>
      <c r="CV124" s="136"/>
      <c r="CW124" s="136"/>
      <c r="CX124" s="136"/>
      <c r="CY124" s="136"/>
      <c r="CZ124" s="136"/>
      <c r="DA124" s="136"/>
      <c r="DB124" s="136"/>
      <c r="DC124" s="136"/>
      <c r="DD124" s="136"/>
      <c r="DE124" s="211"/>
      <c r="DF124" s="211"/>
      <c r="DG124" s="273"/>
      <c r="DH124" s="136"/>
      <c r="DI124" s="1"/>
      <c r="DJ124" s="1"/>
      <c r="DK124" s="102"/>
      <c r="DL124" s="102"/>
      <c r="DM124" s="102"/>
      <c r="DN124" s="102"/>
      <c r="DO124" s="102"/>
      <c r="DP124" s="143"/>
      <c r="DQ124" s="143"/>
      <c r="DR124" s="143"/>
      <c r="DS124" s="102"/>
      <c r="DT124" s="1"/>
      <c r="DU124" s="1"/>
      <c r="DV124" s="1"/>
      <c r="DW124" s="99"/>
      <c r="DX124" s="1"/>
      <c r="EE124" s="1"/>
      <c r="EK124" s="98"/>
      <c r="EL124" s="98"/>
      <c r="EM124" s="98"/>
      <c r="EN124" s="98"/>
      <c r="EO124" s="98"/>
      <c r="EP124" s="238"/>
      <c r="EQ124" s="239"/>
      <c r="ER124" s="98"/>
      <c r="ES124" s="98"/>
      <c r="ET124" s="267"/>
      <c r="EU124" s="253"/>
      <c r="EV124" s="254"/>
    </row>
    <row r="125" spans="1:152" s="93" customFormat="1">
      <c r="A125" s="95"/>
      <c r="B125" s="95"/>
      <c r="D125" s="97"/>
      <c r="E125" s="97"/>
      <c r="F125" s="97"/>
      <c r="G125" s="220"/>
      <c r="H125" s="98"/>
      <c r="I125" s="96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92"/>
      <c r="AP125" s="92"/>
      <c r="AQ125" s="92"/>
      <c r="AR125" s="1"/>
      <c r="AS125" s="233"/>
      <c r="AT125" s="1"/>
      <c r="AU125" s="1"/>
      <c r="AV125" s="1"/>
      <c r="AW125" s="1"/>
      <c r="AX125" s="1"/>
      <c r="AY125" s="1"/>
      <c r="AZ125" s="1"/>
      <c r="BA125" s="1"/>
      <c r="BB125" s="1"/>
      <c r="BC125" s="102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36"/>
      <c r="BZ125" s="136"/>
      <c r="CA125" s="136"/>
      <c r="CB125" s="136"/>
      <c r="CC125" s="136"/>
      <c r="CD125" s="136"/>
      <c r="CE125" s="136"/>
      <c r="CF125" s="147"/>
      <c r="CG125" s="136"/>
      <c r="CH125" s="147"/>
      <c r="CI125" s="147"/>
      <c r="CJ125" s="136"/>
      <c r="CK125" s="136"/>
      <c r="CL125" s="136"/>
      <c r="CM125" s="136"/>
      <c r="CN125" s="136"/>
      <c r="CO125" s="136"/>
      <c r="CP125" s="136"/>
      <c r="CQ125" s="1"/>
      <c r="CR125" s="1"/>
      <c r="CS125" s="230"/>
      <c r="CT125" s="1"/>
      <c r="CU125" s="136"/>
      <c r="CV125" s="136"/>
      <c r="CW125" s="136"/>
      <c r="CX125" s="136"/>
      <c r="CY125" s="136"/>
      <c r="CZ125" s="136"/>
      <c r="DA125" s="136"/>
      <c r="DB125" s="136"/>
      <c r="DC125" s="136"/>
      <c r="DD125" s="136"/>
      <c r="DE125" s="211"/>
      <c r="DF125" s="211"/>
      <c r="DG125" s="273"/>
      <c r="DH125" s="136"/>
      <c r="DI125" s="1"/>
      <c r="DJ125" s="1"/>
      <c r="DK125" s="102"/>
      <c r="DL125" s="102"/>
      <c r="DM125" s="102"/>
      <c r="DN125" s="102"/>
      <c r="DO125" s="102"/>
      <c r="DP125" s="143"/>
      <c r="DQ125" s="143"/>
      <c r="DR125" s="143"/>
      <c r="DS125" s="102"/>
      <c r="DT125" s="1"/>
      <c r="DU125" s="1"/>
      <c r="DV125" s="1"/>
      <c r="DW125" s="99"/>
      <c r="DX125" s="1"/>
      <c r="EE125" s="1"/>
      <c r="EK125" s="98"/>
      <c r="EL125" s="98"/>
      <c r="EM125" s="98"/>
      <c r="EN125" s="98"/>
      <c r="EO125" s="98"/>
      <c r="EP125" s="238"/>
      <c r="EQ125" s="239"/>
      <c r="ER125" s="98"/>
      <c r="ES125" s="98"/>
      <c r="ET125" s="267"/>
      <c r="EU125" s="253"/>
      <c r="EV125" s="254"/>
    </row>
    <row r="126" spans="1:152" s="93" customFormat="1">
      <c r="A126" s="95"/>
      <c r="B126" s="95"/>
      <c r="D126" s="97"/>
      <c r="E126" s="97"/>
      <c r="F126" s="97"/>
      <c r="G126" s="220"/>
      <c r="H126" s="98"/>
      <c r="I126" s="96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92"/>
      <c r="AP126" s="92"/>
      <c r="AQ126" s="92"/>
      <c r="AR126" s="1"/>
      <c r="AS126" s="233"/>
      <c r="AT126" s="1"/>
      <c r="AU126" s="1"/>
      <c r="AV126" s="1"/>
      <c r="AW126" s="1"/>
      <c r="AX126" s="1"/>
      <c r="AY126" s="1"/>
      <c r="AZ126" s="1"/>
      <c r="BA126" s="1"/>
      <c r="BB126" s="1"/>
      <c r="BC126" s="102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36"/>
      <c r="BZ126" s="136"/>
      <c r="CA126" s="136"/>
      <c r="CB126" s="136"/>
      <c r="CC126" s="136"/>
      <c r="CD126" s="136"/>
      <c r="CE126" s="136"/>
      <c r="CF126" s="147"/>
      <c r="CG126" s="136"/>
      <c r="CH126" s="147"/>
      <c r="CI126" s="147"/>
      <c r="CJ126" s="136"/>
      <c r="CK126" s="136"/>
      <c r="CL126" s="136"/>
      <c r="CM126" s="136"/>
      <c r="CN126" s="136"/>
      <c r="CO126" s="136"/>
      <c r="CP126" s="136"/>
      <c r="CQ126" s="1"/>
      <c r="CR126" s="1"/>
      <c r="CS126" s="230"/>
      <c r="CT126" s="1"/>
      <c r="CU126" s="136"/>
      <c r="CV126" s="136"/>
      <c r="CW126" s="136"/>
      <c r="CX126" s="136"/>
      <c r="CY126" s="136"/>
      <c r="CZ126" s="136"/>
      <c r="DA126" s="136"/>
      <c r="DB126" s="136"/>
      <c r="DC126" s="136"/>
      <c r="DD126" s="136"/>
      <c r="DE126" s="211"/>
      <c r="DF126" s="211"/>
      <c r="DG126" s="273"/>
      <c r="DH126" s="136"/>
      <c r="DI126" s="1"/>
      <c r="DJ126" s="1"/>
      <c r="DK126" s="102"/>
      <c r="DL126" s="102"/>
      <c r="DM126" s="102"/>
      <c r="DN126" s="102"/>
      <c r="DO126" s="102"/>
      <c r="DP126" s="143"/>
      <c r="DQ126" s="143"/>
      <c r="DR126" s="143"/>
      <c r="DS126" s="102"/>
      <c r="DT126" s="1"/>
      <c r="DU126" s="1"/>
      <c r="DV126" s="1"/>
      <c r="DW126" s="99"/>
      <c r="DX126" s="1"/>
      <c r="EE126" s="1"/>
      <c r="EK126" s="98"/>
      <c r="EL126" s="98"/>
      <c r="EM126" s="98"/>
      <c r="EN126" s="98"/>
      <c r="EO126" s="98"/>
      <c r="EP126" s="238"/>
      <c r="EQ126" s="239"/>
      <c r="ER126" s="98"/>
      <c r="ES126" s="98"/>
      <c r="ET126" s="267"/>
      <c r="EU126" s="253"/>
      <c r="EV126" s="254"/>
    </row>
    <row r="127" spans="1:152" s="93" customFormat="1">
      <c r="A127" s="95"/>
      <c r="B127" s="95"/>
      <c r="D127" s="97"/>
      <c r="E127" s="97"/>
      <c r="F127" s="97"/>
      <c r="G127" s="220"/>
      <c r="H127" s="98"/>
      <c r="I127" s="96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92"/>
      <c r="AP127" s="92"/>
      <c r="AQ127" s="92"/>
      <c r="AR127" s="1"/>
      <c r="AS127" s="233"/>
      <c r="AT127" s="1"/>
      <c r="AU127" s="1"/>
      <c r="AV127" s="1"/>
      <c r="AW127" s="1"/>
      <c r="AX127" s="1"/>
      <c r="AY127" s="1"/>
      <c r="AZ127" s="1"/>
      <c r="BA127" s="1"/>
      <c r="BB127" s="1"/>
      <c r="BC127" s="102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36"/>
      <c r="BZ127" s="136"/>
      <c r="CA127" s="136"/>
      <c r="CB127" s="136"/>
      <c r="CC127" s="136"/>
      <c r="CD127" s="136"/>
      <c r="CE127" s="136"/>
      <c r="CF127" s="147"/>
      <c r="CG127" s="136"/>
      <c r="CH127" s="147"/>
      <c r="CI127" s="147"/>
      <c r="CJ127" s="136"/>
      <c r="CK127" s="136"/>
      <c r="CL127" s="136"/>
      <c r="CM127" s="136"/>
      <c r="CN127" s="136"/>
      <c r="CO127" s="136"/>
      <c r="CP127" s="136"/>
      <c r="CQ127" s="1"/>
      <c r="CR127" s="1"/>
      <c r="CS127" s="230"/>
      <c r="CT127" s="1"/>
      <c r="CU127" s="136"/>
      <c r="CV127" s="136"/>
      <c r="CW127" s="136"/>
      <c r="CX127" s="136"/>
      <c r="CY127" s="136"/>
      <c r="CZ127" s="136"/>
      <c r="DA127" s="136"/>
      <c r="DB127" s="136"/>
      <c r="DC127" s="136"/>
      <c r="DD127" s="136"/>
      <c r="DE127" s="211"/>
      <c r="DF127" s="211"/>
      <c r="DG127" s="273"/>
      <c r="DH127" s="136"/>
      <c r="DI127" s="1"/>
      <c r="DJ127" s="1"/>
      <c r="DK127" s="102"/>
      <c r="DL127" s="102"/>
      <c r="DM127" s="102"/>
      <c r="DN127" s="102"/>
      <c r="DO127" s="102"/>
      <c r="DP127" s="143"/>
      <c r="DQ127" s="143"/>
      <c r="DR127" s="143"/>
      <c r="DS127" s="102"/>
      <c r="DT127" s="1"/>
      <c r="DU127" s="1"/>
      <c r="DV127" s="1"/>
      <c r="DW127" s="99"/>
      <c r="DX127" s="1"/>
      <c r="EE127" s="1"/>
      <c r="EK127" s="98"/>
      <c r="EL127" s="98"/>
      <c r="EM127" s="98"/>
      <c r="EN127" s="98"/>
      <c r="EO127" s="98"/>
      <c r="EP127" s="238"/>
      <c r="EQ127" s="239"/>
      <c r="ER127" s="98"/>
      <c r="ES127" s="98"/>
      <c r="ET127" s="267"/>
      <c r="EU127" s="253"/>
      <c r="EV127" s="254"/>
    </row>
    <row r="128" spans="1:152" s="93" customFormat="1">
      <c r="A128" s="95"/>
      <c r="B128" s="95"/>
      <c r="D128" s="97"/>
      <c r="E128" s="97"/>
      <c r="F128" s="97"/>
      <c r="G128" s="220"/>
      <c r="H128" s="98"/>
      <c r="I128" s="96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92"/>
      <c r="AP128" s="92"/>
      <c r="AQ128" s="92"/>
      <c r="AR128" s="1"/>
      <c r="AS128" s="233"/>
      <c r="AT128" s="1"/>
      <c r="AU128" s="1"/>
      <c r="AV128" s="1"/>
      <c r="AW128" s="1"/>
      <c r="AX128" s="1"/>
      <c r="AY128" s="1"/>
      <c r="AZ128" s="1"/>
      <c r="BA128" s="1"/>
      <c r="BB128" s="1"/>
      <c r="BC128" s="102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36"/>
      <c r="BZ128" s="136"/>
      <c r="CA128" s="136"/>
      <c r="CB128" s="136"/>
      <c r="CC128" s="136"/>
      <c r="CD128" s="136"/>
      <c r="CE128" s="136"/>
      <c r="CF128" s="147"/>
      <c r="CG128" s="136"/>
      <c r="CH128" s="147"/>
      <c r="CI128" s="147"/>
      <c r="CJ128" s="136"/>
      <c r="CK128" s="136"/>
      <c r="CL128" s="136"/>
      <c r="CM128" s="136"/>
      <c r="CN128" s="136"/>
      <c r="CO128" s="136"/>
      <c r="CP128" s="136"/>
      <c r="CQ128" s="1"/>
      <c r="CR128" s="1"/>
      <c r="CS128" s="230"/>
      <c r="CT128" s="1"/>
      <c r="CU128" s="136"/>
      <c r="CV128" s="136"/>
      <c r="CW128" s="136"/>
      <c r="CX128" s="136"/>
      <c r="CY128" s="136"/>
      <c r="CZ128" s="136"/>
      <c r="DA128" s="136"/>
      <c r="DB128" s="136"/>
      <c r="DC128" s="136"/>
      <c r="DD128" s="136"/>
      <c r="DE128" s="211"/>
      <c r="DF128" s="211"/>
      <c r="DG128" s="273"/>
      <c r="DH128" s="136"/>
      <c r="DI128" s="1"/>
      <c r="DJ128" s="1"/>
      <c r="DK128" s="102"/>
      <c r="DL128" s="102"/>
      <c r="DM128" s="102"/>
      <c r="DN128" s="102"/>
      <c r="DO128" s="102"/>
      <c r="DP128" s="143"/>
      <c r="DQ128" s="143"/>
      <c r="DR128" s="143"/>
      <c r="DS128" s="102"/>
      <c r="DT128" s="1"/>
      <c r="DU128" s="1"/>
      <c r="DV128" s="1"/>
      <c r="DW128" s="99"/>
      <c r="DX128" s="1"/>
      <c r="EE128" s="1"/>
      <c r="EK128" s="98"/>
      <c r="EL128" s="98"/>
      <c r="EM128" s="98"/>
      <c r="EN128" s="98"/>
      <c r="EO128" s="98"/>
      <c r="EP128" s="238"/>
      <c r="EQ128" s="239"/>
      <c r="ER128" s="98"/>
      <c r="ES128" s="98"/>
      <c r="ET128" s="267"/>
      <c r="EU128" s="253"/>
      <c r="EV128" s="254"/>
    </row>
    <row r="129" spans="1:152" s="93" customFormat="1">
      <c r="A129" s="95"/>
      <c r="B129" s="95"/>
      <c r="D129" s="97"/>
      <c r="E129" s="97"/>
      <c r="F129" s="97"/>
      <c r="G129" s="220"/>
      <c r="H129" s="98"/>
      <c r="I129" s="96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92"/>
      <c r="AP129" s="92"/>
      <c r="AQ129" s="92"/>
      <c r="AR129" s="1"/>
      <c r="AS129" s="233"/>
      <c r="AT129" s="1"/>
      <c r="AU129" s="1"/>
      <c r="AV129" s="1"/>
      <c r="AW129" s="1"/>
      <c r="AX129" s="1"/>
      <c r="AY129" s="1"/>
      <c r="AZ129" s="1"/>
      <c r="BA129" s="1"/>
      <c r="BB129" s="1"/>
      <c r="BC129" s="102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36"/>
      <c r="BZ129" s="136"/>
      <c r="CA129" s="136"/>
      <c r="CB129" s="136"/>
      <c r="CC129" s="136"/>
      <c r="CD129" s="136"/>
      <c r="CE129" s="136"/>
      <c r="CF129" s="147"/>
      <c r="CG129" s="136"/>
      <c r="CH129" s="147"/>
      <c r="CI129" s="147"/>
      <c r="CJ129" s="136"/>
      <c r="CK129" s="136"/>
      <c r="CL129" s="136"/>
      <c r="CM129" s="136"/>
      <c r="CN129" s="136"/>
      <c r="CO129" s="136"/>
      <c r="CP129" s="136"/>
      <c r="CQ129" s="1"/>
      <c r="CR129" s="1"/>
      <c r="CS129" s="230"/>
      <c r="CT129" s="1"/>
      <c r="CU129" s="136"/>
      <c r="CV129" s="136"/>
      <c r="CW129" s="136"/>
      <c r="CX129" s="136"/>
      <c r="CY129" s="136"/>
      <c r="CZ129" s="136"/>
      <c r="DA129" s="136"/>
      <c r="DB129" s="136"/>
      <c r="DC129" s="136"/>
      <c r="DD129" s="136"/>
      <c r="DE129" s="211"/>
      <c r="DF129" s="211"/>
      <c r="DG129" s="273"/>
      <c r="DH129" s="136"/>
      <c r="DI129" s="1"/>
      <c r="DJ129" s="1"/>
      <c r="DK129" s="102"/>
      <c r="DL129" s="102"/>
      <c r="DM129" s="102"/>
      <c r="DN129" s="102"/>
      <c r="DO129" s="102"/>
      <c r="DP129" s="143"/>
      <c r="DQ129" s="143"/>
      <c r="DR129" s="143"/>
      <c r="DS129" s="102"/>
      <c r="DT129" s="1"/>
      <c r="DU129" s="1"/>
      <c r="DV129" s="1"/>
      <c r="DW129" s="99"/>
      <c r="DX129" s="1"/>
      <c r="EE129" s="1"/>
      <c r="EK129" s="98"/>
      <c r="EL129" s="98"/>
      <c r="EM129" s="98"/>
      <c r="EN129" s="98"/>
      <c r="EO129" s="98"/>
      <c r="EP129" s="238"/>
      <c r="EQ129" s="239"/>
      <c r="ER129" s="98"/>
      <c r="ES129" s="98"/>
      <c r="ET129" s="267"/>
      <c r="EU129" s="253"/>
      <c r="EV129" s="254"/>
    </row>
    <row r="130" spans="1:152" s="93" customFormat="1">
      <c r="A130" s="95"/>
      <c r="B130" s="95"/>
      <c r="D130" s="97"/>
      <c r="E130" s="97"/>
      <c r="F130" s="97"/>
      <c r="G130" s="220"/>
      <c r="H130" s="98"/>
      <c r="I130" s="96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92"/>
      <c r="AP130" s="92"/>
      <c r="AQ130" s="92"/>
      <c r="AR130" s="1"/>
      <c r="AS130" s="233"/>
      <c r="AT130" s="1"/>
      <c r="AU130" s="1"/>
      <c r="AV130" s="1"/>
      <c r="AW130" s="1"/>
      <c r="AX130" s="1"/>
      <c r="AY130" s="1"/>
      <c r="AZ130" s="1"/>
      <c r="BA130" s="1"/>
      <c r="BB130" s="1"/>
      <c r="BC130" s="102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36"/>
      <c r="BZ130" s="136"/>
      <c r="CA130" s="136"/>
      <c r="CB130" s="136"/>
      <c r="CC130" s="136"/>
      <c r="CD130" s="136"/>
      <c r="CE130" s="136"/>
      <c r="CF130" s="147"/>
      <c r="CG130" s="136"/>
      <c r="CH130" s="147"/>
      <c r="CI130" s="147"/>
      <c r="CJ130" s="136"/>
      <c r="CK130" s="136"/>
      <c r="CL130" s="136"/>
      <c r="CM130" s="136"/>
      <c r="CN130" s="136"/>
      <c r="CO130" s="136"/>
      <c r="CP130" s="136"/>
      <c r="CQ130" s="1"/>
      <c r="CR130" s="1"/>
      <c r="CS130" s="230"/>
      <c r="CT130" s="1"/>
      <c r="CU130" s="136"/>
      <c r="CV130" s="136"/>
      <c r="CW130" s="136"/>
      <c r="CX130" s="136"/>
      <c r="CY130" s="136"/>
      <c r="CZ130" s="136"/>
      <c r="DA130" s="136"/>
      <c r="DB130" s="136"/>
      <c r="DC130" s="136"/>
      <c r="DD130" s="136"/>
      <c r="DE130" s="211"/>
      <c r="DF130" s="211"/>
      <c r="DG130" s="273"/>
      <c r="DH130" s="136"/>
      <c r="DI130" s="1"/>
      <c r="DJ130" s="1"/>
      <c r="DK130" s="102"/>
      <c r="DL130" s="102"/>
      <c r="DM130" s="102"/>
      <c r="DN130" s="102"/>
      <c r="DO130" s="102"/>
      <c r="DP130" s="143"/>
      <c r="DQ130" s="143"/>
      <c r="DR130" s="143"/>
      <c r="DS130" s="102"/>
      <c r="DT130" s="1"/>
      <c r="DU130" s="1"/>
      <c r="DV130" s="1"/>
      <c r="DW130" s="99"/>
      <c r="DX130" s="1"/>
      <c r="EE130" s="1"/>
      <c r="EK130" s="98"/>
      <c r="EL130" s="98"/>
      <c r="EM130" s="98"/>
      <c r="EN130" s="98"/>
      <c r="EO130" s="98"/>
      <c r="EP130" s="238"/>
      <c r="EQ130" s="239"/>
      <c r="ER130" s="98"/>
      <c r="ES130" s="98"/>
      <c r="ET130" s="267"/>
      <c r="EU130" s="253"/>
      <c r="EV130" s="254"/>
    </row>
    <row r="131" spans="1:152" s="93" customFormat="1">
      <c r="A131" s="95"/>
      <c r="B131" s="95"/>
      <c r="D131" s="97"/>
      <c r="E131" s="97"/>
      <c r="F131" s="97"/>
      <c r="G131" s="220"/>
      <c r="H131" s="98"/>
      <c r="I131" s="96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92"/>
      <c r="AP131" s="92"/>
      <c r="AQ131" s="92"/>
      <c r="AR131" s="1"/>
      <c r="AS131" s="233"/>
      <c r="AT131" s="1"/>
      <c r="AU131" s="1"/>
      <c r="AV131" s="1"/>
      <c r="AW131" s="1"/>
      <c r="AX131" s="1"/>
      <c r="AY131" s="1"/>
      <c r="AZ131" s="1"/>
      <c r="BA131" s="1"/>
      <c r="BB131" s="1"/>
      <c r="BC131" s="102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36"/>
      <c r="BZ131" s="136"/>
      <c r="CA131" s="136"/>
      <c r="CB131" s="136"/>
      <c r="CC131" s="136"/>
      <c r="CD131" s="136"/>
      <c r="CE131" s="136"/>
      <c r="CF131" s="147"/>
      <c r="CG131" s="136"/>
      <c r="CH131" s="147"/>
      <c r="CI131" s="147"/>
      <c r="CJ131" s="136"/>
      <c r="CK131" s="136"/>
      <c r="CL131" s="136"/>
      <c r="CM131" s="136"/>
      <c r="CN131" s="136"/>
      <c r="CO131" s="136"/>
      <c r="CP131" s="136"/>
      <c r="CQ131" s="1"/>
      <c r="CR131" s="1"/>
      <c r="CS131" s="230"/>
      <c r="CT131" s="1"/>
      <c r="CU131" s="136"/>
      <c r="CV131" s="136"/>
      <c r="CW131" s="136"/>
      <c r="CX131" s="136"/>
      <c r="CY131" s="136"/>
      <c r="CZ131" s="136"/>
      <c r="DA131" s="136"/>
      <c r="DB131" s="136"/>
      <c r="DC131" s="136"/>
      <c r="DD131" s="136"/>
      <c r="DE131" s="211"/>
      <c r="DF131" s="211"/>
      <c r="DG131" s="273"/>
      <c r="DH131" s="136"/>
      <c r="DI131" s="1"/>
      <c r="DJ131" s="1"/>
      <c r="DK131" s="102"/>
      <c r="DL131" s="102"/>
      <c r="DM131" s="102"/>
      <c r="DN131" s="102"/>
      <c r="DO131" s="102"/>
      <c r="DP131" s="143"/>
      <c r="DQ131" s="143"/>
      <c r="DR131" s="143"/>
      <c r="DS131" s="102"/>
      <c r="DT131" s="1"/>
      <c r="DU131" s="1"/>
      <c r="DV131" s="1"/>
      <c r="DW131" s="99"/>
      <c r="DX131" s="1"/>
      <c r="EE131" s="1"/>
      <c r="EK131" s="98"/>
      <c r="EL131" s="98"/>
      <c r="EM131" s="98"/>
      <c r="EN131" s="98"/>
      <c r="EO131" s="98"/>
      <c r="EP131" s="238"/>
      <c r="EQ131" s="239"/>
      <c r="ER131" s="98"/>
      <c r="ES131" s="98"/>
      <c r="ET131" s="267"/>
      <c r="EU131" s="253"/>
      <c r="EV131" s="254"/>
    </row>
    <row r="132" spans="1:152" s="93" customFormat="1">
      <c r="A132" s="95"/>
      <c r="B132" s="95"/>
      <c r="D132" s="97"/>
      <c r="E132" s="97"/>
      <c r="F132" s="97"/>
      <c r="G132" s="220"/>
      <c r="H132" s="98"/>
      <c r="I132" s="96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92"/>
      <c r="AP132" s="92"/>
      <c r="AQ132" s="92"/>
      <c r="AR132" s="1"/>
      <c r="AS132" s="233"/>
      <c r="AT132" s="1"/>
      <c r="AU132" s="1"/>
      <c r="AV132" s="1"/>
      <c r="AW132" s="1"/>
      <c r="AX132" s="1"/>
      <c r="AY132" s="1"/>
      <c r="AZ132" s="1"/>
      <c r="BA132" s="1"/>
      <c r="BB132" s="1"/>
      <c r="BC132" s="102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36"/>
      <c r="BZ132" s="136"/>
      <c r="CA132" s="136"/>
      <c r="CB132" s="136"/>
      <c r="CC132" s="136"/>
      <c r="CD132" s="136"/>
      <c r="CE132" s="136"/>
      <c r="CF132" s="147"/>
      <c r="CG132" s="136"/>
      <c r="CH132" s="147"/>
      <c r="CI132" s="147"/>
      <c r="CJ132" s="136"/>
      <c r="CK132" s="136"/>
      <c r="CL132" s="136"/>
      <c r="CM132" s="136"/>
      <c r="CN132" s="136"/>
      <c r="CO132" s="136"/>
      <c r="CP132" s="136"/>
      <c r="CQ132" s="1"/>
      <c r="CR132" s="1"/>
      <c r="CS132" s="230"/>
      <c r="CT132" s="1"/>
      <c r="CU132" s="136"/>
      <c r="CV132" s="136"/>
      <c r="CW132" s="136"/>
      <c r="CX132" s="136"/>
      <c r="CY132" s="136"/>
      <c r="CZ132" s="136"/>
      <c r="DA132" s="136"/>
      <c r="DB132" s="136"/>
      <c r="DC132" s="136"/>
      <c r="DD132" s="136"/>
      <c r="DE132" s="211"/>
      <c r="DF132" s="211"/>
      <c r="DG132" s="273"/>
      <c r="DH132" s="136"/>
      <c r="DI132" s="1"/>
      <c r="DJ132" s="1"/>
      <c r="DK132" s="102"/>
      <c r="DL132" s="102"/>
      <c r="DM132" s="102"/>
      <c r="DN132" s="102"/>
      <c r="DO132" s="102"/>
      <c r="DP132" s="143"/>
      <c r="DQ132" s="143"/>
      <c r="DR132" s="143"/>
      <c r="DS132" s="102"/>
      <c r="DT132" s="1"/>
      <c r="DU132" s="1"/>
      <c r="DV132" s="1"/>
      <c r="DW132" s="99"/>
      <c r="DX132" s="1"/>
      <c r="EE132" s="1"/>
      <c r="EK132" s="98"/>
      <c r="EL132" s="98"/>
      <c r="EM132" s="98"/>
      <c r="EN132" s="98"/>
      <c r="EO132" s="98"/>
      <c r="EP132" s="238"/>
      <c r="EQ132" s="239"/>
      <c r="ER132" s="98"/>
      <c r="ES132" s="98"/>
      <c r="ET132" s="267"/>
      <c r="EU132" s="253"/>
      <c r="EV132" s="254"/>
    </row>
    <row r="133" spans="1:152" s="93" customFormat="1">
      <c r="A133" s="95"/>
      <c r="B133" s="95"/>
      <c r="D133" s="97"/>
      <c r="E133" s="97"/>
      <c r="F133" s="97"/>
      <c r="G133" s="220"/>
      <c r="H133" s="98"/>
      <c r="I133" s="96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92"/>
      <c r="AP133" s="92"/>
      <c r="AQ133" s="92"/>
      <c r="AR133" s="1"/>
      <c r="AS133" s="233"/>
      <c r="AT133" s="1"/>
      <c r="AU133" s="1"/>
      <c r="AV133" s="1"/>
      <c r="AW133" s="1"/>
      <c r="AX133" s="1"/>
      <c r="AY133" s="1"/>
      <c r="AZ133" s="1"/>
      <c r="BA133" s="1"/>
      <c r="BB133" s="1"/>
      <c r="BC133" s="102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36"/>
      <c r="BZ133" s="136"/>
      <c r="CA133" s="136"/>
      <c r="CB133" s="136"/>
      <c r="CC133" s="136"/>
      <c r="CD133" s="136"/>
      <c r="CE133" s="136"/>
      <c r="CF133" s="147"/>
      <c r="CG133" s="136"/>
      <c r="CH133" s="147"/>
      <c r="CI133" s="147"/>
      <c r="CJ133" s="136"/>
      <c r="CK133" s="136"/>
      <c r="CL133" s="136"/>
      <c r="CM133" s="136"/>
      <c r="CN133" s="136"/>
      <c r="CO133" s="136"/>
      <c r="CP133" s="136"/>
      <c r="CQ133" s="1"/>
      <c r="CR133" s="1"/>
      <c r="CS133" s="230"/>
      <c r="CT133" s="1"/>
      <c r="CU133" s="136"/>
      <c r="CV133" s="136"/>
      <c r="CW133" s="136"/>
      <c r="CX133" s="136"/>
      <c r="CY133" s="136"/>
      <c r="CZ133" s="136"/>
      <c r="DA133" s="136"/>
      <c r="DB133" s="136"/>
      <c r="DC133" s="136"/>
      <c r="DD133" s="136"/>
      <c r="DE133" s="211"/>
      <c r="DF133" s="211"/>
      <c r="DG133" s="273"/>
      <c r="DH133" s="136"/>
      <c r="DI133" s="1"/>
      <c r="DJ133" s="1"/>
      <c r="DK133" s="102"/>
      <c r="DL133" s="102"/>
      <c r="DM133" s="102"/>
      <c r="DN133" s="102"/>
      <c r="DO133" s="102"/>
      <c r="DP133" s="143"/>
      <c r="DQ133" s="143"/>
      <c r="DR133" s="143"/>
      <c r="DS133" s="102"/>
      <c r="DT133" s="1"/>
      <c r="DU133" s="1"/>
      <c r="DV133" s="1"/>
      <c r="DW133" s="99"/>
      <c r="DX133" s="1"/>
      <c r="EE133" s="1"/>
      <c r="EK133" s="98"/>
      <c r="EL133" s="98"/>
      <c r="EM133" s="98"/>
      <c r="EN133" s="98"/>
      <c r="EO133" s="98"/>
      <c r="EP133" s="238"/>
      <c r="EQ133" s="239"/>
      <c r="ER133" s="98"/>
      <c r="ES133" s="98"/>
      <c r="ET133" s="267"/>
      <c r="EU133" s="253"/>
      <c r="EV133" s="254"/>
    </row>
    <row r="134" spans="1:152" s="93" customFormat="1">
      <c r="A134" s="95"/>
      <c r="B134" s="95"/>
      <c r="D134" s="97"/>
      <c r="E134" s="97"/>
      <c r="F134" s="97"/>
      <c r="G134" s="220"/>
      <c r="H134" s="98"/>
      <c r="I134" s="96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92"/>
      <c r="AP134" s="92"/>
      <c r="AQ134" s="92"/>
      <c r="AR134" s="1"/>
      <c r="AS134" s="233"/>
      <c r="AT134" s="1"/>
      <c r="AU134" s="1"/>
      <c r="AV134" s="1"/>
      <c r="AW134" s="1"/>
      <c r="AX134" s="1"/>
      <c r="AY134" s="1"/>
      <c r="AZ134" s="1"/>
      <c r="BA134" s="1"/>
      <c r="BB134" s="1"/>
      <c r="BC134" s="102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36"/>
      <c r="BZ134" s="136"/>
      <c r="CA134" s="136"/>
      <c r="CB134" s="136"/>
      <c r="CC134" s="136"/>
      <c r="CD134" s="136"/>
      <c r="CE134" s="136"/>
      <c r="CF134" s="147"/>
      <c r="CG134" s="136"/>
      <c r="CH134" s="147"/>
      <c r="CI134" s="147"/>
      <c r="CJ134" s="136"/>
      <c r="CK134" s="136"/>
      <c r="CL134" s="136"/>
      <c r="CM134" s="136"/>
      <c r="CN134" s="136"/>
      <c r="CO134" s="136"/>
      <c r="CP134" s="136"/>
      <c r="CQ134" s="1"/>
      <c r="CR134" s="1"/>
      <c r="CS134" s="230"/>
      <c r="CT134" s="1"/>
      <c r="CU134" s="136"/>
      <c r="CV134" s="136"/>
      <c r="CW134" s="136"/>
      <c r="CX134" s="136"/>
      <c r="CY134" s="136"/>
      <c r="CZ134" s="136"/>
      <c r="DA134" s="136"/>
      <c r="DB134" s="136"/>
      <c r="DC134" s="136"/>
      <c r="DD134" s="136"/>
      <c r="DE134" s="211"/>
      <c r="DF134" s="211"/>
      <c r="DG134" s="273"/>
      <c r="DH134" s="136"/>
      <c r="DI134" s="1"/>
      <c r="DJ134" s="1"/>
      <c r="DK134" s="102"/>
      <c r="DL134" s="102"/>
      <c r="DM134" s="102"/>
      <c r="DN134" s="102"/>
      <c r="DO134" s="102"/>
      <c r="DP134" s="143"/>
      <c r="DQ134" s="143"/>
      <c r="DR134" s="143"/>
      <c r="DS134" s="102"/>
      <c r="DT134" s="1"/>
      <c r="DU134" s="1"/>
      <c r="DV134" s="1"/>
      <c r="DW134" s="99"/>
      <c r="DX134" s="1"/>
      <c r="EE134" s="1"/>
      <c r="EK134" s="98"/>
      <c r="EL134" s="98"/>
      <c r="EM134" s="98"/>
      <c r="EN134" s="98"/>
      <c r="EO134" s="98"/>
      <c r="EP134" s="238"/>
      <c r="EQ134" s="239"/>
      <c r="ER134" s="98"/>
      <c r="ES134" s="98"/>
      <c r="ET134" s="267"/>
      <c r="EU134" s="253"/>
      <c r="EV134" s="254"/>
    </row>
    <row r="135" spans="1:152" s="93" customFormat="1">
      <c r="A135" s="95"/>
      <c r="B135" s="95"/>
      <c r="D135" s="97"/>
      <c r="E135" s="97"/>
      <c r="F135" s="97"/>
      <c r="G135" s="220"/>
      <c r="H135" s="98"/>
      <c r="I135" s="96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92"/>
      <c r="AP135" s="92"/>
      <c r="AQ135" s="92"/>
      <c r="AR135" s="1"/>
      <c r="AS135" s="233"/>
      <c r="AT135" s="1"/>
      <c r="AU135" s="1"/>
      <c r="AV135" s="1"/>
      <c r="AW135" s="1"/>
      <c r="AX135" s="1"/>
      <c r="AY135" s="1"/>
      <c r="AZ135" s="1"/>
      <c r="BA135" s="1"/>
      <c r="BB135" s="1"/>
      <c r="BC135" s="102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36"/>
      <c r="BZ135" s="136"/>
      <c r="CA135" s="136"/>
      <c r="CB135" s="136"/>
      <c r="CC135" s="136"/>
      <c r="CD135" s="136"/>
      <c r="CE135" s="136"/>
      <c r="CF135" s="147"/>
      <c r="CG135" s="136"/>
      <c r="CH135" s="147"/>
      <c r="CI135" s="147"/>
      <c r="CJ135" s="136"/>
      <c r="CK135" s="136"/>
      <c r="CL135" s="136"/>
      <c r="CM135" s="136"/>
      <c r="CN135" s="136"/>
      <c r="CO135" s="136"/>
      <c r="CP135" s="136"/>
      <c r="CQ135" s="1"/>
      <c r="CR135" s="1"/>
      <c r="CS135" s="230"/>
      <c r="CT135" s="1"/>
      <c r="CU135" s="136"/>
      <c r="CV135" s="136"/>
      <c r="CW135" s="136"/>
      <c r="CX135" s="136"/>
      <c r="CY135" s="136"/>
      <c r="CZ135" s="136"/>
      <c r="DA135" s="136"/>
      <c r="DB135" s="136"/>
      <c r="DC135" s="136"/>
      <c r="DD135" s="136"/>
      <c r="DE135" s="211"/>
      <c r="DF135" s="211"/>
      <c r="DG135" s="273"/>
      <c r="DH135" s="136"/>
      <c r="DI135" s="1"/>
      <c r="DJ135" s="1"/>
      <c r="DK135" s="102"/>
      <c r="DL135" s="102"/>
      <c r="DM135" s="102"/>
      <c r="DN135" s="102"/>
      <c r="DO135" s="102"/>
      <c r="DP135" s="143"/>
      <c r="DQ135" s="143"/>
      <c r="DR135" s="143"/>
      <c r="DS135" s="102"/>
      <c r="DT135" s="1"/>
      <c r="DU135" s="1"/>
      <c r="DV135" s="1"/>
      <c r="DW135" s="99"/>
      <c r="DX135" s="1"/>
      <c r="EE135" s="1"/>
      <c r="EK135" s="98"/>
      <c r="EL135" s="98"/>
      <c r="EM135" s="98"/>
      <c r="EN135" s="98"/>
      <c r="EO135" s="98"/>
      <c r="EP135" s="238"/>
      <c r="EQ135" s="239"/>
      <c r="ER135" s="98"/>
      <c r="ES135" s="98"/>
      <c r="ET135" s="267"/>
      <c r="EU135" s="253"/>
      <c r="EV135" s="254"/>
    </row>
    <row r="136" spans="1:152" s="93" customFormat="1">
      <c r="A136" s="95"/>
      <c r="B136" s="95"/>
      <c r="D136" s="97"/>
      <c r="E136" s="97"/>
      <c r="F136" s="97"/>
      <c r="G136" s="220"/>
      <c r="H136" s="98"/>
      <c r="I136" s="96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92"/>
      <c r="AP136" s="92"/>
      <c r="AQ136" s="92"/>
      <c r="AR136" s="1"/>
      <c r="AS136" s="233"/>
      <c r="AT136" s="1"/>
      <c r="AU136" s="1"/>
      <c r="AV136" s="1"/>
      <c r="AW136" s="1"/>
      <c r="AX136" s="1"/>
      <c r="AY136" s="1"/>
      <c r="AZ136" s="1"/>
      <c r="BA136" s="1"/>
      <c r="BB136" s="1"/>
      <c r="BC136" s="102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36"/>
      <c r="BZ136" s="136"/>
      <c r="CA136" s="136"/>
      <c r="CB136" s="136"/>
      <c r="CC136" s="136"/>
      <c r="CD136" s="136"/>
      <c r="CE136" s="136"/>
      <c r="CF136" s="147"/>
      <c r="CG136" s="136"/>
      <c r="CH136" s="147"/>
      <c r="CI136" s="147"/>
      <c r="CJ136" s="136"/>
      <c r="CK136" s="136"/>
      <c r="CL136" s="136"/>
      <c r="CM136" s="136"/>
      <c r="CN136" s="136"/>
      <c r="CO136" s="136"/>
      <c r="CP136" s="136"/>
      <c r="CQ136" s="1"/>
      <c r="CR136" s="1"/>
      <c r="CS136" s="230"/>
      <c r="CT136" s="1"/>
      <c r="CU136" s="136"/>
      <c r="CV136" s="136"/>
      <c r="CW136" s="136"/>
      <c r="CX136" s="136"/>
      <c r="CY136" s="136"/>
      <c r="CZ136" s="136"/>
      <c r="DA136" s="136"/>
      <c r="DB136" s="136"/>
      <c r="DC136" s="136"/>
      <c r="DD136" s="136"/>
      <c r="DE136" s="211"/>
      <c r="DF136" s="211"/>
      <c r="DG136" s="273"/>
      <c r="DH136" s="136"/>
      <c r="DI136" s="1"/>
      <c r="DJ136" s="1"/>
      <c r="DK136" s="102"/>
      <c r="DL136" s="102"/>
      <c r="DM136" s="102"/>
      <c r="DN136" s="102"/>
      <c r="DO136" s="102"/>
      <c r="DP136" s="143"/>
      <c r="DQ136" s="143"/>
      <c r="DR136" s="143"/>
      <c r="DS136" s="102"/>
      <c r="DT136" s="1"/>
      <c r="DU136" s="1"/>
      <c r="DV136" s="1"/>
      <c r="DW136" s="99"/>
      <c r="DX136" s="1"/>
      <c r="EE136" s="1"/>
      <c r="EK136" s="98"/>
      <c r="EL136" s="98"/>
      <c r="EM136" s="98"/>
      <c r="EN136" s="98"/>
      <c r="EO136" s="98"/>
      <c r="EP136" s="238"/>
      <c r="EQ136" s="239"/>
      <c r="ER136" s="98"/>
      <c r="ES136" s="98"/>
      <c r="ET136" s="267"/>
      <c r="EU136" s="253"/>
      <c r="EV136" s="254"/>
    </row>
    <row r="137" spans="1:152" s="93" customFormat="1">
      <c r="A137" s="95"/>
      <c r="B137" s="95"/>
      <c r="D137" s="97"/>
      <c r="E137" s="97"/>
      <c r="F137" s="97"/>
      <c r="G137" s="220"/>
      <c r="H137" s="98"/>
      <c r="I137" s="96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92"/>
      <c r="AP137" s="92"/>
      <c r="AQ137" s="92"/>
      <c r="AR137" s="1"/>
      <c r="AS137" s="233"/>
      <c r="AT137" s="1"/>
      <c r="AU137" s="1"/>
      <c r="AV137" s="1"/>
      <c r="AW137" s="1"/>
      <c r="AX137" s="1"/>
      <c r="AY137" s="1"/>
      <c r="AZ137" s="1"/>
      <c r="BA137" s="1"/>
      <c r="BB137" s="1"/>
      <c r="BC137" s="102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36"/>
      <c r="BZ137" s="136"/>
      <c r="CA137" s="136"/>
      <c r="CB137" s="136"/>
      <c r="CC137" s="136"/>
      <c r="CD137" s="136"/>
      <c r="CE137" s="136"/>
      <c r="CF137" s="147"/>
      <c r="CG137" s="136"/>
      <c r="CH137" s="147"/>
      <c r="CI137" s="147"/>
      <c r="CJ137" s="136"/>
      <c r="CK137" s="136"/>
      <c r="CL137" s="136"/>
      <c r="CM137" s="136"/>
      <c r="CN137" s="136"/>
      <c r="CO137" s="136"/>
      <c r="CP137" s="136"/>
      <c r="CQ137" s="1"/>
      <c r="CR137" s="1"/>
      <c r="CS137" s="230"/>
      <c r="CT137" s="1"/>
      <c r="CU137" s="136"/>
      <c r="CV137" s="136"/>
      <c r="CW137" s="136"/>
      <c r="CX137" s="136"/>
      <c r="CY137" s="136"/>
      <c r="CZ137" s="136"/>
      <c r="DA137" s="136"/>
      <c r="DB137" s="136"/>
      <c r="DC137" s="136"/>
      <c r="DD137" s="136"/>
      <c r="DE137" s="211"/>
      <c r="DF137" s="211"/>
      <c r="DG137" s="273"/>
      <c r="DH137" s="136"/>
      <c r="DI137" s="1"/>
      <c r="DJ137" s="1"/>
      <c r="DK137" s="102"/>
      <c r="DL137" s="102"/>
      <c r="DM137" s="102"/>
      <c r="DN137" s="102"/>
      <c r="DO137" s="102"/>
      <c r="DP137" s="143"/>
      <c r="DQ137" s="143"/>
      <c r="DR137" s="143"/>
      <c r="DS137" s="102"/>
      <c r="DT137" s="1"/>
      <c r="DU137" s="1"/>
      <c r="DV137" s="1"/>
      <c r="DW137" s="99"/>
      <c r="DX137" s="1"/>
      <c r="EE137" s="1"/>
      <c r="EK137" s="98"/>
      <c r="EL137" s="98"/>
      <c r="EM137" s="98"/>
      <c r="EN137" s="98"/>
      <c r="EO137" s="98"/>
      <c r="EP137" s="238"/>
      <c r="EQ137" s="239"/>
      <c r="ER137" s="98"/>
      <c r="ES137" s="98"/>
      <c r="ET137" s="267"/>
      <c r="EU137" s="253"/>
      <c r="EV137" s="254"/>
    </row>
    <row r="138" spans="1:152" s="93" customFormat="1">
      <c r="A138" s="95"/>
      <c r="B138" s="95"/>
      <c r="D138" s="97"/>
      <c r="E138" s="97"/>
      <c r="F138" s="97"/>
      <c r="G138" s="220"/>
      <c r="H138" s="98"/>
      <c r="I138" s="96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92"/>
      <c r="AP138" s="92"/>
      <c r="AQ138" s="92"/>
      <c r="AR138" s="1"/>
      <c r="AS138" s="233"/>
      <c r="AT138" s="1"/>
      <c r="AU138" s="1"/>
      <c r="AV138" s="1"/>
      <c r="AW138" s="1"/>
      <c r="AX138" s="1"/>
      <c r="AY138" s="1"/>
      <c r="AZ138" s="1"/>
      <c r="BA138" s="1"/>
      <c r="BB138" s="1"/>
      <c r="BC138" s="102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36"/>
      <c r="BZ138" s="136"/>
      <c r="CA138" s="136"/>
      <c r="CB138" s="136"/>
      <c r="CC138" s="136"/>
      <c r="CD138" s="136"/>
      <c r="CE138" s="136"/>
      <c r="CF138" s="147"/>
      <c r="CG138" s="136"/>
      <c r="CH138" s="147"/>
      <c r="CI138" s="147"/>
      <c r="CJ138" s="136"/>
      <c r="CK138" s="136"/>
      <c r="CL138" s="136"/>
      <c r="CM138" s="136"/>
      <c r="CN138" s="136"/>
      <c r="CO138" s="136"/>
      <c r="CP138" s="136"/>
      <c r="CQ138" s="1"/>
      <c r="CR138" s="1"/>
      <c r="CS138" s="230"/>
      <c r="CT138" s="1"/>
      <c r="CU138" s="136"/>
      <c r="CV138" s="136"/>
      <c r="CW138" s="136"/>
      <c r="CX138" s="136"/>
      <c r="CY138" s="136"/>
      <c r="CZ138" s="136"/>
      <c r="DA138" s="136"/>
      <c r="DB138" s="136"/>
      <c r="DC138" s="136"/>
      <c r="DD138" s="136"/>
      <c r="DE138" s="211"/>
      <c r="DF138" s="211"/>
      <c r="DG138" s="273"/>
      <c r="DH138" s="136"/>
      <c r="DI138" s="1"/>
      <c r="DJ138" s="1"/>
      <c r="DK138" s="102"/>
      <c r="DL138" s="102"/>
      <c r="DM138" s="102"/>
      <c r="DN138" s="102"/>
      <c r="DO138" s="102"/>
      <c r="DP138" s="143"/>
      <c r="DQ138" s="143"/>
      <c r="DR138" s="143"/>
      <c r="DS138" s="102"/>
      <c r="DT138" s="1"/>
      <c r="DU138" s="1"/>
      <c r="DV138" s="1"/>
      <c r="DW138" s="99"/>
      <c r="DX138" s="1"/>
      <c r="EE138" s="1"/>
      <c r="EK138" s="98"/>
      <c r="EL138" s="98"/>
      <c r="EM138" s="98"/>
      <c r="EN138" s="98"/>
      <c r="EO138" s="98"/>
      <c r="EP138" s="238"/>
      <c r="EQ138" s="239"/>
      <c r="ER138" s="98"/>
      <c r="ES138" s="98"/>
      <c r="ET138" s="267"/>
      <c r="EU138" s="253"/>
      <c r="EV138" s="254"/>
    </row>
    <row r="139" spans="1:152" s="93" customFormat="1">
      <c r="A139" s="95"/>
      <c r="B139" s="95"/>
      <c r="D139" s="97"/>
      <c r="E139" s="97"/>
      <c r="F139" s="97"/>
      <c r="G139" s="220"/>
      <c r="H139" s="98"/>
      <c r="I139" s="96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92"/>
      <c r="AP139" s="92"/>
      <c r="AQ139" s="92"/>
      <c r="AR139" s="1"/>
      <c r="AS139" s="233"/>
      <c r="AT139" s="1"/>
      <c r="AU139" s="1"/>
      <c r="AV139" s="1"/>
      <c r="AW139" s="1"/>
      <c r="AX139" s="1"/>
      <c r="AY139" s="1"/>
      <c r="AZ139" s="1"/>
      <c r="BA139" s="1"/>
      <c r="BB139" s="1"/>
      <c r="BC139" s="102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36"/>
      <c r="BZ139" s="136"/>
      <c r="CA139" s="136"/>
      <c r="CB139" s="136"/>
      <c r="CC139" s="136"/>
      <c r="CD139" s="136"/>
      <c r="CE139" s="136"/>
      <c r="CF139" s="147"/>
      <c r="CG139" s="136"/>
      <c r="CH139" s="147"/>
      <c r="CI139" s="147"/>
      <c r="CJ139" s="136"/>
      <c r="CK139" s="136"/>
      <c r="CL139" s="136"/>
      <c r="CM139" s="136"/>
      <c r="CN139" s="136"/>
      <c r="CO139" s="136"/>
      <c r="CP139" s="136"/>
      <c r="CQ139" s="1"/>
      <c r="CR139" s="1"/>
      <c r="CS139" s="230"/>
      <c r="CT139" s="1"/>
      <c r="CU139" s="136"/>
      <c r="CV139" s="136"/>
      <c r="CW139" s="136"/>
      <c r="CX139" s="136"/>
      <c r="CY139" s="136"/>
      <c r="CZ139" s="136"/>
      <c r="DA139" s="136"/>
      <c r="DB139" s="136"/>
      <c r="DC139" s="136"/>
      <c r="DD139" s="136"/>
      <c r="DE139" s="211"/>
      <c r="DF139" s="211"/>
      <c r="DG139" s="273"/>
      <c r="DH139" s="136"/>
      <c r="DI139" s="1"/>
      <c r="DJ139" s="1"/>
      <c r="DK139" s="102"/>
      <c r="DL139" s="102"/>
      <c r="DM139" s="102"/>
      <c r="DN139" s="102"/>
      <c r="DO139" s="102"/>
      <c r="DP139" s="143"/>
      <c r="DQ139" s="143"/>
      <c r="DR139" s="143"/>
      <c r="DS139" s="102"/>
      <c r="DT139" s="1"/>
      <c r="DU139" s="1"/>
      <c r="DV139" s="1"/>
      <c r="DW139" s="99"/>
      <c r="DX139" s="1"/>
      <c r="EE139" s="1"/>
      <c r="EK139" s="98"/>
      <c r="EL139" s="98"/>
      <c r="EM139" s="98"/>
      <c r="EN139" s="98"/>
      <c r="EO139" s="98"/>
      <c r="EP139" s="238"/>
      <c r="EQ139" s="239"/>
      <c r="ER139" s="98"/>
      <c r="ES139" s="98"/>
      <c r="ET139" s="267"/>
      <c r="EU139" s="253"/>
      <c r="EV139" s="254"/>
    </row>
    <row r="140" spans="1:152" s="93" customFormat="1">
      <c r="A140" s="95"/>
      <c r="B140" s="95"/>
      <c r="D140" s="97"/>
      <c r="E140" s="97"/>
      <c r="F140" s="97"/>
      <c r="G140" s="220"/>
      <c r="H140" s="98"/>
      <c r="I140" s="96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92"/>
      <c r="AP140" s="92"/>
      <c r="AQ140" s="92"/>
      <c r="AR140" s="1"/>
      <c r="AS140" s="233"/>
      <c r="AT140" s="1"/>
      <c r="AU140" s="1"/>
      <c r="AV140" s="1"/>
      <c r="AW140" s="1"/>
      <c r="AX140" s="1"/>
      <c r="AY140" s="1"/>
      <c r="AZ140" s="1"/>
      <c r="BA140" s="1"/>
      <c r="BB140" s="1"/>
      <c r="BC140" s="102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36"/>
      <c r="BZ140" s="136"/>
      <c r="CA140" s="136"/>
      <c r="CB140" s="136"/>
      <c r="CC140" s="136"/>
      <c r="CD140" s="136"/>
      <c r="CE140" s="136"/>
      <c r="CF140" s="147"/>
      <c r="CG140" s="136"/>
      <c r="CH140" s="147"/>
      <c r="CI140" s="147"/>
      <c r="CJ140" s="136"/>
      <c r="CK140" s="136"/>
      <c r="CL140" s="136"/>
      <c r="CM140" s="136"/>
      <c r="CN140" s="136"/>
      <c r="CO140" s="136"/>
      <c r="CP140" s="136"/>
      <c r="CQ140" s="1"/>
      <c r="CR140" s="1"/>
      <c r="CS140" s="230"/>
      <c r="CT140" s="1"/>
      <c r="CU140" s="136"/>
      <c r="CV140" s="136"/>
      <c r="CW140" s="136"/>
      <c r="CX140" s="136"/>
      <c r="CY140" s="136"/>
      <c r="CZ140" s="136"/>
      <c r="DA140" s="136"/>
      <c r="DB140" s="136"/>
      <c r="DC140" s="136"/>
      <c r="DD140" s="136"/>
      <c r="DE140" s="211"/>
      <c r="DF140" s="211"/>
      <c r="DG140" s="273"/>
      <c r="DH140" s="136"/>
      <c r="DI140" s="1"/>
      <c r="DJ140" s="1"/>
      <c r="DK140" s="102"/>
      <c r="DL140" s="102"/>
      <c r="DM140" s="102"/>
      <c r="DN140" s="102"/>
      <c r="DO140" s="102"/>
      <c r="DP140" s="143"/>
      <c r="DQ140" s="143"/>
      <c r="DR140" s="143"/>
      <c r="DS140" s="102"/>
      <c r="DT140" s="1"/>
      <c r="DU140" s="1"/>
      <c r="DV140" s="1"/>
      <c r="DW140" s="99"/>
      <c r="DX140" s="1"/>
      <c r="EE140" s="1"/>
      <c r="EK140" s="98"/>
      <c r="EL140" s="98"/>
      <c r="EM140" s="98"/>
      <c r="EN140" s="98"/>
      <c r="EO140" s="98"/>
      <c r="EP140" s="238"/>
      <c r="EQ140" s="239"/>
      <c r="ER140" s="98"/>
      <c r="ES140" s="98"/>
      <c r="ET140" s="267"/>
      <c r="EU140" s="253"/>
      <c r="EV140" s="254"/>
    </row>
    <row r="141" spans="1:152" s="93" customFormat="1">
      <c r="A141" s="95"/>
      <c r="B141" s="95"/>
      <c r="D141" s="97"/>
      <c r="E141" s="97"/>
      <c r="F141" s="97"/>
      <c r="G141" s="220"/>
      <c r="H141" s="98"/>
      <c r="I141" s="96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92"/>
      <c r="AP141" s="92"/>
      <c r="AQ141" s="92"/>
      <c r="AR141" s="1"/>
      <c r="AS141" s="233"/>
      <c r="AT141" s="1"/>
      <c r="AU141" s="1"/>
      <c r="AV141" s="1"/>
      <c r="AW141" s="1"/>
      <c r="AX141" s="1"/>
      <c r="AY141" s="1"/>
      <c r="AZ141" s="1"/>
      <c r="BA141" s="1"/>
      <c r="BB141" s="1"/>
      <c r="BC141" s="102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36"/>
      <c r="BZ141" s="136"/>
      <c r="CA141" s="136"/>
      <c r="CB141" s="136"/>
      <c r="CC141" s="136"/>
      <c r="CD141" s="136"/>
      <c r="CE141" s="136"/>
      <c r="CF141" s="147"/>
      <c r="CG141" s="136"/>
      <c r="CH141" s="147"/>
      <c r="CI141" s="147"/>
      <c r="CJ141" s="136"/>
      <c r="CK141" s="136"/>
      <c r="CL141" s="136"/>
      <c r="CM141" s="136"/>
      <c r="CN141" s="136"/>
      <c r="CO141" s="136"/>
      <c r="CP141" s="136"/>
      <c r="CQ141" s="1"/>
      <c r="CR141" s="1"/>
      <c r="CS141" s="230"/>
      <c r="CT141" s="1"/>
      <c r="CU141" s="136"/>
      <c r="CV141" s="136"/>
      <c r="CW141" s="136"/>
      <c r="CX141" s="136"/>
      <c r="CY141" s="136"/>
      <c r="CZ141" s="136"/>
      <c r="DA141" s="136"/>
      <c r="DB141" s="136"/>
      <c r="DC141" s="136"/>
      <c r="DD141" s="136"/>
      <c r="DE141" s="211"/>
      <c r="DF141" s="211"/>
      <c r="DG141" s="273"/>
      <c r="DH141" s="136"/>
      <c r="DI141" s="1"/>
      <c r="DJ141" s="1"/>
      <c r="DK141" s="102"/>
      <c r="DL141" s="102"/>
      <c r="DM141" s="102"/>
      <c r="DN141" s="102"/>
      <c r="DO141" s="102"/>
      <c r="DP141" s="143"/>
      <c r="DQ141" s="143"/>
      <c r="DR141" s="143"/>
      <c r="DS141" s="102"/>
      <c r="DT141" s="1"/>
      <c r="DU141" s="1"/>
      <c r="DV141" s="1"/>
      <c r="DW141" s="99"/>
      <c r="DX141" s="1"/>
      <c r="EE141" s="1"/>
      <c r="EK141" s="98"/>
      <c r="EL141" s="98"/>
      <c r="EM141" s="98"/>
      <c r="EN141" s="98"/>
      <c r="EO141" s="98"/>
      <c r="EP141" s="238"/>
      <c r="EQ141" s="239"/>
      <c r="ER141" s="98"/>
      <c r="ES141" s="98"/>
      <c r="ET141" s="267"/>
      <c r="EU141" s="253"/>
      <c r="EV141" s="254"/>
    </row>
    <row r="142" spans="1:152" s="93" customFormat="1">
      <c r="A142" s="95"/>
      <c r="B142" s="95"/>
      <c r="D142" s="97"/>
      <c r="E142" s="97"/>
      <c r="F142" s="97"/>
      <c r="G142" s="220"/>
      <c r="H142" s="98"/>
      <c r="I142" s="96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92"/>
      <c r="AP142" s="92"/>
      <c r="AQ142" s="92"/>
      <c r="AR142" s="1"/>
      <c r="AS142" s="233"/>
      <c r="AT142" s="1"/>
      <c r="AU142" s="1"/>
      <c r="AV142" s="1"/>
      <c r="AW142" s="1"/>
      <c r="AX142" s="1"/>
      <c r="AY142" s="1"/>
      <c r="AZ142" s="1"/>
      <c r="BA142" s="1"/>
      <c r="BB142" s="1"/>
      <c r="BC142" s="102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36"/>
      <c r="BZ142" s="136"/>
      <c r="CA142" s="136"/>
      <c r="CB142" s="136"/>
      <c r="CC142" s="136"/>
      <c r="CD142" s="136"/>
      <c r="CE142" s="136"/>
      <c r="CF142" s="147"/>
      <c r="CG142" s="136"/>
      <c r="CH142" s="147"/>
      <c r="CI142" s="147"/>
      <c r="CJ142" s="136"/>
      <c r="CK142" s="136"/>
      <c r="CL142" s="136"/>
      <c r="CM142" s="136"/>
      <c r="CN142" s="136"/>
      <c r="CO142" s="136"/>
      <c r="CP142" s="136"/>
      <c r="CQ142" s="1"/>
      <c r="CR142" s="1"/>
      <c r="CS142" s="230"/>
      <c r="CT142" s="1"/>
      <c r="CU142" s="136"/>
      <c r="CV142" s="136"/>
      <c r="CW142" s="136"/>
      <c r="CX142" s="136"/>
      <c r="CY142" s="136"/>
      <c r="CZ142" s="136"/>
      <c r="DA142" s="136"/>
      <c r="DB142" s="136"/>
      <c r="DC142" s="136"/>
      <c r="DD142" s="136"/>
      <c r="DE142" s="211"/>
      <c r="DF142" s="211"/>
      <c r="DG142" s="273"/>
      <c r="DH142" s="136"/>
      <c r="DI142" s="1"/>
      <c r="DJ142" s="1"/>
      <c r="DK142" s="102"/>
      <c r="DL142" s="102"/>
      <c r="DM142" s="102"/>
      <c r="DN142" s="102"/>
      <c r="DO142" s="102"/>
      <c r="DP142" s="143"/>
      <c r="DQ142" s="143"/>
      <c r="DR142" s="143"/>
      <c r="DS142" s="102"/>
      <c r="DT142" s="1"/>
      <c r="DU142" s="1"/>
      <c r="DV142" s="1"/>
      <c r="DW142" s="99"/>
      <c r="DX142" s="1"/>
      <c r="EE142" s="1"/>
      <c r="EK142" s="98"/>
      <c r="EL142" s="98"/>
      <c r="EM142" s="98"/>
      <c r="EN142" s="98"/>
      <c r="EO142" s="98"/>
      <c r="EP142" s="238"/>
      <c r="EQ142" s="239"/>
      <c r="ER142" s="98"/>
      <c r="ES142" s="98"/>
      <c r="ET142" s="267"/>
      <c r="EU142" s="253"/>
      <c r="EV142" s="254"/>
    </row>
    <row r="143" spans="1:152" s="93" customFormat="1">
      <c r="A143" s="95"/>
      <c r="B143" s="95"/>
      <c r="D143" s="97"/>
      <c r="E143" s="97"/>
      <c r="F143" s="97"/>
      <c r="G143" s="220"/>
      <c r="H143" s="98"/>
      <c r="I143" s="96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92"/>
      <c r="AP143" s="92"/>
      <c r="AQ143" s="92"/>
      <c r="AR143" s="1"/>
      <c r="AS143" s="233"/>
      <c r="AT143" s="1"/>
      <c r="AU143" s="1"/>
      <c r="AV143" s="1"/>
      <c r="AW143" s="1"/>
      <c r="AX143" s="1"/>
      <c r="AY143" s="1"/>
      <c r="AZ143" s="1"/>
      <c r="BA143" s="1"/>
      <c r="BB143" s="1"/>
      <c r="BC143" s="102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36"/>
      <c r="BZ143" s="136"/>
      <c r="CA143" s="136"/>
      <c r="CB143" s="136"/>
      <c r="CC143" s="136"/>
      <c r="CD143" s="136"/>
      <c r="CE143" s="136"/>
      <c r="CF143" s="147"/>
      <c r="CG143" s="136"/>
      <c r="CH143" s="147"/>
      <c r="CI143" s="147"/>
      <c r="CJ143" s="136"/>
      <c r="CK143" s="136"/>
      <c r="CL143" s="136"/>
      <c r="CM143" s="136"/>
      <c r="CN143" s="136"/>
      <c r="CO143" s="136"/>
      <c r="CP143" s="136"/>
      <c r="CQ143" s="1"/>
      <c r="CR143" s="1"/>
      <c r="CS143" s="230"/>
      <c r="CT143" s="1"/>
      <c r="CU143" s="136"/>
      <c r="CV143" s="136"/>
      <c r="CW143" s="136"/>
      <c r="CX143" s="136"/>
      <c r="CY143" s="136"/>
      <c r="CZ143" s="136"/>
      <c r="DA143" s="136"/>
      <c r="DB143" s="136"/>
      <c r="DC143" s="136"/>
      <c r="DD143" s="136"/>
      <c r="DE143" s="211"/>
      <c r="DF143" s="211"/>
      <c r="DG143" s="273"/>
      <c r="DH143" s="136"/>
      <c r="DI143" s="1"/>
      <c r="DJ143" s="1"/>
      <c r="DK143" s="102"/>
      <c r="DL143" s="102"/>
      <c r="DM143" s="102"/>
      <c r="DN143" s="102"/>
      <c r="DO143" s="102"/>
      <c r="DP143" s="143"/>
      <c r="DQ143" s="143"/>
      <c r="DR143" s="143"/>
      <c r="DS143" s="102"/>
      <c r="DT143" s="1"/>
      <c r="DU143" s="1"/>
      <c r="DV143" s="1"/>
      <c r="DW143" s="99"/>
      <c r="DX143" s="1"/>
      <c r="EE143" s="1"/>
      <c r="EK143" s="98"/>
      <c r="EL143" s="98"/>
      <c r="EM143" s="98"/>
      <c r="EN143" s="98"/>
      <c r="EO143" s="98"/>
      <c r="EP143" s="238"/>
      <c r="EQ143" s="239"/>
      <c r="ER143" s="98"/>
      <c r="ES143" s="98"/>
      <c r="ET143" s="267"/>
      <c r="EU143" s="253"/>
      <c r="EV143" s="254"/>
    </row>
    <row r="144" spans="1:152" s="93" customFormat="1">
      <c r="A144" s="95"/>
      <c r="B144" s="95"/>
      <c r="D144" s="97"/>
      <c r="E144" s="97"/>
      <c r="F144" s="97"/>
      <c r="G144" s="220"/>
      <c r="H144" s="98"/>
      <c r="I144" s="96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92"/>
      <c r="AP144" s="92"/>
      <c r="AQ144" s="92"/>
      <c r="AR144" s="1"/>
      <c r="AS144" s="233"/>
      <c r="AT144" s="1"/>
      <c r="AU144" s="1"/>
      <c r="AV144" s="1"/>
      <c r="AW144" s="1"/>
      <c r="AX144" s="1"/>
      <c r="AY144" s="1"/>
      <c r="AZ144" s="1"/>
      <c r="BA144" s="1"/>
      <c r="BB144" s="1"/>
      <c r="BC144" s="102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36"/>
      <c r="BZ144" s="136"/>
      <c r="CA144" s="136"/>
      <c r="CB144" s="136"/>
      <c r="CC144" s="136"/>
      <c r="CD144" s="136"/>
      <c r="CE144" s="136"/>
      <c r="CF144" s="147"/>
      <c r="CG144" s="136"/>
      <c r="CH144" s="147"/>
      <c r="CI144" s="147"/>
      <c r="CJ144" s="136"/>
      <c r="CK144" s="136"/>
      <c r="CL144" s="136"/>
      <c r="CM144" s="136"/>
      <c r="CN144" s="136"/>
      <c r="CO144" s="136"/>
      <c r="CP144" s="136"/>
      <c r="CQ144" s="1"/>
      <c r="CR144" s="1"/>
      <c r="CS144" s="230"/>
      <c r="CT144" s="1"/>
      <c r="CU144" s="136"/>
      <c r="CV144" s="136"/>
      <c r="CW144" s="136"/>
      <c r="CX144" s="136"/>
      <c r="CY144" s="136"/>
      <c r="CZ144" s="136"/>
      <c r="DA144" s="136"/>
      <c r="DB144" s="136"/>
      <c r="DC144" s="136"/>
      <c r="DD144" s="136"/>
      <c r="DE144" s="211"/>
      <c r="DF144" s="211"/>
      <c r="DG144" s="273"/>
      <c r="DH144" s="136"/>
      <c r="DI144" s="1"/>
      <c r="DJ144" s="1"/>
      <c r="DK144" s="102"/>
      <c r="DL144" s="102"/>
      <c r="DM144" s="102"/>
      <c r="DN144" s="102"/>
      <c r="DO144" s="102"/>
      <c r="DP144" s="143"/>
      <c r="DQ144" s="143"/>
      <c r="DR144" s="143"/>
      <c r="DS144" s="102"/>
      <c r="DT144" s="1"/>
      <c r="DU144" s="1"/>
      <c r="DV144" s="1"/>
      <c r="DW144" s="99"/>
      <c r="DX144" s="1"/>
      <c r="EE144" s="1"/>
      <c r="EK144" s="98"/>
      <c r="EL144" s="98"/>
      <c r="EM144" s="98"/>
      <c r="EN144" s="98"/>
      <c r="EO144" s="98"/>
      <c r="EP144" s="238"/>
      <c r="EQ144" s="239"/>
      <c r="ER144" s="98"/>
      <c r="ES144" s="98"/>
      <c r="ET144" s="267"/>
      <c r="EU144" s="253"/>
      <c r="EV144" s="254"/>
    </row>
    <row r="145" spans="1:152" s="93" customFormat="1">
      <c r="A145" s="95"/>
      <c r="B145" s="95"/>
      <c r="D145" s="97"/>
      <c r="E145" s="97"/>
      <c r="F145" s="97"/>
      <c r="G145" s="220"/>
      <c r="H145" s="98"/>
      <c r="I145" s="96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92"/>
      <c r="AP145" s="92"/>
      <c r="AQ145" s="92"/>
      <c r="AR145" s="1"/>
      <c r="AS145" s="233"/>
      <c r="AT145" s="1"/>
      <c r="AU145" s="1"/>
      <c r="AV145" s="1"/>
      <c r="AW145" s="1"/>
      <c r="AX145" s="1"/>
      <c r="AY145" s="1"/>
      <c r="AZ145" s="1"/>
      <c r="BA145" s="1"/>
      <c r="BB145" s="1"/>
      <c r="BC145" s="102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36"/>
      <c r="BZ145" s="136"/>
      <c r="CA145" s="136"/>
      <c r="CB145" s="136"/>
      <c r="CC145" s="136"/>
      <c r="CD145" s="136"/>
      <c r="CE145" s="136"/>
      <c r="CF145" s="147"/>
      <c r="CG145" s="136"/>
      <c r="CH145" s="147"/>
      <c r="CI145" s="147"/>
      <c r="CJ145" s="136"/>
      <c r="CK145" s="136"/>
      <c r="CL145" s="136"/>
      <c r="CM145" s="136"/>
      <c r="CN145" s="136"/>
      <c r="CO145" s="136"/>
      <c r="CP145" s="136"/>
      <c r="CQ145" s="1"/>
      <c r="CR145" s="1"/>
      <c r="CS145" s="230"/>
      <c r="CT145" s="1"/>
      <c r="CU145" s="136"/>
      <c r="CV145" s="136"/>
      <c r="CW145" s="136"/>
      <c r="CX145" s="136"/>
      <c r="CY145" s="136"/>
      <c r="CZ145" s="136"/>
      <c r="DA145" s="136"/>
      <c r="DB145" s="136"/>
      <c r="DC145" s="136"/>
      <c r="DD145" s="136"/>
      <c r="DE145" s="211"/>
      <c r="DF145" s="211"/>
      <c r="DG145" s="273"/>
      <c r="DH145" s="136"/>
      <c r="DI145" s="1"/>
      <c r="DJ145" s="1"/>
      <c r="DK145" s="102"/>
      <c r="DL145" s="102"/>
      <c r="DM145" s="102"/>
      <c r="DN145" s="102"/>
      <c r="DO145" s="102"/>
      <c r="DP145" s="143"/>
      <c r="DQ145" s="143"/>
      <c r="DR145" s="143"/>
      <c r="DS145" s="102"/>
      <c r="DT145" s="1"/>
      <c r="DU145" s="1"/>
      <c r="DV145" s="1"/>
      <c r="DW145" s="99"/>
      <c r="DX145" s="1"/>
      <c r="EE145" s="1"/>
      <c r="EK145" s="98"/>
      <c r="EL145" s="98"/>
      <c r="EM145" s="98"/>
      <c r="EN145" s="98"/>
      <c r="EO145" s="98"/>
      <c r="EP145" s="238"/>
      <c r="EQ145" s="239"/>
      <c r="ER145" s="98"/>
      <c r="ES145" s="98"/>
      <c r="ET145" s="267"/>
      <c r="EU145" s="253"/>
      <c r="EV145" s="254"/>
    </row>
    <row r="146" spans="1:152" s="93" customFormat="1">
      <c r="A146" s="95"/>
      <c r="B146" s="95"/>
      <c r="D146" s="97"/>
      <c r="E146" s="97"/>
      <c r="F146" s="97"/>
      <c r="G146" s="220"/>
      <c r="H146" s="98"/>
      <c r="I146" s="96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92"/>
      <c r="AP146" s="92"/>
      <c r="AQ146" s="92"/>
      <c r="AR146" s="1"/>
      <c r="AS146" s="233"/>
      <c r="AT146" s="1"/>
      <c r="AU146" s="1"/>
      <c r="AV146" s="1"/>
      <c r="AW146" s="1"/>
      <c r="AX146" s="1"/>
      <c r="AY146" s="1"/>
      <c r="AZ146" s="1"/>
      <c r="BA146" s="1"/>
      <c r="BB146" s="1"/>
      <c r="BC146" s="102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36"/>
      <c r="BZ146" s="136"/>
      <c r="CA146" s="136"/>
      <c r="CB146" s="136"/>
      <c r="CC146" s="136"/>
      <c r="CD146" s="136"/>
      <c r="CE146" s="136"/>
      <c r="CF146" s="147"/>
      <c r="CG146" s="136"/>
      <c r="CH146" s="147"/>
      <c r="CI146" s="147"/>
      <c r="CJ146" s="136"/>
      <c r="CK146" s="136"/>
      <c r="CL146" s="136"/>
      <c r="CM146" s="136"/>
      <c r="CN146" s="136"/>
      <c r="CO146" s="136"/>
      <c r="CP146" s="136"/>
      <c r="CQ146" s="1"/>
      <c r="CR146" s="1"/>
      <c r="CS146" s="230"/>
      <c r="CT146" s="1"/>
      <c r="CU146" s="136"/>
      <c r="CV146" s="136"/>
      <c r="CW146" s="136"/>
      <c r="CX146" s="136"/>
      <c r="CY146" s="136"/>
      <c r="CZ146" s="136"/>
      <c r="DA146" s="136"/>
      <c r="DB146" s="136"/>
      <c r="DC146" s="136"/>
      <c r="DD146" s="136"/>
      <c r="DE146" s="211"/>
      <c r="DF146" s="211"/>
      <c r="DG146" s="273"/>
      <c r="DH146" s="136"/>
      <c r="DI146" s="1"/>
      <c r="DJ146" s="1"/>
      <c r="DK146" s="102"/>
      <c r="DL146" s="102"/>
      <c r="DM146" s="102"/>
      <c r="DN146" s="102"/>
      <c r="DO146" s="102"/>
      <c r="DP146" s="143"/>
      <c r="DQ146" s="143"/>
      <c r="DR146" s="143"/>
      <c r="DS146" s="102"/>
      <c r="DT146" s="1"/>
      <c r="DU146" s="1"/>
      <c r="DV146" s="1"/>
      <c r="DW146" s="99"/>
      <c r="DX146" s="1"/>
      <c r="EE146" s="1"/>
      <c r="EK146" s="98"/>
      <c r="EL146" s="98"/>
      <c r="EM146" s="98"/>
      <c r="EN146" s="98"/>
      <c r="EO146" s="98"/>
      <c r="EP146" s="238"/>
      <c r="EQ146" s="239"/>
      <c r="ER146" s="98"/>
      <c r="ES146" s="98"/>
      <c r="ET146" s="267"/>
      <c r="EU146" s="253"/>
      <c r="EV146" s="254"/>
    </row>
    <row r="147" spans="1:152" s="93" customFormat="1">
      <c r="A147" s="95"/>
      <c r="B147" s="95"/>
      <c r="D147" s="97"/>
      <c r="E147" s="97"/>
      <c r="F147" s="97"/>
      <c r="G147" s="220"/>
      <c r="H147" s="98"/>
      <c r="I147" s="96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92"/>
      <c r="AP147" s="92"/>
      <c r="AQ147" s="92"/>
      <c r="AR147" s="1"/>
      <c r="AS147" s="233"/>
      <c r="AT147" s="1"/>
      <c r="AU147" s="1"/>
      <c r="AV147" s="1"/>
      <c r="AW147" s="1"/>
      <c r="AX147" s="1"/>
      <c r="AY147" s="1"/>
      <c r="AZ147" s="1"/>
      <c r="BA147" s="1"/>
      <c r="BB147" s="1"/>
      <c r="BC147" s="102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36"/>
      <c r="BZ147" s="136"/>
      <c r="CA147" s="136"/>
      <c r="CB147" s="136"/>
      <c r="CC147" s="136"/>
      <c r="CD147" s="136"/>
      <c r="CE147" s="136"/>
      <c r="CF147" s="147"/>
      <c r="CG147" s="136"/>
      <c r="CH147" s="147"/>
      <c r="CI147" s="147"/>
      <c r="CJ147" s="136"/>
      <c r="CK147" s="136"/>
      <c r="CL147" s="136"/>
      <c r="CM147" s="136"/>
      <c r="CN147" s="136"/>
      <c r="CO147" s="136"/>
      <c r="CP147" s="136"/>
      <c r="CQ147" s="1"/>
      <c r="CR147" s="1"/>
      <c r="CS147" s="230"/>
      <c r="CT147" s="1"/>
      <c r="CU147" s="136"/>
      <c r="CV147" s="136"/>
      <c r="CW147" s="136"/>
      <c r="CX147" s="136"/>
      <c r="CY147" s="136"/>
      <c r="CZ147" s="136"/>
      <c r="DA147" s="136"/>
      <c r="DB147" s="136"/>
      <c r="DC147" s="136"/>
      <c r="DD147" s="136"/>
      <c r="DE147" s="211"/>
      <c r="DF147" s="211"/>
      <c r="DG147" s="273"/>
      <c r="DH147" s="136"/>
      <c r="DI147" s="1"/>
      <c r="DJ147" s="1"/>
      <c r="DK147" s="102"/>
      <c r="DL147" s="102"/>
      <c r="DM147" s="102"/>
      <c r="DN147" s="102"/>
      <c r="DO147" s="102"/>
      <c r="DP147" s="143"/>
      <c r="DQ147" s="143"/>
      <c r="DR147" s="143"/>
      <c r="DS147" s="102"/>
      <c r="DT147" s="1"/>
      <c r="DU147" s="1"/>
      <c r="DV147" s="1"/>
      <c r="DW147" s="99"/>
      <c r="DX147" s="1"/>
      <c r="EE147" s="1"/>
      <c r="EK147" s="98"/>
      <c r="EL147" s="98"/>
      <c r="EM147" s="98"/>
      <c r="EN147" s="98"/>
      <c r="EO147" s="98"/>
      <c r="EP147" s="238"/>
      <c r="EQ147" s="239"/>
      <c r="ER147" s="98"/>
      <c r="ES147" s="98"/>
      <c r="ET147" s="267"/>
      <c r="EU147" s="253"/>
      <c r="EV147" s="254"/>
    </row>
    <row r="148" spans="1:152" s="93" customFormat="1">
      <c r="A148" s="95"/>
      <c r="B148" s="95"/>
      <c r="D148" s="97"/>
      <c r="E148" s="97"/>
      <c r="F148" s="97"/>
      <c r="G148" s="220"/>
      <c r="H148" s="98"/>
      <c r="I148" s="96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92"/>
      <c r="AP148" s="92"/>
      <c r="AQ148" s="92"/>
      <c r="AR148" s="1"/>
      <c r="AS148" s="233"/>
      <c r="AT148" s="1"/>
      <c r="AU148" s="1"/>
      <c r="AV148" s="1"/>
      <c r="AW148" s="1"/>
      <c r="AX148" s="1"/>
      <c r="AY148" s="1"/>
      <c r="AZ148" s="1"/>
      <c r="BA148" s="1"/>
      <c r="BB148" s="1"/>
      <c r="BC148" s="102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36"/>
      <c r="BZ148" s="136"/>
      <c r="CA148" s="136"/>
      <c r="CB148" s="136"/>
      <c r="CC148" s="136"/>
      <c r="CD148" s="136"/>
      <c r="CE148" s="136"/>
      <c r="CF148" s="147"/>
      <c r="CG148" s="136"/>
      <c r="CH148" s="147"/>
      <c r="CI148" s="147"/>
      <c r="CJ148" s="136"/>
      <c r="CK148" s="136"/>
      <c r="CL148" s="136"/>
      <c r="CM148" s="136"/>
      <c r="CN148" s="136"/>
      <c r="CO148" s="136"/>
      <c r="CP148" s="136"/>
      <c r="CQ148" s="1"/>
      <c r="CR148" s="1"/>
      <c r="CS148" s="230"/>
      <c r="CT148" s="1"/>
      <c r="CU148" s="136"/>
      <c r="CV148" s="136"/>
      <c r="CW148" s="136"/>
      <c r="CX148" s="136"/>
      <c r="CY148" s="136"/>
      <c r="CZ148" s="136"/>
      <c r="DA148" s="136"/>
      <c r="DB148" s="136"/>
      <c r="DC148" s="136"/>
      <c r="DD148" s="136"/>
      <c r="DE148" s="211"/>
      <c r="DF148" s="211"/>
      <c r="DG148" s="273"/>
      <c r="DH148" s="136"/>
      <c r="DI148" s="1"/>
      <c r="DJ148" s="1"/>
      <c r="DK148" s="102"/>
      <c r="DL148" s="102"/>
      <c r="DM148" s="102"/>
      <c r="DN148" s="102"/>
      <c r="DO148" s="102"/>
      <c r="DP148" s="143"/>
      <c r="DQ148" s="143"/>
      <c r="DR148" s="143"/>
      <c r="DS148" s="102"/>
      <c r="DT148" s="1"/>
      <c r="DU148" s="1"/>
      <c r="DV148" s="1"/>
      <c r="DW148" s="99"/>
      <c r="DX148" s="1"/>
      <c r="EE148" s="1"/>
      <c r="EK148" s="98"/>
      <c r="EL148" s="98"/>
      <c r="EM148" s="98"/>
      <c r="EN148" s="98"/>
      <c r="EO148" s="98"/>
      <c r="EP148" s="238"/>
      <c r="EQ148" s="239"/>
      <c r="ER148" s="98"/>
      <c r="ES148" s="98"/>
      <c r="ET148" s="267"/>
      <c r="EU148" s="253"/>
      <c r="EV148" s="254"/>
    </row>
    <row r="149" spans="1:152" s="93" customFormat="1">
      <c r="A149" s="95"/>
      <c r="B149" s="95"/>
      <c r="D149" s="97"/>
      <c r="E149" s="97"/>
      <c r="F149" s="97"/>
      <c r="G149" s="220"/>
      <c r="H149" s="98"/>
      <c r="I149" s="96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92"/>
      <c r="AP149" s="92"/>
      <c r="AQ149" s="92"/>
      <c r="AR149" s="1"/>
      <c r="AS149" s="233"/>
      <c r="AT149" s="1"/>
      <c r="AU149" s="1"/>
      <c r="AV149" s="1"/>
      <c r="AW149" s="1"/>
      <c r="AX149" s="1"/>
      <c r="AY149" s="1"/>
      <c r="AZ149" s="1"/>
      <c r="BA149" s="1"/>
      <c r="BB149" s="1"/>
      <c r="BC149" s="102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36"/>
      <c r="BZ149" s="136"/>
      <c r="CA149" s="136"/>
      <c r="CB149" s="136"/>
      <c r="CC149" s="136"/>
      <c r="CD149" s="136"/>
      <c r="CE149" s="136"/>
      <c r="CF149" s="147"/>
      <c r="CG149" s="136"/>
      <c r="CH149" s="147"/>
      <c r="CI149" s="147"/>
      <c r="CJ149" s="136"/>
      <c r="CK149" s="136"/>
      <c r="CL149" s="136"/>
      <c r="CM149" s="136"/>
      <c r="CN149" s="136"/>
      <c r="CO149" s="136"/>
      <c r="CP149" s="136"/>
      <c r="CQ149" s="1"/>
      <c r="CR149" s="1"/>
      <c r="CS149" s="230"/>
      <c r="CT149" s="1"/>
      <c r="CU149" s="136"/>
      <c r="CV149" s="136"/>
      <c r="CW149" s="136"/>
      <c r="CX149" s="136"/>
      <c r="CY149" s="136"/>
      <c r="CZ149" s="136"/>
      <c r="DA149" s="136"/>
      <c r="DB149" s="136"/>
      <c r="DC149" s="136"/>
      <c r="DD149" s="136"/>
      <c r="DE149" s="211"/>
      <c r="DF149" s="211"/>
      <c r="DG149" s="273"/>
      <c r="DH149" s="136"/>
      <c r="DI149" s="1"/>
      <c r="DJ149" s="1"/>
      <c r="DK149" s="102"/>
      <c r="DL149" s="102"/>
      <c r="DM149" s="102"/>
      <c r="DN149" s="102"/>
      <c r="DO149" s="102"/>
      <c r="DP149" s="143"/>
      <c r="DQ149" s="143"/>
      <c r="DR149" s="143"/>
      <c r="DS149" s="102"/>
      <c r="DT149" s="1"/>
      <c r="DU149" s="1"/>
      <c r="DV149" s="1"/>
      <c r="DW149" s="99"/>
      <c r="DX149" s="1"/>
      <c r="EE149" s="1"/>
      <c r="EK149" s="98"/>
      <c r="EL149" s="98"/>
      <c r="EM149" s="98"/>
      <c r="EN149" s="98"/>
      <c r="EO149" s="98"/>
      <c r="EP149" s="238"/>
      <c r="EQ149" s="239"/>
      <c r="ER149" s="98"/>
      <c r="ES149" s="98"/>
      <c r="ET149" s="267"/>
      <c r="EU149" s="253"/>
      <c r="EV149" s="254"/>
    </row>
    <row r="150" spans="1:152" s="93" customFormat="1">
      <c r="A150" s="95"/>
      <c r="B150" s="95"/>
      <c r="D150" s="97"/>
      <c r="E150" s="97"/>
      <c r="F150" s="97"/>
      <c r="G150" s="220"/>
      <c r="H150" s="98"/>
      <c r="I150" s="96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92"/>
      <c r="AP150" s="92"/>
      <c r="AQ150" s="92"/>
      <c r="AR150" s="1"/>
      <c r="AS150" s="233"/>
      <c r="AT150" s="1"/>
      <c r="AU150" s="1"/>
      <c r="AV150" s="1"/>
      <c r="AW150" s="1"/>
      <c r="AX150" s="1"/>
      <c r="AY150" s="1"/>
      <c r="AZ150" s="1"/>
      <c r="BA150" s="1"/>
      <c r="BB150" s="1"/>
      <c r="BC150" s="102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36"/>
      <c r="BZ150" s="136"/>
      <c r="CA150" s="136"/>
      <c r="CB150" s="136"/>
      <c r="CC150" s="136"/>
      <c r="CD150" s="136"/>
      <c r="CE150" s="136"/>
      <c r="CF150" s="147"/>
      <c r="CG150" s="136"/>
      <c r="CH150" s="147"/>
      <c r="CI150" s="147"/>
      <c r="CJ150" s="136"/>
      <c r="CK150" s="136"/>
      <c r="CL150" s="136"/>
      <c r="CM150" s="136"/>
      <c r="CN150" s="136"/>
      <c r="CO150" s="136"/>
      <c r="CP150" s="136"/>
      <c r="CQ150" s="1"/>
      <c r="CR150" s="1"/>
      <c r="CS150" s="230"/>
      <c r="CT150" s="1"/>
      <c r="CU150" s="136"/>
      <c r="CV150" s="136"/>
      <c r="CW150" s="136"/>
      <c r="CX150" s="136"/>
      <c r="CY150" s="136"/>
      <c r="CZ150" s="136"/>
      <c r="DA150" s="136"/>
      <c r="DB150" s="136"/>
      <c r="DC150" s="136"/>
      <c r="DD150" s="136"/>
      <c r="DE150" s="211"/>
      <c r="DF150" s="211"/>
      <c r="DG150" s="273"/>
      <c r="DH150" s="136"/>
      <c r="DI150" s="1"/>
      <c r="DJ150" s="1"/>
      <c r="DK150" s="102"/>
      <c r="DL150" s="102"/>
      <c r="DM150" s="102"/>
      <c r="DN150" s="102"/>
      <c r="DO150" s="102"/>
      <c r="DP150" s="143"/>
      <c r="DQ150" s="143"/>
      <c r="DR150" s="143"/>
      <c r="DS150" s="102"/>
      <c r="DT150" s="1"/>
      <c r="DU150" s="1"/>
      <c r="DV150" s="1"/>
      <c r="DW150" s="99"/>
      <c r="DX150" s="1"/>
      <c r="EE150" s="1"/>
      <c r="EK150" s="98"/>
      <c r="EL150" s="98"/>
      <c r="EM150" s="98"/>
      <c r="EN150" s="98"/>
      <c r="EO150" s="98"/>
      <c r="EP150" s="238"/>
      <c r="EQ150" s="239"/>
      <c r="ER150" s="98"/>
      <c r="ES150" s="98"/>
      <c r="ET150" s="267"/>
      <c r="EU150" s="253"/>
      <c r="EV150" s="254"/>
    </row>
    <row r="151" spans="1:152" s="93" customFormat="1">
      <c r="A151" s="95"/>
      <c r="B151" s="95"/>
      <c r="D151" s="97"/>
      <c r="E151" s="97"/>
      <c r="F151" s="97"/>
      <c r="G151" s="220"/>
      <c r="H151" s="98"/>
      <c r="I151" s="96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92"/>
      <c r="AP151" s="92"/>
      <c r="AQ151" s="92"/>
      <c r="AR151" s="1"/>
      <c r="AS151" s="233"/>
      <c r="AT151" s="1"/>
      <c r="AU151" s="1"/>
      <c r="AV151" s="1"/>
      <c r="AW151" s="1"/>
      <c r="AX151" s="1"/>
      <c r="AY151" s="1"/>
      <c r="AZ151" s="1"/>
      <c r="BA151" s="1"/>
      <c r="BB151" s="1"/>
      <c r="BC151" s="102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36"/>
      <c r="BZ151" s="136"/>
      <c r="CA151" s="136"/>
      <c r="CB151" s="136"/>
      <c r="CC151" s="136"/>
      <c r="CD151" s="136"/>
      <c r="CE151" s="136"/>
      <c r="CF151" s="147"/>
      <c r="CG151" s="136"/>
      <c r="CH151" s="147"/>
      <c r="CI151" s="147"/>
      <c r="CJ151" s="136"/>
      <c r="CK151" s="136"/>
      <c r="CL151" s="136"/>
      <c r="CM151" s="136"/>
      <c r="CN151" s="136"/>
      <c r="CO151" s="136"/>
      <c r="CP151" s="136"/>
      <c r="CQ151" s="1"/>
      <c r="CR151" s="1"/>
      <c r="CS151" s="230"/>
      <c r="CT151" s="1"/>
      <c r="CU151" s="136"/>
      <c r="CV151" s="136"/>
      <c r="CW151" s="136"/>
      <c r="CX151" s="136"/>
      <c r="CY151" s="136"/>
      <c r="CZ151" s="136"/>
      <c r="DA151" s="136"/>
      <c r="DB151" s="136"/>
      <c r="DC151" s="136"/>
      <c r="DD151" s="136"/>
      <c r="DE151" s="211"/>
      <c r="DF151" s="211"/>
      <c r="DG151" s="273"/>
      <c r="DH151" s="136"/>
      <c r="DI151" s="1"/>
      <c r="DJ151" s="1"/>
      <c r="DK151" s="102"/>
      <c r="DL151" s="102"/>
      <c r="DM151" s="102"/>
      <c r="DN151" s="102"/>
      <c r="DO151" s="102"/>
      <c r="DP151" s="143"/>
      <c r="DQ151" s="143"/>
      <c r="DR151" s="143"/>
      <c r="DS151" s="102"/>
      <c r="DT151" s="1"/>
      <c r="DU151" s="1"/>
      <c r="DV151" s="1"/>
      <c r="DW151" s="99"/>
      <c r="DX151" s="1"/>
      <c r="EE151" s="1"/>
      <c r="EK151" s="98"/>
      <c r="EL151" s="98"/>
      <c r="EM151" s="98"/>
      <c r="EN151" s="98"/>
      <c r="EO151" s="98"/>
      <c r="EP151" s="238"/>
      <c r="EQ151" s="239"/>
      <c r="ER151" s="98"/>
      <c r="ES151" s="98"/>
      <c r="ET151" s="267"/>
      <c r="EU151" s="253"/>
      <c r="EV151" s="254"/>
    </row>
    <row r="152" spans="1:152" s="93" customFormat="1">
      <c r="A152" s="95"/>
      <c r="B152" s="95"/>
      <c r="D152" s="97"/>
      <c r="E152" s="97"/>
      <c r="F152" s="97"/>
      <c r="G152" s="220"/>
      <c r="H152" s="98"/>
      <c r="I152" s="96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92"/>
      <c r="AP152" s="92"/>
      <c r="AQ152" s="92"/>
      <c r="AR152" s="1"/>
      <c r="AS152" s="233"/>
      <c r="AT152" s="1"/>
      <c r="AU152" s="1"/>
      <c r="AV152" s="1"/>
      <c r="AW152" s="1"/>
      <c r="AX152" s="1"/>
      <c r="AY152" s="1"/>
      <c r="AZ152" s="1"/>
      <c r="BA152" s="1"/>
      <c r="BB152" s="1"/>
      <c r="BC152" s="102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36"/>
      <c r="BZ152" s="136"/>
      <c r="CA152" s="136"/>
      <c r="CB152" s="136"/>
      <c r="CC152" s="136"/>
      <c r="CD152" s="136"/>
      <c r="CE152" s="136"/>
      <c r="CF152" s="147"/>
      <c r="CG152" s="136"/>
      <c r="CH152" s="147"/>
      <c r="CI152" s="147"/>
      <c r="CJ152" s="136"/>
      <c r="CK152" s="136"/>
      <c r="CL152" s="136"/>
      <c r="CM152" s="136"/>
      <c r="CN152" s="136"/>
      <c r="CO152" s="136"/>
      <c r="CP152" s="136"/>
      <c r="CQ152" s="1"/>
      <c r="CR152" s="1"/>
      <c r="CS152" s="230"/>
      <c r="CT152" s="1"/>
      <c r="CU152" s="136"/>
      <c r="CV152" s="136"/>
      <c r="CW152" s="136"/>
      <c r="CX152" s="136"/>
      <c r="CY152" s="136"/>
      <c r="CZ152" s="136"/>
      <c r="DA152" s="136"/>
      <c r="DB152" s="136"/>
      <c r="DC152" s="136"/>
      <c r="DD152" s="136"/>
      <c r="DE152" s="211"/>
      <c r="DF152" s="211"/>
      <c r="DG152" s="273"/>
      <c r="DH152" s="136"/>
      <c r="DI152" s="1"/>
      <c r="DJ152" s="1"/>
      <c r="DK152" s="102"/>
      <c r="DL152" s="102"/>
      <c r="DM152" s="102"/>
      <c r="DN152" s="102"/>
      <c r="DO152" s="102"/>
      <c r="DP152" s="143"/>
      <c r="DQ152" s="143"/>
      <c r="DR152" s="143"/>
      <c r="DS152" s="102"/>
      <c r="DT152" s="1"/>
      <c r="DU152" s="1"/>
      <c r="DV152" s="1"/>
      <c r="DW152" s="99"/>
      <c r="DX152" s="1"/>
      <c r="EE152" s="1"/>
      <c r="EK152" s="98"/>
      <c r="EL152" s="98"/>
      <c r="EM152" s="98"/>
      <c r="EN152" s="98"/>
      <c r="EO152" s="98"/>
      <c r="EP152" s="238"/>
      <c r="EQ152" s="239"/>
      <c r="ER152" s="98"/>
      <c r="ES152" s="98"/>
      <c r="ET152" s="267"/>
      <c r="EU152" s="253"/>
      <c r="EV152" s="254"/>
    </row>
    <row r="153" spans="1:152" s="93" customFormat="1">
      <c r="A153" s="95"/>
      <c r="B153" s="95"/>
      <c r="D153" s="97"/>
      <c r="E153" s="97"/>
      <c r="F153" s="97"/>
      <c r="G153" s="220"/>
      <c r="H153" s="98"/>
      <c r="I153" s="96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92"/>
      <c r="AP153" s="92"/>
      <c r="AQ153" s="92"/>
      <c r="AR153" s="1"/>
      <c r="AS153" s="233"/>
      <c r="AT153" s="1"/>
      <c r="AU153" s="1"/>
      <c r="AV153" s="1"/>
      <c r="AW153" s="1"/>
      <c r="AX153" s="1"/>
      <c r="AY153" s="1"/>
      <c r="AZ153" s="1"/>
      <c r="BA153" s="1"/>
      <c r="BB153" s="1"/>
      <c r="BC153" s="102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36"/>
      <c r="BZ153" s="136"/>
      <c r="CA153" s="136"/>
      <c r="CB153" s="136"/>
      <c r="CC153" s="136"/>
      <c r="CD153" s="136"/>
      <c r="CE153" s="136"/>
      <c r="CF153" s="147"/>
      <c r="CG153" s="136"/>
      <c r="CH153" s="147"/>
      <c r="CI153" s="147"/>
      <c r="CJ153" s="136"/>
      <c r="CK153" s="136"/>
      <c r="CL153" s="136"/>
      <c r="CM153" s="136"/>
      <c r="CN153" s="136"/>
      <c r="CO153" s="136"/>
      <c r="CP153" s="136"/>
      <c r="CQ153" s="1"/>
      <c r="CR153" s="1"/>
      <c r="CS153" s="230"/>
      <c r="CT153" s="1"/>
      <c r="CU153" s="136"/>
      <c r="CV153" s="136"/>
      <c r="CW153" s="136"/>
      <c r="CX153" s="136"/>
      <c r="CY153" s="136"/>
      <c r="CZ153" s="136"/>
      <c r="DA153" s="136"/>
      <c r="DB153" s="136"/>
      <c r="DC153" s="136"/>
      <c r="DD153" s="136"/>
      <c r="DE153" s="211"/>
      <c r="DF153" s="211"/>
      <c r="DG153" s="273"/>
      <c r="DH153" s="136"/>
      <c r="DI153" s="1"/>
      <c r="DJ153" s="1"/>
      <c r="DK153" s="102"/>
      <c r="DL153" s="102"/>
      <c r="DM153" s="102"/>
      <c r="DN153" s="102"/>
      <c r="DO153" s="102"/>
      <c r="DP153" s="143"/>
      <c r="DQ153" s="143"/>
      <c r="DR153" s="143"/>
      <c r="DS153" s="102"/>
      <c r="DT153" s="1"/>
      <c r="DU153" s="1"/>
      <c r="DV153" s="1"/>
      <c r="DW153" s="99"/>
      <c r="DX153" s="1"/>
      <c r="EE153" s="1"/>
      <c r="EK153" s="98"/>
      <c r="EL153" s="98"/>
      <c r="EM153" s="98"/>
      <c r="EN153" s="98"/>
      <c r="EO153" s="98"/>
      <c r="EP153" s="238"/>
      <c r="EQ153" s="239"/>
      <c r="ER153" s="98"/>
      <c r="ES153" s="98"/>
      <c r="ET153" s="267"/>
      <c r="EU153" s="253"/>
      <c r="EV153" s="254"/>
    </row>
    <row r="154" spans="1:152" s="93" customFormat="1">
      <c r="A154" s="95"/>
      <c r="B154" s="95"/>
      <c r="D154" s="97"/>
      <c r="E154" s="97"/>
      <c r="F154" s="97"/>
      <c r="G154" s="220"/>
      <c r="H154" s="98"/>
      <c r="I154" s="96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92"/>
      <c r="AP154" s="92"/>
      <c r="AQ154" s="92"/>
      <c r="AR154" s="1"/>
      <c r="AS154" s="233"/>
      <c r="AT154" s="1"/>
      <c r="AU154" s="1"/>
      <c r="AV154" s="1"/>
      <c r="AW154" s="1"/>
      <c r="AX154" s="1"/>
      <c r="AY154" s="1"/>
      <c r="AZ154" s="1"/>
      <c r="BA154" s="1"/>
      <c r="BB154" s="1"/>
      <c r="BC154" s="102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36"/>
      <c r="BZ154" s="136"/>
      <c r="CA154" s="136"/>
      <c r="CB154" s="136"/>
      <c r="CC154" s="136"/>
      <c r="CD154" s="136"/>
      <c r="CE154" s="136"/>
      <c r="CF154" s="147"/>
      <c r="CG154" s="136"/>
      <c r="CH154" s="147"/>
      <c r="CI154" s="147"/>
      <c r="CJ154" s="136"/>
      <c r="CK154" s="136"/>
      <c r="CL154" s="136"/>
      <c r="CM154" s="136"/>
      <c r="CN154" s="136"/>
      <c r="CO154" s="136"/>
      <c r="CP154" s="136"/>
      <c r="CQ154" s="1"/>
      <c r="CR154" s="1"/>
      <c r="CS154" s="230"/>
      <c r="CT154" s="1"/>
      <c r="CU154" s="136"/>
      <c r="CV154" s="136"/>
      <c r="CW154" s="136"/>
      <c r="CX154" s="136"/>
      <c r="CY154" s="136"/>
      <c r="CZ154" s="136"/>
      <c r="DA154" s="136"/>
      <c r="DB154" s="136"/>
      <c r="DC154" s="136"/>
      <c r="DD154" s="136"/>
      <c r="DE154" s="211"/>
      <c r="DF154" s="211"/>
      <c r="DG154" s="273"/>
      <c r="DH154" s="136"/>
      <c r="DI154" s="1"/>
      <c r="DJ154" s="1"/>
      <c r="DK154" s="102"/>
      <c r="DL154" s="102"/>
      <c r="DM154" s="102"/>
      <c r="DN154" s="102"/>
      <c r="DO154" s="102"/>
      <c r="DP154" s="143"/>
      <c r="DQ154" s="143"/>
      <c r="DR154" s="143"/>
      <c r="DS154" s="102"/>
      <c r="DT154" s="1"/>
      <c r="DU154" s="1"/>
      <c r="DV154" s="1"/>
      <c r="DW154" s="99"/>
      <c r="DX154" s="1"/>
      <c r="EE154" s="1"/>
      <c r="EK154" s="98"/>
      <c r="EL154" s="98"/>
      <c r="EM154" s="98"/>
      <c r="EN154" s="98"/>
      <c r="EO154" s="98"/>
      <c r="EP154" s="238"/>
      <c r="EQ154" s="239"/>
      <c r="ER154" s="98"/>
      <c r="ES154" s="98"/>
      <c r="ET154" s="267"/>
      <c r="EU154" s="253"/>
      <c r="EV154" s="254"/>
    </row>
    <row r="155" spans="1:152" s="93" customFormat="1">
      <c r="A155" s="95"/>
      <c r="B155" s="95"/>
      <c r="D155" s="97"/>
      <c r="E155" s="97"/>
      <c r="F155" s="97"/>
      <c r="G155" s="220"/>
      <c r="H155" s="98"/>
      <c r="I155" s="96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92"/>
      <c r="AP155" s="92"/>
      <c r="AQ155" s="92"/>
      <c r="AR155" s="1"/>
      <c r="AS155" s="233"/>
      <c r="AT155" s="1"/>
      <c r="AU155" s="1"/>
      <c r="AV155" s="1"/>
      <c r="AW155" s="1"/>
      <c r="AX155" s="1"/>
      <c r="AY155" s="1"/>
      <c r="AZ155" s="1"/>
      <c r="BA155" s="1"/>
      <c r="BB155" s="1"/>
      <c r="BC155" s="102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36"/>
      <c r="BZ155" s="136"/>
      <c r="CA155" s="136"/>
      <c r="CB155" s="136"/>
      <c r="CC155" s="136"/>
      <c r="CD155" s="136"/>
      <c r="CE155" s="136"/>
      <c r="CF155" s="147"/>
      <c r="CG155" s="136"/>
      <c r="CH155" s="147"/>
      <c r="CI155" s="147"/>
      <c r="CJ155" s="136"/>
      <c r="CK155" s="136"/>
      <c r="CL155" s="136"/>
      <c r="CM155" s="136"/>
      <c r="CN155" s="136"/>
      <c r="CO155" s="136"/>
      <c r="CP155" s="136"/>
      <c r="CQ155" s="1"/>
      <c r="CR155" s="1"/>
      <c r="CS155" s="230"/>
      <c r="CT155" s="1"/>
      <c r="CU155" s="136"/>
      <c r="CV155" s="136"/>
      <c r="CW155" s="136"/>
      <c r="CX155" s="136"/>
      <c r="CY155" s="136"/>
      <c r="CZ155" s="136"/>
      <c r="DA155" s="136"/>
      <c r="DB155" s="136"/>
      <c r="DC155" s="136"/>
      <c r="DD155" s="136"/>
      <c r="DE155" s="211"/>
      <c r="DF155" s="211"/>
      <c r="DG155" s="273"/>
      <c r="DH155" s="136"/>
      <c r="DI155" s="1"/>
      <c r="DJ155" s="1"/>
      <c r="DK155" s="102"/>
      <c r="DL155" s="102"/>
      <c r="DM155" s="102"/>
      <c r="DN155" s="102"/>
      <c r="DO155" s="102"/>
      <c r="DP155" s="143"/>
      <c r="DQ155" s="143"/>
      <c r="DR155" s="143"/>
      <c r="DS155" s="102"/>
      <c r="DT155" s="1"/>
      <c r="DU155" s="1"/>
      <c r="DV155" s="1"/>
      <c r="DW155" s="99"/>
      <c r="DX155" s="1"/>
      <c r="EE155" s="1"/>
      <c r="EK155" s="98"/>
      <c r="EL155" s="98"/>
      <c r="EM155" s="98"/>
      <c r="EN155" s="98"/>
      <c r="EO155" s="98"/>
      <c r="EP155" s="238"/>
      <c r="EQ155" s="239"/>
      <c r="ER155" s="98"/>
      <c r="ES155" s="98"/>
      <c r="ET155" s="267"/>
      <c r="EU155" s="253"/>
      <c r="EV155" s="254"/>
    </row>
    <row r="156" spans="1:152" s="93" customFormat="1">
      <c r="A156" s="95"/>
      <c r="B156" s="95"/>
      <c r="D156" s="97"/>
      <c r="E156" s="97"/>
      <c r="F156" s="97"/>
      <c r="G156" s="220"/>
      <c r="H156" s="98"/>
      <c r="I156" s="96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92"/>
      <c r="AP156" s="92"/>
      <c r="AQ156" s="92"/>
      <c r="AR156" s="1"/>
      <c r="AS156" s="233"/>
      <c r="AT156" s="1"/>
      <c r="AU156" s="1"/>
      <c r="AV156" s="1"/>
      <c r="AW156" s="1"/>
      <c r="AX156" s="1"/>
      <c r="AY156" s="1"/>
      <c r="AZ156" s="1"/>
      <c r="BA156" s="1"/>
      <c r="BB156" s="1"/>
      <c r="BC156" s="102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36"/>
      <c r="BZ156" s="136"/>
      <c r="CA156" s="136"/>
      <c r="CB156" s="136"/>
      <c r="CC156" s="136"/>
      <c r="CD156" s="136"/>
      <c r="CE156" s="136"/>
      <c r="CF156" s="147"/>
      <c r="CG156" s="136"/>
      <c r="CH156" s="147"/>
      <c r="CI156" s="147"/>
      <c r="CJ156" s="136"/>
      <c r="CK156" s="136"/>
      <c r="CL156" s="136"/>
      <c r="CM156" s="136"/>
      <c r="CN156" s="136"/>
      <c r="CO156" s="136"/>
      <c r="CP156" s="136"/>
      <c r="CQ156" s="1"/>
      <c r="CR156" s="1"/>
      <c r="CS156" s="230"/>
      <c r="CT156" s="1"/>
      <c r="CU156" s="136"/>
      <c r="CV156" s="136"/>
      <c r="CW156" s="136"/>
      <c r="CX156" s="136"/>
      <c r="CY156" s="136"/>
      <c r="CZ156" s="136"/>
      <c r="DA156" s="136"/>
      <c r="DB156" s="136"/>
      <c r="DC156" s="136"/>
      <c r="DD156" s="136"/>
      <c r="DE156" s="211"/>
      <c r="DF156" s="211"/>
      <c r="DG156" s="273"/>
      <c r="DH156" s="136"/>
      <c r="DI156" s="1"/>
      <c r="DJ156" s="1"/>
      <c r="DK156" s="102"/>
      <c r="DL156" s="102"/>
      <c r="DM156" s="102"/>
      <c r="DN156" s="102"/>
      <c r="DO156" s="102"/>
      <c r="DP156" s="143"/>
      <c r="DQ156" s="143"/>
      <c r="DR156" s="143"/>
      <c r="DS156" s="102"/>
      <c r="DT156" s="1"/>
      <c r="DU156" s="1"/>
      <c r="DV156" s="1"/>
      <c r="DW156" s="99"/>
      <c r="DX156" s="1"/>
      <c r="EE156" s="1"/>
      <c r="EK156" s="98"/>
      <c r="EL156" s="98"/>
      <c r="EM156" s="98"/>
      <c r="EN156" s="98"/>
      <c r="EO156" s="98"/>
      <c r="EP156" s="238"/>
      <c r="EQ156" s="239"/>
      <c r="ER156" s="98"/>
      <c r="ES156" s="98"/>
      <c r="ET156" s="267"/>
      <c r="EU156" s="253"/>
      <c r="EV156" s="254"/>
    </row>
    <row r="157" spans="1:152" s="93" customFormat="1">
      <c r="A157" s="95"/>
      <c r="B157" s="95"/>
      <c r="D157" s="97"/>
      <c r="E157" s="97"/>
      <c r="F157" s="97"/>
      <c r="G157" s="220"/>
      <c r="H157" s="98"/>
      <c r="I157" s="96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92"/>
      <c r="AP157" s="92"/>
      <c r="AQ157" s="92"/>
      <c r="AR157" s="1"/>
      <c r="AS157" s="233"/>
      <c r="AT157" s="1"/>
      <c r="AU157" s="1"/>
      <c r="AV157" s="1"/>
      <c r="AW157" s="1"/>
      <c r="AX157" s="1"/>
      <c r="AY157" s="1"/>
      <c r="AZ157" s="1"/>
      <c r="BA157" s="1"/>
      <c r="BB157" s="1"/>
      <c r="BC157" s="102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36"/>
      <c r="BZ157" s="136"/>
      <c r="CA157" s="136"/>
      <c r="CB157" s="136"/>
      <c r="CC157" s="136"/>
      <c r="CD157" s="136"/>
      <c r="CE157" s="136"/>
      <c r="CF157" s="147"/>
      <c r="CG157" s="136"/>
      <c r="CH157" s="147"/>
      <c r="CI157" s="147"/>
      <c r="CJ157" s="136"/>
      <c r="CK157" s="136"/>
      <c r="CL157" s="136"/>
      <c r="CM157" s="136"/>
      <c r="CN157" s="136"/>
      <c r="CO157" s="136"/>
      <c r="CP157" s="136"/>
      <c r="CQ157" s="1"/>
      <c r="CR157" s="1"/>
      <c r="CS157" s="230"/>
      <c r="CT157" s="1"/>
      <c r="CU157" s="136"/>
      <c r="CV157" s="136"/>
      <c r="CW157" s="136"/>
      <c r="CX157" s="136"/>
      <c r="CY157" s="136"/>
      <c r="CZ157" s="136"/>
      <c r="DA157" s="136"/>
      <c r="DB157" s="136"/>
      <c r="DC157" s="136"/>
      <c r="DD157" s="136"/>
      <c r="DE157" s="211"/>
      <c r="DF157" s="211"/>
      <c r="DG157" s="273"/>
      <c r="DH157" s="136"/>
      <c r="DI157" s="1"/>
      <c r="DJ157" s="1"/>
      <c r="DK157" s="102"/>
      <c r="DL157" s="102"/>
      <c r="DM157" s="102"/>
      <c r="DN157" s="102"/>
      <c r="DO157" s="102"/>
      <c r="DP157" s="143"/>
      <c r="DQ157" s="143"/>
      <c r="DR157" s="143"/>
      <c r="DS157" s="102"/>
      <c r="DT157" s="1"/>
      <c r="DU157" s="1"/>
      <c r="DV157" s="1"/>
      <c r="DW157" s="99"/>
      <c r="DX157" s="1"/>
      <c r="EE157" s="1"/>
      <c r="EK157" s="98"/>
      <c r="EL157" s="98"/>
      <c r="EM157" s="98"/>
      <c r="EN157" s="98"/>
      <c r="EO157" s="98"/>
      <c r="EP157" s="238"/>
      <c r="EQ157" s="239"/>
      <c r="ER157" s="98"/>
      <c r="ES157" s="98"/>
      <c r="ET157" s="267"/>
      <c r="EU157" s="253"/>
      <c r="EV157" s="254"/>
    </row>
    <row r="158" spans="1:152" s="93" customFormat="1">
      <c r="A158" s="95"/>
      <c r="B158" s="95"/>
      <c r="D158" s="97"/>
      <c r="E158" s="97"/>
      <c r="F158" s="97"/>
      <c r="G158" s="220"/>
      <c r="H158" s="98"/>
      <c r="I158" s="96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92"/>
      <c r="AP158" s="92"/>
      <c r="AQ158" s="92"/>
      <c r="AR158" s="1"/>
      <c r="AS158" s="233"/>
      <c r="AT158" s="1"/>
      <c r="AU158" s="1"/>
      <c r="AV158" s="1"/>
      <c r="AW158" s="1"/>
      <c r="AX158" s="1"/>
      <c r="AY158" s="1"/>
      <c r="AZ158" s="1"/>
      <c r="BA158" s="1"/>
      <c r="BB158" s="1"/>
      <c r="BC158" s="102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36"/>
      <c r="BZ158" s="136"/>
      <c r="CA158" s="136"/>
      <c r="CB158" s="136"/>
      <c r="CC158" s="136"/>
      <c r="CD158" s="136"/>
      <c r="CE158" s="136"/>
      <c r="CF158" s="147"/>
      <c r="CG158" s="136"/>
      <c r="CH158" s="147"/>
      <c r="CI158" s="147"/>
      <c r="CJ158" s="136"/>
      <c r="CK158" s="136"/>
      <c r="CL158" s="136"/>
      <c r="CM158" s="136"/>
      <c r="CN158" s="136"/>
      <c r="CO158" s="136"/>
      <c r="CP158" s="136"/>
      <c r="CQ158" s="1"/>
      <c r="CR158" s="1"/>
      <c r="CS158" s="230"/>
      <c r="CT158" s="1"/>
      <c r="CU158" s="136"/>
      <c r="CV158" s="136"/>
      <c r="CW158" s="136"/>
      <c r="CX158" s="136"/>
      <c r="CY158" s="136"/>
      <c r="CZ158" s="136"/>
      <c r="DA158" s="136"/>
      <c r="DB158" s="136"/>
      <c r="DC158" s="136"/>
      <c r="DD158" s="136"/>
      <c r="DE158" s="211"/>
      <c r="DF158" s="211"/>
      <c r="DG158" s="273"/>
      <c r="DH158" s="136"/>
      <c r="DI158" s="1"/>
      <c r="DJ158" s="1"/>
      <c r="DK158" s="102"/>
      <c r="DL158" s="102"/>
      <c r="DM158" s="102"/>
      <c r="DN158" s="102"/>
      <c r="DO158" s="102"/>
      <c r="DP158" s="143"/>
      <c r="DQ158" s="143"/>
      <c r="DR158" s="143"/>
      <c r="DS158" s="102"/>
      <c r="DT158" s="1"/>
      <c r="DU158" s="1"/>
      <c r="DV158" s="1"/>
      <c r="DW158" s="99"/>
      <c r="DX158" s="1"/>
      <c r="EE158" s="1"/>
      <c r="EK158" s="98"/>
      <c r="EL158" s="98"/>
      <c r="EM158" s="98"/>
      <c r="EN158" s="98"/>
      <c r="EO158" s="98"/>
      <c r="EP158" s="238"/>
      <c r="EQ158" s="239"/>
      <c r="ER158" s="98"/>
      <c r="ES158" s="98"/>
      <c r="ET158" s="267"/>
      <c r="EU158" s="253"/>
      <c r="EV158" s="254"/>
    </row>
    <row r="159" spans="1:152" s="93" customFormat="1">
      <c r="A159" s="95"/>
      <c r="B159" s="95"/>
      <c r="D159" s="97"/>
      <c r="E159" s="97"/>
      <c r="F159" s="97"/>
      <c r="G159" s="220"/>
      <c r="H159" s="98"/>
      <c r="I159" s="96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92"/>
      <c r="AP159" s="92"/>
      <c r="AQ159" s="92"/>
      <c r="AR159" s="1"/>
      <c r="AS159" s="233"/>
      <c r="AT159" s="1"/>
      <c r="AU159" s="1"/>
      <c r="AV159" s="1"/>
      <c r="AW159" s="1"/>
      <c r="AX159" s="1"/>
      <c r="AY159" s="1"/>
      <c r="AZ159" s="1"/>
      <c r="BA159" s="1"/>
      <c r="BB159" s="1"/>
      <c r="BC159" s="102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36"/>
      <c r="BZ159" s="136"/>
      <c r="CA159" s="136"/>
      <c r="CB159" s="136"/>
      <c r="CC159" s="136"/>
      <c r="CD159" s="136"/>
      <c r="CE159" s="136"/>
      <c r="CF159" s="147"/>
      <c r="CG159" s="136"/>
      <c r="CH159" s="147"/>
      <c r="CI159" s="147"/>
      <c r="CJ159" s="136"/>
      <c r="CK159" s="136"/>
      <c r="CL159" s="136"/>
      <c r="CM159" s="136"/>
      <c r="CN159" s="136"/>
      <c r="CO159" s="136"/>
      <c r="CP159" s="136"/>
      <c r="CQ159" s="1"/>
      <c r="CR159" s="1"/>
      <c r="CS159" s="230"/>
      <c r="CT159" s="1"/>
      <c r="CU159" s="136"/>
      <c r="CV159" s="136"/>
      <c r="CW159" s="136"/>
      <c r="CX159" s="136"/>
      <c r="CY159" s="136"/>
      <c r="CZ159" s="136"/>
      <c r="DA159" s="136"/>
      <c r="DB159" s="136"/>
      <c r="DC159" s="136"/>
      <c r="DD159" s="136"/>
      <c r="DE159" s="211"/>
      <c r="DF159" s="211"/>
      <c r="DG159" s="273"/>
      <c r="DH159" s="136"/>
      <c r="DI159" s="1"/>
      <c r="DJ159" s="1"/>
      <c r="DK159" s="102"/>
      <c r="DL159" s="102"/>
      <c r="DM159" s="102"/>
      <c r="DN159" s="102"/>
      <c r="DO159" s="102"/>
      <c r="DP159" s="143"/>
      <c r="DQ159" s="143"/>
      <c r="DR159" s="143"/>
      <c r="DS159" s="102"/>
      <c r="DT159" s="1"/>
      <c r="DU159" s="1"/>
      <c r="DV159" s="1"/>
      <c r="DW159" s="99"/>
      <c r="DX159" s="1"/>
      <c r="EE159" s="1"/>
      <c r="EK159" s="98"/>
      <c r="EL159" s="98"/>
      <c r="EM159" s="98"/>
      <c r="EN159" s="98"/>
      <c r="EO159" s="98"/>
      <c r="EP159" s="238"/>
      <c r="EQ159" s="239"/>
      <c r="ER159" s="98"/>
      <c r="ES159" s="98"/>
      <c r="ET159" s="267"/>
      <c r="EU159" s="253"/>
      <c r="EV159" s="254"/>
    </row>
    <row r="160" spans="1:152" s="93" customFormat="1">
      <c r="A160" s="95"/>
      <c r="B160" s="95"/>
      <c r="D160" s="97"/>
      <c r="E160" s="97"/>
      <c r="F160" s="97"/>
      <c r="G160" s="220"/>
      <c r="H160" s="98"/>
      <c r="I160" s="96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92"/>
      <c r="AP160" s="92"/>
      <c r="AQ160" s="92"/>
      <c r="AR160" s="1"/>
      <c r="AS160" s="233"/>
      <c r="AT160" s="1"/>
      <c r="AU160" s="1"/>
      <c r="AV160" s="1"/>
      <c r="AW160" s="1"/>
      <c r="AX160" s="1"/>
      <c r="AY160" s="1"/>
      <c r="AZ160" s="1"/>
      <c r="BA160" s="1"/>
      <c r="BB160" s="1"/>
      <c r="BC160" s="102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36"/>
      <c r="BZ160" s="136"/>
      <c r="CA160" s="136"/>
      <c r="CB160" s="136"/>
      <c r="CC160" s="136"/>
      <c r="CD160" s="136"/>
      <c r="CE160" s="136"/>
      <c r="CF160" s="147"/>
      <c r="CG160" s="136"/>
      <c r="CH160" s="147"/>
      <c r="CI160" s="147"/>
      <c r="CJ160" s="136"/>
      <c r="CK160" s="136"/>
      <c r="CL160" s="136"/>
      <c r="CM160" s="136"/>
      <c r="CN160" s="136"/>
      <c r="CO160" s="136"/>
      <c r="CP160" s="136"/>
      <c r="CQ160" s="1"/>
      <c r="CR160" s="1"/>
      <c r="CS160" s="230"/>
      <c r="CT160" s="1"/>
      <c r="CU160" s="136"/>
      <c r="CV160" s="136"/>
      <c r="CW160" s="136"/>
      <c r="CX160" s="136"/>
      <c r="CY160" s="136"/>
      <c r="CZ160" s="136"/>
      <c r="DA160" s="136"/>
      <c r="DB160" s="136"/>
      <c r="DC160" s="136"/>
      <c r="DD160" s="136"/>
      <c r="DE160" s="211"/>
      <c r="DF160" s="211"/>
      <c r="DG160" s="273"/>
      <c r="DH160" s="136"/>
      <c r="DI160" s="1"/>
      <c r="DJ160" s="1"/>
      <c r="DK160" s="102"/>
      <c r="DL160" s="102"/>
      <c r="DM160" s="102"/>
      <c r="DN160" s="102"/>
      <c r="DO160" s="102"/>
      <c r="DP160" s="143"/>
      <c r="DQ160" s="143"/>
      <c r="DR160" s="143"/>
      <c r="DS160" s="102"/>
      <c r="DT160" s="1"/>
      <c r="DU160" s="1"/>
      <c r="DV160" s="1"/>
      <c r="DW160" s="99"/>
      <c r="DX160" s="1"/>
      <c r="EE160" s="1"/>
      <c r="EK160" s="98"/>
      <c r="EL160" s="98"/>
      <c r="EM160" s="98"/>
      <c r="EN160" s="98"/>
      <c r="EO160" s="98"/>
      <c r="EP160" s="238"/>
      <c r="EQ160" s="239"/>
      <c r="ER160" s="98"/>
      <c r="ES160" s="98"/>
      <c r="ET160" s="267"/>
      <c r="EU160" s="253"/>
      <c r="EV160" s="254"/>
    </row>
    <row r="161" spans="1:152" s="93" customFormat="1">
      <c r="A161" s="95"/>
      <c r="B161" s="95"/>
      <c r="D161" s="97"/>
      <c r="E161" s="97"/>
      <c r="F161" s="97"/>
      <c r="G161" s="220"/>
      <c r="H161" s="98"/>
      <c r="I161" s="96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92"/>
      <c r="AP161" s="92"/>
      <c r="AQ161" s="92"/>
      <c r="AR161" s="1"/>
      <c r="AS161" s="233"/>
      <c r="AT161" s="1"/>
      <c r="AU161" s="1"/>
      <c r="AV161" s="1"/>
      <c r="AW161" s="1"/>
      <c r="AX161" s="1"/>
      <c r="AY161" s="1"/>
      <c r="AZ161" s="1"/>
      <c r="BA161" s="1"/>
      <c r="BB161" s="1"/>
      <c r="BC161" s="102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36"/>
      <c r="BZ161" s="136"/>
      <c r="CA161" s="136"/>
      <c r="CB161" s="136"/>
      <c r="CC161" s="136"/>
      <c r="CD161" s="136"/>
      <c r="CE161" s="136"/>
      <c r="CF161" s="147"/>
      <c r="CG161" s="136"/>
      <c r="CH161" s="147"/>
      <c r="CI161" s="147"/>
      <c r="CJ161" s="136"/>
      <c r="CK161" s="136"/>
      <c r="CL161" s="136"/>
      <c r="CM161" s="136"/>
      <c r="CN161" s="136"/>
      <c r="CO161" s="136"/>
      <c r="CP161" s="136"/>
      <c r="CQ161" s="1"/>
      <c r="CR161" s="1"/>
      <c r="CS161" s="230"/>
      <c r="CT161" s="1"/>
      <c r="CU161" s="136"/>
      <c r="CV161" s="136"/>
      <c r="CW161" s="136"/>
      <c r="CX161" s="136"/>
      <c r="CY161" s="136"/>
      <c r="CZ161" s="136"/>
      <c r="DA161" s="136"/>
      <c r="DB161" s="136"/>
      <c r="DC161" s="136"/>
      <c r="DD161" s="136"/>
      <c r="DE161" s="211"/>
      <c r="DF161" s="211"/>
      <c r="DG161" s="273"/>
      <c r="DH161" s="136"/>
      <c r="DI161" s="1"/>
      <c r="DJ161" s="1"/>
      <c r="DK161" s="102"/>
      <c r="DL161" s="102"/>
      <c r="DM161" s="102"/>
      <c r="DN161" s="102"/>
      <c r="DO161" s="102"/>
      <c r="DP161" s="143"/>
      <c r="DQ161" s="143"/>
      <c r="DR161" s="143"/>
      <c r="DS161" s="102"/>
      <c r="DT161" s="1"/>
      <c r="DU161" s="1"/>
      <c r="DV161" s="1"/>
      <c r="DW161" s="99"/>
      <c r="DX161" s="1"/>
      <c r="EE161" s="1"/>
      <c r="EK161" s="98"/>
      <c r="EL161" s="98"/>
      <c r="EM161" s="98"/>
      <c r="EN161" s="98"/>
      <c r="EO161" s="98"/>
      <c r="EP161" s="238"/>
      <c r="EQ161" s="239"/>
      <c r="ER161" s="98"/>
      <c r="ES161" s="98"/>
      <c r="ET161" s="267"/>
      <c r="EU161" s="253"/>
      <c r="EV161" s="254"/>
    </row>
    <row r="162" spans="1:152" s="93" customFormat="1">
      <c r="A162" s="95"/>
      <c r="B162" s="95"/>
      <c r="D162" s="97"/>
      <c r="E162" s="97"/>
      <c r="F162" s="97"/>
      <c r="G162" s="220"/>
      <c r="H162" s="98"/>
      <c r="I162" s="96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92"/>
      <c r="AP162" s="92"/>
      <c r="AQ162" s="92"/>
      <c r="AR162" s="1"/>
      <c r="AS162" s="233"/>
      <c r="AT162" s="1"/>
      <c r="AU162" s="1"/>
      <c r="AV162" s="1"/>
      <c r="AW162" s="1"/>
      <c r="AX162" s="1"/>
      <c r="AY162" s="1"/>
      <c r="AZ162" s="1"/>
      <c r="BA162" s="1"/>
      <c r="BB162" s="1"/>
      <c r="BC162" s="102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36"/>
      <c r="BZ162" s="136"/>
      <c r="CA162" s="136"/>
      <c r="CB162" s="136"/>
      <c r="CC162" s="136"/>
      <c r="CD162" s="136"/>
      <c r="CE162" s="136"/>
      <c r="CF162" s="147"/>
      <c r="CG162" s="136"/>
      <c r="CH162" s="147"/>
      <c r="CI162" s="147"/>
      <c r="CJ162" s="136"/>
      <c r="CK162" s="136"/>
      <c r="CL162" s="136"/>
      <c r="CM162" s="136"/>
      <c r="CN162" s="136"/>
      <c r="CO162" s="136"/>
      <c r="CP162" s="136"/>
      <c r="CQ162" s="1"/>
      <c r="CR162" s="1"/>
      <c r="CS162" s="230"/>
      <c r="CT162" s="1"/>
      <c r="CU162" s="136"/>
      <c r="CV162" s="136"/>
      <c r="CW162" s="136"/>
      <c r="CX162" s="136"/>
      <c r="CY162" s="136"/>
      <c r="CZ162" s="136"/>
      <c r="DA162" s="136"/>
      <c r="DB162" s="136"/>
      <c r="DC162" s="136"/>
      <c r="DD162" s="136"/>
      <c r="DE162" s="211"/>
      <c r="DF162" s="211"/>
      <c r="DG162" s="273"/>
      <c r="DH162" s="136"/>
      <c r="DI162" s="1"/>
      <c r="DJ162" s="1"/>
      <c r="DK162" s="102"/>
      <c r="DL162" s="102"/>
      <c r="DM162" s="102"/>
      <c r="DN162" s="102"/>
      <c r="DO162" s="102"/>
      <c r="DP162" s="143"/>
      <c r="DQ162" s="143"/>
      <c r="DR162" s="143"/>
      <c r="DS162" s="102"/>
      <c r="DT162" s="1"/>
      <c r="DU162" s="1"/>
      <c r="DV162" s="1"/>
      <c r="DW162" s="99"/>
      <c r="DX162" s="1"/>
      <c r="EE162" s="1"/>
      <c r="EK162" s="98"/>
      <c r="EL162" s="98"/>
      <c r="EM162" s="98"/>
      <c r="EN162" s="98"/>
      <c r="EO162" s="98"/>
      <c r="EP162" s="238"/>
      <c r="EQ162" s="239"/>
      <c r="ER162" s="98"/>
      <c r="ES162" s="98"/>
      <c r="ET162" s="267"/>
      <c r="EU162" s="253"/>
      <c r="EV162" s="254"/>
    </row>
    <row r="163" spans="1:152" s="93" customFormat="1">
      <c r="A163" s="95"/>
      <c r="B163" s="95"/>
      <c r="D163" s="97"/>
      <c r="E163" s="97"/>
      <c r="F163" s="97"/>
      <c r="G163" s="220"/>
      <c r="H163" s="98"/>
      <c r="I163" s="96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92"/>
      <c r="AP163" s="92"/>
      <c r="AQ163" s="92"/>
      <c r="AR163" s="1"/>
      <c r="AS163" s="233"/>
      <c r="AT163" s="1"/>
      <c r="AU163" s="1"/>
      <c r="AV163" s="1"/>
      <c r="AW163" s="1"/>
      <c r="AX163" s="1"/>
      <c r="AY163" s="1"/>
      <c r="AZ163" s="1"/>
      <c r="BA163" s="1"/>
      <c r="BB163" s="1"/>
      <c r="BC163" s="102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36"/>
      <c r="BZ163" s="136"/>
      <c r="CA163" s="136"/>
      <c r="CB163" s="136"/>
      <c r="CC163" s="136"/>
      <c r="CD163" s="136"/>
      <c r="CE163" s="136"/>
      <c r="CF163" s="147"/>
      <c r="CG163" s="136"/>
      <c r="CH163" s="147"/>
      <c r="CI163" s="147"/>
      <c r="CJ163" s="136"/>
      <c r="CK163" s="136"/>
      <c r="CL163" s="136"/>
      <c r="CM163" s="136"/>
      <c r="CN163" s="136"/>
      <c r="CO163" s="136"/>
      <c r="CP163" s="136"/>
      <c r="CQ163" s="1"/>
      <c r="CR163" s="1"/>
      <c r="CS163" s="230"/>
      <c r="CT163" s="1"/>
      <c r="CU163" s="136"/>
      <c r="CV163" s="136"/>
      <c r="CW163" s="136"/>
      <c r="CX163" s="136"/>
      <c r="CY163" s="136"/>
      <c r="CZ163" s="136"/>
      <c r="DA163" s="136"/>
      <c r="DB163" s="136"/>
      <c r="DC163" s="136"/>
      <c r="DD163" s="136"/>
      <c r="DE163" s="211"/>
      <c r="DF163" s="211"/>
      <c r="DG163" s="273"/>
      <c r="DH163" s="136"/>
      <c r="DI163" s="1"/>
      <c r="DJ163" s="1"/>
      <c r="DK163" s="102"/>
      <c r="DL163" s="102"/>
      <c r="DM163" s="102"/>
      <c r="DN163" s="102"/>
      <c r="DO163" s="102"/>
      <c r="DP163" s="143"/>
      <c r="DQ163" s="143"/>
      <c r="DR163" s="143"/>
      <c r="DS163" s="102"/>
      <c r="DT163" s="1"/>
      <c r="DU163" s="1"/>
      <c r="DV163" s="1"/>
      <c r="DW163" s="99"/>
      <c r="DX163" s="1"/>
      <c r="EE163" s="1"/>
      <c r="EK163" s="98"/>
      <c r="EL163" s="98"/>
      <c r="EM163" s="98"/>
      <c r="EN163" s="98"/>
      <c r="EO163" s="98"/>
      <c r="EP163" s="238"/>
      <c r="EQ163" s="239"/>
      <c r="ER163" s="98"/>
      <c r="ES163" s="98"/>
      <c r="ET163" s="267"/>
      <c r="EU163" s="253"/>
      <c r="EV163" s="254"/>
    </row>
    <row r="164" spans="1:152" s="93" customFormat="1">
      <c r="A164" s="95"/>
      <c r="B164" s="95"/>
      <c r="D164" s="97"/>
      <c r="E164" s="97"/>
      <c r="F164" s="97"/>
      <c r="G164" s="220"/>
      <c r="H164" s="98"/>
      <c r="I164" s="96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92"/>
      <c r="AP164" s="92"/>
      <c r="AQ164" s="92"/>
      <c r="AR164" s="1"/>
      <c r="AS164" s="233"/>
      <c r="AT164" s="1"/>
      <c r="AU164" s="1"/>
      <c r="AV164" s="1"/>
      <c r="AW164" s="1"/>
      <c r="AX164" s="1"/>
      <c r="AY164" s="1"/>
      <c r="AZ164" s="1"/>
      <c r="BA164" s="1"/>
      <c r="BB164" s="1"/>
      <c r="BC164" s="102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36"/>
      <c r="BZ164" s="136"/>
      <c r="CA164" s="136"/>
      <c r="CB164" s="136"/>
      <c r="CC164" s="136"/>
      <c r="CD164" s="136"/>
      <c r="CE164" s="136"/>
      <c r="CF164" s="147"/>
      <c r="CG164" s="136"/>
      <c r="CH164" s="147"/>
      <c r="CI164" s="147"/>
      <c r="CJ164" s="136"/>
      <c r="CK164" s="136"/>
      <c r="CL164" s="136"/>
      <c r="CM164" s="136"/>
      <c r="CN164" s="136"/>
      <c r="CO164" s="136"/>
      <c r="CP164" s="136"/>
      <c r="CQ164" s="1"/>
      <c r="CR164" s="1"/>
      <c r="CS164" s="230"/>
      <c r="CT164" s="1"/>
      <c r="CU164" s="136"/>
      <c r="CV164" s="136"/>
      <c r="CW164" s="136"/>
      <c r="CX164" s="136"/>
      <c r="CY164" s="136"/>
      <c r="CZ164" s="136"/>
      <c r="DA164" s="136"/>
      <c r="DB164" s="136"/>
      <c r="DC164" s="136"/>
      <c r="DD164" s="136"/>
      <c r="DE164" s="211"/>
      <c r="DF164" s="211"/>
      <c r="DG164" s="273"/>
      <c r="DH164" s="136"/>
      <c r="DI164" s="1"/>
      <c r="DJ164" s="1"/>
      <c r="DK164" s="102"/>
      <c r="DL164" s="102"/>
      <c r="DM164" s="102"/>
      <c r="DN164" s="102"/>
      <c r="DO164" s="102"/>
      <c r="DP164" s="143"/>
      <c r="DQ164" s="143"/>
      <c r="DR164" s="143"/>
      <c r="DS164" s="102"/>
      <c r="DT164" s="1"/>
      <c r="DU164" s="1"/>
      <c r="DV164" s="1"/>
      <c r="DW164" s="99"/>
      <c r="DX164" s="1"/>
      <c r="EE164" s="1"/>
      <c r="EK164" s="98"/>
      <c r="EL164" s="98"/>
      <c r="EM164" s="98"/>
      <c r="EN164" s="98"/>
      <c r="EO164" s="98"/>
      <c r="EP164" s="238"/>
      <c r="EQ164" s="239"/>
      <c r="ER164" s="98"/>
      <c r="ES164" s="98"/>
      <c r="ET164" s="267"/>
      <c r="EU164" s="253"/>
      <c r="EV164" s="254"/>
    </row>
    <row r="165" spans="1:152" s="93" customFormat="1">
      <c r="A165" s="95"/>
      <c r="B165" s="95"/>
      <c r="C165" s="94"/>
      <c r="D165" s="100"/>
      <c r="E165" s="100"/>
      <c r="F165" s="100"/>
      <c r="G165" s="221"/>
      <c r="H165" s="95"/>
      <c r="I165" s="10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92"/>
      <c r="AP165" s="92"/>
      <c r="AQ165" s="92"/>
      <c r="AR165" s="1"/>
      <c r="AS165" s="233"/>
      <c r="AT165" s="1"/>
      <c r="AU165" s="1"/>
      <c r="AV165" s="1"/>
      <c r="AW165" s="1"/>
      <c r="AX165" s="1"/>
      <c r="AY165" s="1"/>
      <c r="AZ165" s="1"/>
      <c r="BA165" s="1"/>
      <c r="BB165" s="1"/>
      <c r="BC165" s="102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36"/>
      <c r="BZ165" s="136"/>
      <c r="CA165" s="136"/>
      <c r="CB165" s="136"/>
      <c r="CC165" s="136"/>
      <c r="CD165" s="136"/>
      <c r="CE165" s="136"/>
      <c r="CF165" s="147"/>
      <c r="CG165" s="136"/>
      <c r="CH165" s="147"/>
      <c r="CI165" s="147"/>
      <c r="CJ165" s="136"/>
      <c r="CK165" s="136"/>
      <c r="CL165" s="136"/>
      <c r="CM165" s="136"/>
      <c r="CN165" s="136"/>
      <c r="CO165" s="136"/>
      <c r="CP165" s="136"/>
      <c r="CQ165" s="1"/>
      <c r="CR165" s="1"/>
      <c r="CS165" s="230"/>
      <c r="CT165" s="1"/>
      <c r="CU165" s="136"/>
      <c r="CV165" s="136"/>
      <c r="CW165" s="136"/>
      <c r="CX165" s="136"/>
      <c r="CY165" s="136"/>
      <c r="CZ165" s="136"/>
      <c r="DA165" s="136"/>
      <c r="DB165" s="136"/>
      <c r="DC165" s="136"/>
      <c r="DD165" s="136"/>
      <c r="DE165" s="211"/>
      <c r="DF165" s="211"/>
      <c r="DG165" s="273"/>
      <c r="DH165" s="136"/>
      <c r="DI165" s="1"/>
      <c r="DJ165" s="1"/>
      <c r="DK165" s="102"/>
      <c r="DL165" s="102"/>
      <c r="DM165" s="102"/>
      <c r="DN165" s="102"/>
      <c r="DO165" s="102"/>
      <c r="DP165" s="143"/>
      <c r="DQ165" s="143"/>
      <c r="DR165" s="143"/>
      <c r="DS165" s="102"/>
      <c r="DT165" s="1"/>
      <c r="DU165" s="1"/>
      <c r="DV165" s="1"/>
      <c r="DW165" s="99"/>
      <c r="DX165" s="1"/>
      <c r="EE165" s="1"/>
      <c r="EK165" s="98"/>
      <c r="EL165" s="98"/>
      <c r="EM165" s="98"/>
      <c r="EN165" s="98"/>
      <c r="EO165" s="98"/>
      <c r="EP165" s="238"/>
      <c r="EQ165" s="239"/>
      <c r="ER165" s="98"/>
      <c r="ES165" s="98"/>
      <c r="ET165" s="267"/>
      <c r="EU165" s="253"/>
      <c r="EV165" s="254"/>
    </row>
  </sheetData>
  <autoFilter ref="A6:EX8" xr:uid="{00000000-0001-0000-0900-000000000000}"/>
  <mergeCells count="68">
    <mergeCell ref="EI5:EI6"/>
    <mergeCell ref="EJ5:EJ6"/>
    <mergeCell ref="EK5:EK6"/>
    <mergeCell ref="EL5:EL6"/>
    <mergeCell ref="EH5:EH6"/>
    <mergeCell ref="DV5:DX5"/>
    <mergeCell ref="CQ5:CS5"/>
    <mergeCell ref="DG5:DG6"/>
    <mergeCell ref="DI5:DJ5"/>
    <mergeCell ref="CT5:CT6"/>
    <mergeCell ref="DH5:DH6"/>
    <mergeCell ref="DK5:DK6"/>
    <mergeCell ref="DM5:DR5"/>
    <mergeCell ref="DS5:DS6"/>
    <mergeCell ref="EV5:EV6"/>
    <mergeCell ref="A7:EL7"/>
    <mergeCell ref="EM5:EM6"/>
    <mergeCell ref="EN5:EN6"/>
    <mergeCell ref="EO5:EO6"/>
    <mergeCell ref="EP5:EP6"/>
    <mergeCell ref="EQ5:EQ6"/>
    <mergeCell ref="ER5:ER6"/>
    <mergeCell ref="DY5:EB5"/>
    <mergeCell ref="EC5:EC6"/>
    <mergeCell ref="ED5:ED6"/>
    <mergeCell ref="EE5:EF5"/>
    <mergeCell ref="DT5:DT6"/>
    <mergeCell ref="ET5:ET6"/>
    <mergeCell ref="F5:F6"/>
    <mergeCell ref="CF5:CP5"/>
    <mergeCell ref="BJ4:BK4"/>
    <mergeCell ref="BL4:BN4"/>
    <mergeCell ref="BQ4:BS4"/>
    <mergeCell ref="BC4:BE4"/>
    <mergeCell ref="EU5:EU6"/>
    <mergeCell ref="CD5:CD6"/>
    <mergeCell ref="CE5:CE6"/>
    <mergeCell ref="DL5:DL6"/>
    <mergeCell ref="EG5:EG6"/>
    <mergeCell ref="BY5:BY6"/>
    <mergeCell ref="BZ5:BZ6"/>
    <mergeCell ref="CA5:CA6"/>
    <mergeCell ref="CB5:CB6"/>
    <mergeCell ref="CC5:CC6"/>
    <mergeCell ref="ES5:ES6"/>
    <mergeCell ref="DU5:DU6"/>
    <mergeCell ref="G5:G6"/>
    <mergeCell ref="H5:H6"/>
    <mergeCell ref="I5:I6"/>
    <mergeCell ref="BG4:BI4"/>
    <mergeCell ref="AT4:AU4"/>
    <mergeCell ref="AO5:AO6"/>
    <mergeCell ref="AP5:AP6"/>
    <mergeCell ref="AQ5:AQ6"/>
    <mergeCell ref="AR5:AR6"/>
    <mergeCell ref="AS5:AS6"/>
    <mergeCell ref="A5:A6"/>
    <mergeCell ref="B5:B6"/>
    <mergeCell ref="C5:C6"/>
    <mergeCell ref="D5:D6"/>
    <mergeCell ref="E5:E6"/>
    <mergeCell ref="AO1:AS1"/>
    <mergeCell ref="J4:K4"/>
    <mergeCell ref="S4:U4"/>
    <mergeCell ref="W4:Y4"/>
    <mergeCell ref="Z4:AA4"/>
    <mergeCell ref="AB4:AD4"/>
    <mergeCell ref="AG4:AI4"/>
  </mergeCells>
  <conditionalFormatting sqref="A5 A8:B8">
    <cfRule type="duplicateValues" dxfId="20" priority="20879"/>
  </conditionalFormatting>
  <conditionalFormatting sqref="B1:B1048576">
    <cfRule type="duplicateValues" dxfId="19" priority="20860"/>
  </conditionalFormatting>
  <conditionalFormatting sqref="C5:C6 C8">
    <cfRule type="duplicateValues" dxfId="18" priority="20884"/>
  </conditionalFormatting>
  <conditionalFormatting sqref="C8">
    <cfRule type="duplicateValues" dxfId="17" priority="20886"/>
    <cfRule type="duplicateValues" dxfId="16" priority="20887" stopIfTrue="1"/>
  </conditionalFormatting>
  <conditionalFormatting sqref="C9:C65316">
    <cfRule type="duplicateValues" dxfId="15" priority="20873" stopIfTrue="1"/>
  </conditionalFormatting>
  <conditionalFormatting sqref="E8">
    <cfRule type="duplicateValues" dxfId="14" priority="20888"/>
  </conditionalFormatting>
  <conditionalFormatting sqref="F5">
    <cfRule type="duplicateValues" dxfId="13" priority="20857"/>
  </conditionalFormatting>
  <conditionalFormatting sqref="G5 C5">
    <cfRule type="duplicateValues" dxfId="12" priority="28"/>
  </conditionalFormatting>
  <conditionalFormatting sqref="H5">
    <cfRule type="duplicateValues" dxfId="11" priority="26"/>
  </conditionalFormatting>
  <conditionalFormatting sqref="J5:AN6">
    <cfRule type="expression" dxfId="10" priority="19">
      <formula>J5="cn"</formula>
    </cfRule>
  </conditionalFormatting>
  <conditionalFormatting sqref="J8:AN8">
    <cfRule type="expression" dxfId="9" priority="20">
      <formula>J8="CÔ"</formula>
    </cfRule>
    <cfRule type="expression" dxfId="8" priority="21">
      <formula>J8="Ô"</formula>
    </cfRule>
    <cfRule type="expression" dxfId="7" priority="22">
      <formula>J8="KP"</formula>
    </cfRule>
    <cfRule type="expression" dxfId="6" priority="23">
      <formula>J8="CP"</formula>
    </cfRule>
  </conditionalFormatting>
  <conditionalFormatting sqref="AT5:BX6">
    <cfRule type="expression" dxfId="5" priority="18">
      <formula>AT5="CN"</formula>
    </cfRule>
  </conditionalFormatting>
  <conditionalFormatting sqref="DS1:DS1048576">
    <cfRule type="expression" dxfId="4" priority="20874">
      <formula>NOT(_xludf.ISFORMULA($DS$8:$DS$8))</formula>
    </cfRule>
  </conditionalFormatting>
  <conditionalFormatting sqref="ER8 EU8:EV8">
    <cfRule type="duplicateValues" dxfId="3" priority="20877"/>
  </conditionalFormatting>
  <pageMargins left="0.24" right="0.16" top="0.25" bottom="0.2" header="0.2" footer="0.2"/>
  <pageSetup paperSize="9" scale="75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tabColor rgb="FFFF00FF"/>
  </sheetPr>
  <dimension ref="A1:AC1000"/>
  <sheetViews>
    <sheetView showGridLines="0" topLeftCell="A7" workbookViewId="0">
      <selection activeCell="H29" sqref="H29"/>
    </sheetView>
  </sheetViews>
  <sheetFormatPr baseColWidth="10" defaultColWidth="12.796875" defaultRowHeight="15" customHeight="1"/>
  <cols>
    <col min="1" max="1" width="4.796875" style="9" customWidth="1"/>
    <col min="2" max="2" width="3.796875" style="9" customWidth="1"/>
    <col min="3" max="10" width="6.3984375" style="9" customWidth="1"/>
    <col min="11" max="11" width="3.796875" style="9" customWidth="1"/>
    <col min="12" max="17" width="6.3984375" style="9" customWidth="1"/>
    <col min="18" max="18" width="4.19921875" style="9" customWidth="1"/>
    <col min="19" max="19" width="6.3984375" style="9" customWidth="1"/>
    <col min="20" max="20" width="3.796875" style="9" customWidth="1"/>
    <col min="21" max="27" width="6.3984375" style="9" customWidth="1"/>
    <col min="28" max="28" width="4.796875" style="9" customWidth="1"/>
    <col min="29" max="29" width="10.19921875" style="9" customWidth="1"/>
    <col min="30" max="16384" width="12.796875" style="9"/>
  </cols>
  <sheetData>
    <row r="1" spans="1:29" ht="12.75" hidden="1" customHeight="1">
      <c r="A1" s="2"/>
      <c r="B1" s="3"/>
      <c r="C1" s="4" t="s">
        <v>20</v>
      </c>
      <c r="D1" s="4" t="s">
        <v>21</v>
      </c>
      <c r="E1" s="4" t="s">
        <v>22</v>
      </c>
      <c r="F1" s="4" t="s">
        <v>23</v>
      </c>
      <c r="G1" s="5"/>
      <c r="H1" s="5"/>
      <c r="I1" s="6"/>
      <c r="J1" s="5"/>
      <c r="K1" s="5"/>
      <c r="L1" s="5"/>
      <c r="M1" s="4" t="s">
        <v>24</v>
      </c>
      <c r="N1" s="4" t="s">
        <v>25</v>
      </c>
      <c r="O1" s="4" t="s">
        <v>26</v>
      </c>
      <c r="P1" s="4" t="s">
        <v>27</v>
      </c>
      <c r="Q1" s="5"/>
      <c r="R1" s="6"/>
      <c r="S1" s="5"/>
      <c r="T1" s="5"/>
      <c r="U1" s="4" t="s">
        <v>28</v>
      </c>
      <c r="V1" s="4" t="s">
        <v>29</v>
      </c>
      <c r="W1" s="4" t="s">
        <v>30</v>
      </c>
      <c r="X1" s="4" t="s">
        <v>31</v>
      </c>
      <c r="Y1" s="5"/>
      <c r="Z1" s="5"/>
      <c r="AA1" s="5"/>
      <c r="AB1" s="7"/>
      <c r="AC1" s="8"/>
    </row>
    <row r="2" spans="1:29" ht="12.75" hidden="1" customHeight="1">
      <c r="A2" s="10"/>
      <c r="B2" s="11"/>
      <c r="C2" s="12" t="str">
        <f>"1/1/"&amp;I8</f>
        <v>1/1/2026</v>
      </c>
      <c r="D2" s="11">
        <f>U2+31</f>
        <v>46113</v>
      </c>
      <c r="E2" s="11">
        <f>V2+30</f>
        <v>46204</v>
      </c>
      <c r="F2" s="11">
        <f>W2+30</f>
        <v>46296</v>
      </c>
      <c r="G2" s="11"/>
      <c r="H2" s="11"/>
      <c r="I2" s="13"/>
      <c r="J2" s="11"/>
      <c r="K2" s="11"/>
      <c r="L2" s="11">
        <f>IF(OR((AND(MOD(YEAR(C2),4)=0,MOD(YEAR(C2),100)&lt;&gt;0)),(MOD(YEAR(C2),400)=0)),29,28)</f>
        <v>28</v>
      </c>
      <c r="M2" s="11">
        <f>C2+31</f>
        <v>46054</v>
      </c>
      <c r="N2" s="11">
        <f>D2+30</f>
        <v>46143</v>
      </c>
      <c r="O2" s="11">
        <f>E2+31</f>
        <v>46235</v>
      </c>
      <c r="P2" s="11">
        <f>F2+31</f>
        <v>46327</v>
      </c>
      <c r="Q2" s="11"/>
      <c r="R2" s="13"/>
      <c r="S2" s="11"/>
      <c r="T2" s="11"/>
      <c r="U2" s="11">
        <f>M2+L2</f>
        <v>46082</v>
      </c>
      <c r="V2" s="11">
        <f>N2+31</f>
        <v>46174</v>
      </c>
      <c r="W2" s="11">
        <f>O2+31</f>
        <v>46266</v>
      </c>
      <c r="X2" s="11">
        <f>P2+30</f>
        <v>46357</v>
      </c>
      <c r="Y2" s="11"/>
      <c r="Z2" s="11"/>
      <c r="AA2" s="11"/>
      <c r="AB2" s="8"/>
      <c r="AC2" s="8"/>
    </row>
    <row r="3" spans="1:29" ht="12.75" hidden="1" customHeight="1">
      <c r="A3" s="14" t="s">
        <v>20</v>
      </c>
      <c r="B3" s="15"/>
      <c r="C3" s="11">
        <f>IF(WEEKDAY($C$2)=1,1,0)</f>
        <v>0</v>
      </c>
      <c r="D3" s="11">
        <f>IF(WEEKDAY($C$2)=2,1,0)</f>
        <v>0</v>
      </c>
      <c r="E3" s="11">
        <f>IF(WEEKDAY($C$2)=3,1,0)</f>
        <v>0</v>
      </c>
      <c r="F3" s="11">
        <f>IF(WEEKDAY($C$2)=4,1,0)</f>
        <v>0</v>
      </c>
      <c r="G3" s="11">
        <f>IF(WEEKDAY($C$2)=5,1,0)</f>
        <v>1</v>
      </c>
      <c r="H3" s="11">
        <f>IF(WEEKDAY($C$2)=6,1,0)</f>
        <v>0</v>
      </c>
      <c r="I3" s="13">
        <f>IF(WEEKDAY($C$2)=7,1,0)</f>
        <v>0</v>
      </c>
      <c r="J3" s="15" t="s">
        <v>24</v>
      </c>
      <c r="K3" s="15"/>
      <c r="L3" s="11">
        <f>IF(WEEKDAY($M$2)=1,1,0)</f>
        <v>1</v>
      </c>
      <c r="M3" s="11">
        <f>IF(WEEKDAY($M$2)=2,1,0)</f>
        <v>0</v>
      </c>
      <c r="N3" s="11">
        <f>IF(WEEKDAY($M$2)=3,1,0)</f>
        <v>0</v>
      </c>
      <c r="O3" s="11">
        <f>IF(WEEKDAY($M$2)=4,1,0)</f>
        <v>0</v>
      </c>
      <c r="P3" s="11">
        <f>IF(WEEKDAY($M$2)=5,1,0)</f>
        <v>0</v>
      </c>
      <c r="Q3" s="11">
        <f>IF(WEEKDAY($M$2)=6,1,0)</f>
        <v>0</v>
      </c>
      <c r="R3" s="13">
        <f>IF(WEEKDAY($M$2)=7,1,0)</f>
        <v>0</v>
      </c>
      <c r="S3" s="15" t="s">
        <v>28</v>
      </c>
      <c r="T3" s="15"/>
      <c r="U3" s="11">
        <f>IF(WEEKDAY($U$2)=1,1,0)</f>
        <v>1</v>
      </c>
      <c r="V3" s="11">
        <f>IF(WEEKDAY($U$2)=2,1,0)</f>
        <v>0</v>
      </c>
      <c r="W3" s="11">
        <f>IF(WEEKDAY($U$2)=3,1,0)</f>
        <v>0</v>
      </c>
      <c r="X3" s="11">
        <f>IF(WEEKDAY($U$2)=4,1,0)</f>
        <v>0</v>
      </c>
      <c r="Y3" s="11">
        <f>IF(WEEKDAY($U$2)=5,1,0)</f>
        <v>0</v>
      </c>
      <c r="Z3" s="11">
        <f>IF(WEEKDAY($U$2)=6,1,0)</f>
        <v>0</v>
      </c>
      <c r="AA3" s="11">
        <f>IF(WEEKDAY($U$2)=7,1,0)</f>
        <v>0</v>
      </c>
      <c r="AB3" s="8"/>
      <c r="AC3" s="8"/>
    </row>
    <row r="4" spans="1:29" ht="12.75" hidden="1" customHeight="1">
      <c r="A4" s="14" t="s">
        <v>21</v>
      </c>
      <c r="B4" s="15"/>
      <c r="C4" s="11">
        <f>IF(WEEKDAY($D$2)=1,1,0)</f>
        <v>0</v>
      </c>
      <c r="D4" s="11">
        <f>IF(WEEKDAY($D$2)=2,1,0)</f>
        <v>0</v>
      </c>
      <c r="E4" s="11">
        <f>IF(WEEKDAY($D$2)=3,1,0)</f>
        <v>0</v>
      </c>
      <c r="F4" s="11">
        <f>IF(WEEKDAY($D$2)=4,1,0)</f>
        <v>1</v>
      </c>
      <c r="G4" s="11">
        <f>IF(WEEKDAY($D$2)=5,1,0)</f>
        <v>0</v>
      </c>
      <c r="H4" s="11">
        <f>IF(WEEKDAY($D$2)=6,1,0)</f>
        <v>0</v>
      </c>
      <c r="I4" s="13">
        <f>IF(WEEKDAY($D$2)=7,1,0)</f>
        <v>0</v>
      </c>
      <c r="J4" s="15" t="s">
        <v>25</v>
      </c>
      <c r="K4" s="15"/>
      <c r="L4" s="11">
        <f>IF(WEEKDAY($N$2)=1,1,0)</f>
        <v>0</v>
      </c>
      <c r="M4" s="11">
        <f>IF(WEEKDAY($N$2)=2,1,0)</f>
        <v>0</v>
      </c>
      <c r="N4" s="11">
        <f>IF(WEEKDAY($N$2)=3,1,0)</f>
        <v>0</v>
      </c>
      <c r="O4" s="11">
        <f>IF(WEEKDAY($N$2)=4,1,0)</f>
        <v>0</v>
      </c>
      <c r="P4" s="11">
        <f>IF(WEEKDAY($N$2)=5,1,0)</f>
        <v>0</v>
      </c>
      <c r="Q4" s="11">
        <f>IF(WEEKDAY($N$2)=6,1,0)</f>
        <v>1</v>
      </c>
      <c r="R4" s="13">
        <f>IF(WEEKDAY($N$2)=7,1,0)</f>
        <v>0</v>
      </c>
      <c r="S4" s="15" t="s">
        <v>29</v>
      </c>
      <c r="T4" s="15"/>
      <c r="U4" s="11">
        <f>IF(WEEKDAY($V$2)=1,1,0)</f>
        <v>0</v>
      </c>
      <c r="V4" s="11">
        <f>IF(WEEKDAY($V$2)=2,1,0)</f>
        <v>1</v>
      </c>
      <c r="W4" s="11">
        <f>IF(WEEKDAY($V$2)=3,1,0)</f>
        <v>0</v>
      </c>
      <c r="X4" s="11">
        <f>IF(WEEKDAY($V$2)=4,1,0)</f>
        <v>0</v>
      </c>
      <c r="Y4" s="11">
        <f>IF(WEEKDAY($V$2)=5,1,0)</f>
        <v>0</v>
      </c>
      <c r="Z4" s="11">
        <f>IF(WEEKDAY($V$2)=6,1,0)</f>
        <v>0</v>
      </c>
      <c r="AA4" s="11">
        <f>IF(WEEKDAY($V$2)=7,1,0)</f>
        <v>0</v>
      </c>
      <c r="AB4" s="8"/>
      <c r="AC4" s="8"/>
    </row>
    <row r="5" spans="1:29" ht="12.75" hidden="1" customHeight="1">
      <c r="A5" s="14" t="s">
        <v>22</v>
      </c>
      <c r="B5" s="15"/>
      <c r="C5" s="11">
        <f>IF(WEEKDAY($E$2)=1,1,0)</f>
        <v>0</v>
      </c>
      <c r="D5" s="11">
        <f>IF(WEEKDAY($E$2)=2,1,0)</f>
        <v>0</v>
      </c>
      <c r="E5" s="11">
        <f>IF(WEEKDAY($E$2)=3,1,0)</f>
        <v>0</v>
      </c>
      <c r="F5" s="11">
        <f>IF(WEEKDAY($E$2)=4,1,0)</f>
        <v>1</v>
      </c>
      <c r="G5" s="11">
        <f>IF(WEEKDAY($E$2)=5,1,0)</f>
        <v>0</v>
      </c>
      <c r="H5" s="11">
        <f>IF(WEEKDAY($E$2)=6,1,0)</f>
        <v>0</v>
      </c>
      <c r="I5" s="13">
        <f>IF(WEEKDAY($E$2)=7,1,0)</f>
        <v>0</v>
      </c>
      <c r="J5" s="15" t="s">
        <v>26</v>
      </c>
      <c r="K5" s="15"/>
      <c r="L5" s="11">
        <f>IF(WEEKDAY($O$2)=1,1,0)</f>
        <v>0</v>
      </c>
      <c r="M5" s="11">
        <f>IF(WEEKDAY($O$2)=2,1,0)</f>
        <v>0</v>
      </c>
      <c r="N5" s="11">
        <f>IF(WEEKDAY($O$2)=3,1,0)</f>
        <v>0</v>
      </c>
      <c r="O5" s="11">
        <f>IF(WEEKDAY($O$2)=4,1,0)</f>
        <v>0</v>
      </c>
      <c r="P5" s="11">
        <f>IF(WEEKDAY($O$2)=5,1,0)</f>
        <v>0</v>
      </c>
      <c r="Q5" s="11">
        <f>IF(WEEKDAY($O$2)=6,1,0)</f>
        <v>0</v>
      </c>
      <c r="R5" s="13">
        <f>IF(WEEKDAY($O$2)=7,1,0)</f>
        <v>1</v>
      </c>
      <c r="S5" s="15" t="s">
        <v>30</v>
      </c>
      <c r="T5" s="15"/>
      <c r="U5" s="11">
        <f>IF(WEEKDAY($W$2)=1,1,0)</f>
        <v>0</v>
      </c>
      <c r="V5" s="11">
        <f>IF(WEEKDAY($W$2)=2,1,0)</f>
        <v>0</v>
      </c>
      <c r="W5" s="11">
        <f>IF(WEEKDAY($W$2)=3,1,0)</f>
        <v>1</v>
      </c>
      <c r="X5" s="11">
        <f>IF(WEEKDAY($W$2)=4,1,0)</f>
        <v>0</v>
      </c>
      <c r="Y5" s="11">
        <f>IF(WEEKDAY($W$2)=5,1,0)</f>
        <v>0</v>
      </c>
      <c r="Z5" s="11">
        <f>IF(WEEKDAY($W$2)=6,1,0)</f>
        <v>0</v>
      </c>
      <c r="AA5" s="11">
        <f>IF(WEEKDAY($W$2)=7,1,0)</f>
        <v>0</v>
      </c>
      <c r="AB5" s="8"/>
      <c r="AC5" s="8"/>
    </row>
    <row r="6" spans="1:29" ht="12.75" hidden="1" customHeight="1">
      <c r="A6" s="14" t="s">
        <v>23</v>
      </c>
      <c r="B6" s="15"/>
      <c r="C6" s="11">
        <f>IF(WEEKDAY($F$2)=1,1,0)</f>
        <v>0</v>
      </c>
      <c r="D6" s="11">
        <f>IF(WEEKDAY($F$2)=2,1,0)</f>
        <v>0</v>
      </c>
      <c r="E6" s="11">
        <f>IF(WEEKDAY($F$2)=3,1,0)</f>
        <v>0</v>
      </c>
      <c r="F6" s="11">
        <f>IF(WEEKDAY($F$2)=4,1,0)</f>
        <v>0</v>
      </c>
      <c r="G6" s="11">
        <f>IF(WEEKDAY($F$2)=5,1,0)</f>
        <v>1</v>
      </c>
      <c r="H6" s="11">
        <f>IF(WEEKDAY($F$2)=6,1,0)</f>
        <v>0</v>
      </c>
      <c r="I6" s="13">
        <f>IF(WEEKDAY($F$2)=7,1,0)</f>
        <v>0</v>
      </c>
      <c r="J6" s="15" t="s">
        <v>27</v>
      </c>
      <c r="K6" s="15"/>
      <c r="L6" s="11">
        <f>IF(WEEKDAY($P$2)=1,1,0)</f>
        <v>1</v>
      </c>
      <c r="M6" s="11">
        <f>IF(WEEKDAY($P$2)=2,1,0)</f>
        <v>0</v>
      </c>
      <c r="N6" s="11">
        <f>IF(WEEKDAY($P$2)=3,1,0)</f>
        <v>0</v>
      </c>
      <c r="O6" s="11">
        <f>IF(WEEKDAY($P$2)=4,1,0)</f>
        <v>0</v>
      </c>
      <c r="P6" s="11">
        <f>IF(WEEKDAY($P$2)=5,1,0)</f>
        <v>0</v>
      </c>
      <c r="Q6" s="11">
        <f>IF(WEEKDAY($P$2)=6,1,0)</f>
        <v>0</v>
      </c>
      <c r="R6" s="13">
        <f>IF(WEEKDAY($P$2)=7,1,0)</f>
        <v>0</v>
      </c>
      <c r="S6" s="15" t="s">
        <v>31</v>
      </c>
      <c r="T6" s="15"/>
      <c r="U6" s="11">
        <f>IF(WEEKDAY($X$2)=1,1,0)</f>
        <v>0</v>
      </c>
      <c r="V6" s="11">
        <f>IF(WEEKDAY($X$2)=2,1,0)</f>
        <v>0</v>
      </c>
      <c r="W6" s="11">
        <f>IF(WEEKDAY($X$2)=3,1,0)</f>
        <v>1</v>
      </c>
      <c r="X6" s="11">
        <f>IF(WEEKDAY($X$2)=4,1,0)</f>
        <v>0</v>
      </c>
      <c r="Y6" s="11">
        <f>IF(WEEKDAY($X$2)=5,1,0)</f>
        <v>0</v>
      </c>
      <c r="Z6" s="11">
        <f>IF(WEEKDAY($X$2)=6,1,0)</f>
        <v>0</v>
      </c>
      <c r="AA6" s="11">
        <f>IF(WEEKDAY($X$2)=7,1,0)</f>
        <v>0</v>
      </c>
      <c r="AB6" s="8"/>
      <c r="AC6" s="8"/>
    </row>
    <row r="7" spans="1:29" ht="12.75" customHeight="1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</row>
    <row r="8" spans="1:29" ht="24.75" customHeight="1">
      <c r="A8" s="16"/>
      <c r="B8" s="17"/>
      <c r="C8" s="18" t="s">
        <v>32</v>
      </c>
      <c r="D8" s="19"/>
      <c r="E8" s="19"/>
      <c r="F8" s="19"/>
      <c r="G8" s="19"/>
      <c r="H8" s="20"/>
      <c r="I8" s="333">
        <v>2026</v>
      </c>
      <c r="J8" s="334"/>
      <c r="K8" s="334"/>
      <c r="L8" s="8"/>
      <c r="M8" s="8"/>
      <c r="N8" s="21" t="s">
        <v>33</v>
      </c>
      <c r="O8" s="22"/>
      <c r="P8" s="22"/>
      <c r="Q8" s="22"/>
      <c r="R8" s="22"/>
      <c r="S8" s="22"/>
      <c r="T8" s="8"/>
      <c r="U8" s="8"/>
      <c r="V8" s="8"/>
      <c r="W8" s="8"/>
      <c r="X8" s="8"/>
      <c r="Y8" s="8"/>
      <c r="Z8" s="8"/>
      <c r="AA8" s="8"/>
      <c r="AB8" s="8"/>
      <c r="AC8" s="8"/>
    </row>
    <row r="9" spans="1:29" ht="15.75" customHeight="1" thickBot="1">
      <c r="A9" s="23"/>
      <c r="B9" s="23"/>
      <c r="C9" s="335" t="s">
        <v>34</v>
      </c>
      <c r="D9" s="336"/>
      <c r="E9" s="336"/>
      <c r="F9" s="336"/>
      <c r="G9" s="336"/>
      <c r="H9" s="20"/>
      <c r="I9" s="24"/>
      <c r="J9" s="24"/>
      <c r="K9" s="24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</row>
    <row r="10" spans="1:29" ht="7.5" customHeight="1">
      <c r="A10" s="25"/>
      <c r="B10" s="26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8"/>
      <c r="AC10" s="8"/>
    </row>
    <row r="11" spans="1:29" ht="7.5" customHeight="1">
      <c r="A11" s="29"/>
      <c r="B11" s="30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31"/>
      <c r="AC11" s="8"/>
    </row>
    <row r="12" spans="1:29" ht="24.75" customHeight="1">
      <c r="A12" s="32"/>
      <c r="B12" s="23"/>
      <c r="C12" s="20"/>
      <c r="D12" s="20"/>
      <c r="E12" s="20"/>
      <c r="F12" s="20"/>
      <c r="G12" s="20"/>
      <c r="H12" s="20"/>
      <c r="I12" s="20"/>
      <c r="J12" s="337" t="s">
        <v>35</v>
      </c>
      <c r="K12" s="336"/>
      <c r="L12" s="336"/>
      <c r="M12" s="336"/>
      <c r="N12" s="336"/>
      <c r="O12" s="336"/>
      <c r="P12" s="338">
        <f>I8</f>
        <v>2026</v>
      </c>
      <c r="Q12" s="336"/>
      <c r="R12" s="33"/>
      <c r="S12" s="34"/>
      <c r="T12" s="34"/>
      <c r="U12" s="20"/>
      <c r="V12" s="20"/>
      <c r="W12" s="20"/>
      <c r="X12" s="20"/>
      <c r="Y12" s="20"/>
      <c r="Z12" s="20"/>
      <c r="AA12" s="20"/>
      <c r="AB12" s="35"/>
      <c r="AC12" s="8"/>
    </row>
    <row r="13" spans="1:29" ht="20.25" customHeight="1">
      <c r="A13" s="32"/>
      <c r="B13" s="23"/>
      <c r="C13" s="20"/>
      <c r="D13" s="20"/>
      <c r="E13" s="20"/>
      <c r="F13" s="20"/>
      <c r="G13" s="20"/>
      <c r="H13" s="20"/>
      <c r="I13" s="20"/>
      <c r="J13" s="36"/>
      <c r="K13" s="36"/>
      <c r="L13" s="36"/>
      <c r="M13" s="36"/>
      <c r="N13" s="36"/>
      <c r="O13" s="36"/>
      <c r="P13" s="37"/>
      <c r="Q13" s="37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35"/>
      <c r="AC13" s="8"/>
    </row>
    <row r="14" spans="1:29" ht="12.75" customHeight="1">
      <c r="A14" s="29"/>
      <c r="B14" s="30"/>
      <c r="C14" s="8"/>
      <c r="D14" s="8"/>
      <c r="E14" s="3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31"/>
      <c r="AC14" s="8"/>
    </row>
    <row r="15" spans="1:29" ht="12.75" customHeight="1">
      <c r="A15" s="29"/>
      <c r="B15" s="30"/>
      <c r="C15" s="8"/>
      <c r="D15" s="8"/>
      <c r="E15" s="3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31"/>
      <c r="AC15" s="8"/>
    </row>
    <row r="16" spans="1:29" ht="12.75" customHeight="1">
      <c r="A16" s="29"/>
      <c r="B16" s="30"/>
      <c r="C16" s="8"/>
      <c r="D16" s="8"/>
      <c r="E16" s="3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31"/>
      <c r="AC16" s="8"/>
    </row>
    <row r="17" spans="1:29" ht="12.75" customHeight="1">
      <c r="A17" s="29"/>
      <c r="B17" s="30"/>
      <c r="C17" s="8"/>
      <c r="D17" s="8"/>
      <c r="E17" s="38"/>
      <c r="F17" s="8"/>
      <c r="G17" s="8"/>
      <c r="H17" s="8"/>
      <c r="I17" s="8"/>
      <c r="J17" s="8"/>
      <c r="K17" s="8"/>
      <c r="L17" s="8"/>
      <c r="M17" s="8"/>
      <c r="N17" s="38"/>
      <c r="O17" s="8"/>
      <c r="P17" s="8"/>
      <c r="Q17" s="8"/>
      <c r="R17" s="8"/>
      <c r="S17" s="8"/>
      <c r="T17" s="8"/>
      <c r="U17" s="8"/>
      <c r="V17" s="8"/>
      <c r="W17" s="8"/>
      <c r="X17" s="38"/>
      <c r="Y17" s="8"/>
      <c r="Z17" s="8"/>
      <c r="AA17" s="8"/>
      <c r="AB17" s="31"/>
      <c r="AC17" s="8"/>
    </row>
    <row r="18" spans="1:29" ht="12.75" customHeight="1">
      <c r="A18" s="29"/>
      <c r="B18" s="30"/>
      <c r="C18" s="8"/>
      <c r="D18" s="8"/>
      <c r="E18" s="3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31"/>
      <c r="AC18" s="8"/>
    </row>
    <row r="19" spans="1:29" ht="12.75" customHeight="1">
      <c r="A19" s="29"/>
      <c r="B19" s="30"/>
      <c r="C19" s="8"/>
      <c r="D19" s="8"/>
      <c r="E19" s="3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31"/>
      <c r="AC19" s="8"/>
    </row>
    <row r="20" spans="1:29" ht="12.75" customHeight="1">
      <c r="A20" s="29"/>
      <c r="B20" s="30"/>
      <c r="C20" s="8"/>
      <c r="D20" s="8"/>
      <c r="E20" s="3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31"/>
      <c r="AC20" s="8"/>
    </row>
    <row r="21" spans="1:29" ht="18" customHeight="1" thickBot="1">
      <c r="A21" s="39"/>
      <c r="B21" s="332" t="s">
        <v>36</v>
      </c>
      <c r="C21" s="328"/>
      <c r="D21" s="328"/>
      <c r="E21" s="328"/>
      <c r="F21" s="328"/>
      <c r="G21" s="328"/>
      <c r="H21" s="328"/>
      <c r="I21" s="328"/>
      <c r="J21" s="40"/>
      <c r="K21" s="329" t="s">
        <v>37</v>
      </c>
      <c r="L21" s="328"/>
      <c r="M21" s="328"/>
      <c r="N21" s="328"/>
      <c r="O21" s="328"/>
      <c r="P21" s="328"/>
      <c r="Q21" s="328"/>
      <c r="R21" s="328"/>
      <c r="S21" s="40"/>
      <c r="T21" s="327" t="s">
        <v>38</v>
      </c>
      <c r="U21" s="328"/>
      <c r="V21" s="328"/>
      <c r="W21" s="328"/>
      <c r="X21" s="328"/>
      <c r="Y21" s="328"/>
      <c r="Z21" s="328"/>
      <c r="AA21" s="328"/>
      <c r="AB21" s="41"/>
      <c r="AC21" s="42"/>
    </row>
    <row r="22" spans="1:29" ht="18" customHeight="1">
      <c r="A22" s="43"/>
      <c r="B22" s="44" t="s">
        <v>39</v>
      </c>
      <c r="C22" s="45" t="s">
        <v>40</v>
      </c>
      <c r="D22" s="46" t="s">
        <v>41</v>
      </c>
      <c r="E22" s="46" t="s">
        <v>42</v>
      </c>
      <c r="F22" s="46" t="s">
        <v>43</v>
      </c>
      <c r="G22" s="46" t="s">
        <v>44</v>
      </c>
      <c r="H22" s="46" t="s">
        <v>45</v>
      </c>
      <c r="I22" s="47" t="s">
        <v>46</v>
      </c>
      <c r="J22" s="48"/>
      <c r="K22" s="44" t="s">
        <v>39</v>
      </c>
      <c r="L22" s="45" t="s">
        <v>40</v>
      </c>
      <c r="M22" s="46" t="s">
        <v>41</v>
      </c>
      <c r="N22" s="46" t="s">
        <v>42</v>
      </c>
      <c r="O22" s="46" t="s">
        <v>43</v>
      </c>
      <c r="P22" s="46" t="s">
        <v>44</v>
      </c>
      <c r="Q22" s="46" t="s">
        <v>45</v>
      </c>
      <c r="R22" s="47" t="s">
        <v>46</v>
      </c>
      <c r="S22" s="48"/>
      <c r="T22" s="44" t="s">
        <v>39</v>
      </c>
      <c r="U22" s="45" t="s">
        <v>40</v>
      </c>
      <c r="V22" s="46" t="s">
        <v>41</v>
      </c>
      <c r="W22" s="46" t="s">
        <v>42</v>
      </c>
      <c r="X22" s="46" t="s">
        <v>43</v>
      </c>
      <c r="Y22" s="46" t="s">
        <v>44</v>
      </c>
      <c r="Z22" s="46" t="s">
        <v>45</v>
      </c>
      <c r="AA22" s="47" t="s">
        <v>46</v>
      </c>
      <c r="AB22" s="31"/>
      <c r="AC22" s="8"/>
    </row>
    <row r="23" spans="1:29" ht="18" customHeight="1">
      <c r="A23" s="49"/>
      <c r="B23" s="50">
        <v>1</v>
      </c>
      <c r="C23" s="51">
        <f>IF($C$3=1,1,0)</f>
        <v>0</v>
      </c>
      <c r="D23" s="52">
        <f>IF($D$3=1,1,IF(C23&gt;0,C23+1,0))</f>
        <v>0</v>
      </c>
      <c r="E23" s="52">
        <f>IF($E$3=1,1,IF(D23&gt;0,D23+1,0))</f>
        <v>0</v>
      </c>
      <c r="F23" s="52">
        <f>IF($F$3=1,1,IF(E23&gt;0,E23+1,0))</f>
        <v>0</v>
      </c>
      <c r="G23" s="52">
        <f>IF($G$3=1,1,IF(F23&gt;0,F23+1,0))</f>
        <v>1</v>
      </c>
      <c r="H23" s="52">
        <f>IF($H$3=1,1,IF(G23&gt;0,G23+1,0))</f>
        <v>2</v>
      </c>
      <c r="I23" s="53">
        <f>IF($I$3=1,1,IF(H23&gt;0,H23+1,0))</f>
        <v>3</v>
      </c>
      <c r="J23" s="24"/>
      <c r="K23" s="54">
        <f>IF(B28&gt;0,B27+1,B27)</f>
        <v>5</v>
      </c>
      <c r="L23" s="51">
        <f>IF($L$3=1,1,0)</f>
        <v>1</v>
      </c>
      <c r="M23" s="52">
        <f>IF($M$3=1,1,IF(L23&gt;0,L23+1,0))</f>
        <v>2</v>
      </c>
      <c r="N23" s="52">
        <f>IF($N$3=1,1,IF(M23&gt;0,M23+1,0))</f>
        <v>3</v>
      </c>
      <c r="O23" s="52">
        <f>IF($O$3=1,1,IF(N23&gt;0,N23+1,0))</f>
        <v>4</v>
      </c>
      <c r="P23" s="52">
        <f>IF($P$3=1,1,IF(O23&gt;0,O23+1,0))</f>
        <v>5</v>
      </c>
      <c r="Q23" s="52">
        <f>IF($Q$3=1,1,IF(P23&gt;0,P23+1,0))</f>
        <v>6</v>
      </c>
      <c r="R23" s="53">
        <f>IF($R$3=1,1,IF(Q23&gt;0,Q23+1,0))</f>
        <v>7</v>
      </c>
      <c r="S23" s="24"/>
      <c r="T23" s="54">
        <f>IF(K28&gt;0,K27+1,K27)</f>
        <v>9</v>
      </c>
      <c r="U23" s="51">
        <f>IF($U$3=1,1,0)</f>
        <v>1</v>
      </c>
      <c r="V23" s="52">
        <f>IF($V$3=1,1,IF(U23&gt;0,U23+1,0))</f>
        <v>2</v>
      </c>
      <c r="W23" s="52">
        <f>IF($W$3=1,1,IF(V23&gt;0,V23+1,0))</f>
        <v>3</v>
      </c>
      <c r="X23" s="52">
        <f>IF($X$3=1,1,IF(W23&gt;0,W23+1,0))</f>
        <v>4</v>
      </c>
      <c r="Y23" s="52">
        <f>IF($Y$3=1,1,IF(X23&gt;0,X23+1,0))</f>
        <v>5</v>
      </c>
      <c r="Z23" s="52">
        <f>IF($Z$3=1,1,IF(Y23&gt;0,Y23+1,0))</f>
        <v>6</v>
      </c>
      <c r="AA23" s="53">
        <f>IF($AA$3=1,1,IF(Z23&gt;0,Z23+1,0))</f>
        <v>7</v>
      </c>
      <c r="AB23" s="31"/>
      <c r="AC23" s="8"/>
    </row>
    <row r="24" spans="1:29" ht="18" customHeight="1">
      <c r="A24" s="49"/>
      <c r="B24" s="55">
        <f>B23+1</f>
        <v>2</v>
      </c>
      <c r="C24" s="56">
        <f>IF(AND(I23&gt;0,I23&lt;31),I23+1,0)</f>
        <v>4</v>
      </c>
      <c r="D24" s="57">
        <f t="shared" ref="D24:I28" si="0">IF(AND(C24&gt;0,C24&lt;31),C24+1,0)</f>
        <v>5</v>
      </c>
      <c r="E24" s="57">
        <f t="shared" si="0"/>
        <v>6</v>
      </c>
      <c r="F24" s="57">
        <f t="shared" si="0"/>
        <v>7</v>
      </c>
      <c r="G24" s="57">
        <f t="shared" si="0"/>
        <v>8</v>
      </c>
      <c r="H24" s="57">
        <f t="shared" si="0"/>
        <v>9</v>
      </c>
      <c r="I24" s="58">
        <f t="shared" si="0"/>
        <v>10</v>
      </c>
      <c r="J24" s="24"/>
      <c r="K24" s="54">
        <f>K23+1</f>
        <v>6</v>
      </c>
      <c r="L24" s="56">
        <f>IF(AND(R23&gt;0,R23&lt;$L$2),R23+1,0)</f>
        <v>8</v>
      </c>
      <c r="M24" s="57">
        <f t="shared" ref="M24:R29" si="1">IF(AND(L24&gt;0,L24&lt;$L$2),L24+1,0)</f>
        <v>9</v>
      </c>
      <c r="N24" s="57">
        <f t="shared" si="1"/>
        <v>10</v>
      </c>
      <c r="O24" s="57">
        <f t="shared" si="1"/>
        <v>11</v>
      </c>
      <c r="P24" s="57">
        <f t="shared" si="1"/>
        <v>12</v>
      </c>
      <c r="Q24" s="57">
        <f t="shared" si="1"/>
        <v>13</v>
      </c>
      <c r="R24" s="58">
        <f t="shared" si="1"/>
        <v>14</v>
      </c>
      <c r="S24" s="24"/>
      <c r="T24" s="54">
        <f>T23+1</f>
        <v>10</v>
      </c>
      <c r="U24" s="56">
        <f>IF(AND(AA23&gt;0,AA23&lt;31),AA23+1,0)</f>
        <v>8</v>
      </c>
      <c r="V24" s="57">
        <f t="shared" ref="V24:AA28" si="2">IF(AND(U24&gt;0,U24&lt;31),U24+1,0)</f>
        <v>9</v>
      </c>
      <c r="W24" s="57">
        <f t="shared" si="2"/>
        <v>10</v>
      </c>
      <c r="X24" s="57">
        <f t="shared" si="2"/>
        <v>11</v>
      </c>
      <c r="Y24" s="57">
        <f t="shared" si="2"/>
        <v>12</v>
      </c>
      <c r="Z24" s="57">
        <f t="shared" si="2"/>
        <v>13</v>
      </c>
      <c r="AA24" s="58">
        <f t="shared" si="2"/>
        <v>14</v>
      </c>
      <c r="AB24" s="31"/>
      <c r="AC24" s="8"/>
    </row>
    <row r="25" spans="1:29" ht="18" customHeight="1">
      <c r="A25" s="49"/>
      <c r="B25" s="55">
        <f>B24+1</f>
        <v>3</v>
      </c>
      <c r="C25" s="56">
        <f>IF(AND(I24&gt;0,I24&lt;31),I24+1,0)</f>
        <v>11</v>
      </c>
      <c r="D25" s="57">
        <f t="shared" si="0"/>
        <v>12</v>
      </c>
      <c r="E25" s="57">
        <f t="shared" si="0"/>
        <v>13</v>
      </c>
      <c r="F25" s="57">
        <f t="shared" si="0"/>
        <v>14</v>
      </c>
      <c r="G25" s="57">
        <f t="shared" si="0"/>
        <v>15</v>
      </c>
      <c r="H25" s="57">
        <f t="shared" si="0"/>
        <v>16</v>
      </c>
      <c r="I25" s="58">
        <f t="shared" si="0"/>
        <v>17</v>
      </c>
      <c r="J25" s="24"/>
      <c r="K25" s="54">
        <f>K24+1</f>
        <v>7</v>
      </c>
      <c r="L25" s="56">
        <f>IF(AND(R24&gt;0,R24&lt;$L$2),R24+1,0)</f>
        <v>15</v>
      </c>
      <c r="M25" s="57">
        <f t="shared" si="1"/>
        <v>16</v>
      </c>
      <c r="N25" s="57">
        <f t="shared" si="1"/>
        <v>17</v>
      </c>
      <c r="O25" s="57">
        <f>IF(AND(N25&gt;0,N25&lt;$L$2),N25+1,0)</f>
        <v>18</v>
      </c>
      <c r="P25" s="57">
        <f t="shared" si="1"/>
        <v>19</v>
      </c>
      <c r="Q25" s="57">
        <f t="shared" si="1"/>
        <v>20</v>
      </c>
      <c r="R25" s="58">
        <f t="shared" si="1"/>
        <v>21</v>
      </c>
      <c r="S25" s="24"/>
      <c r="T25" s="54">
        <f>T24+1</f>
        <v>11</v>
      </c>
      <c r="U25" s="56">
        <f>IF(AND(AA24&gt;0,AA24&lt;31),AA24+1,0)</f>
        <v>15</v>
      </c>
      <c r="V25" s="57">
        <f t="shared" si="2"/>
        <v>16</v>
      </c>
      <c r="W25" s="57">
        <f t="shared" si="2"/>
        <v>17</v>
      </c>
      <c r="X25" s="57">
        <f t="shared" si="2"/>
        <v>18</v>
      </c>
      <c r="Y25" s="57">
        <f t="shared" si="2"/>
        <v>19</v>
      </c>
      <c r="Z25" s="57">
        <f t="shared" si="2"/>
        <v>20</v>
      </c>
      <c r="AA25" s="58">
        <f t="shared" si="2"/>
        <v>21</v>
      </c>
      <c r="AB25" s="31"/>
      <c r="AC25" s="8"/>
    </row>
    <row r="26" spans="1:29" ht="18" customHeight="1">
      <c r="A26" s="49"/>
      <c r="B26" s="55">
        <f>B25+1</f>
        <v>4</v>
      </c>
      <c r="C26" s="56">
        <f>IF(AND(I25&gt;0,I25&lt;31),I25+1,0)</f>
        <v>18</v>
      </c>
      <c r="D26" s="57">
        <f t="shared" si="0"/>
        <v>19</v>
      </c>
      <c r="E26" s="57">
        <f t="shared" si="0"/>
        <v>20</v>
      </c>
      <c r="F26" s="57">
        <f t="shared" si="0"/>
        <v>21</v>
      </c>
      <c r="G26" s="57">
        <f t="shared" si="0"/>
        <v>22</v>
      </c>
      <c r="H26" s="57">
        <f t="shared" si="0"/>
        <v>23</v>
      </c>
      <c r="I26" s="58">
        <f t="shared" si="0"/>
        <v>24</v>
      </c>
      <c r="J26" s="24"/>
      <c r="K26" s="54">
        <f>K25+1</f>
        <v>8</v>
      </c>
      <c r="L26" s="56">
        <f>IF(AND(R25&gt;0,R25&lt;$L$2),R25+1,0)</f>
        <v>22</v>
      </c>
      <c r="M26" s="57">
        <f t="shared" si="1"/>
        <v>23</v>
      </c>
      <c r="N26" s="57">
        <f t="shared" si="1"/>
        <v>24</v>
      </c>
      <c r="O26" s="57">
        <f t="shared" si="1"/>
        <v>25</v>
      </c>
      <c r="P26" s="57">
        <f t="shared" si="1"/>
        <v>26</v>
      </c>
      <c r="Q26" s="57">
        <f t="shared" si="1"/>
        <v>27</v>
      </c>
      <c r="R26" s="58">
        <f t="shared" si="1"/>
        <v>28</v>
      </c>
      <c r="S26" s="24"/>
      <c r="T26" s="54">
        <f>T25+1</f>
        <v>12</v>
      </c>
      <c r="U26" s="56">
        <f>IF(AND(AA25&gt;0,AA25&lt;31),AA25+1,0)</f>
        <v>22</v>
      </c>
      <c r="V26" s="57">
        <f t="shared" si="2"/>
        <v>23</v>
      </c>
      <c r="W26" s="57">
        <f t="shared" si="2"/>
        <v>24</v>
      </c>
      <c r="X26" s="57">
        <f t="shared" si="2"/>
        <v>25</v>
      </c>
      <c r="Y26" s="57">
        <f t="shared" si="2"/>
        <v>26</v>
      </c>
      <c r="Z26" s="57">
        <f t="shared" si="2"/>
        <v>27</v>
      </c>
      <c r="AA26" s="58">
        <f t="shared" si="2"/>
        <v>28</v>
      </c>
      <c r="AB26" s="31"/>
      <c r="AC26" s="8"/>
    </row>
    <row r="27" spans="1:29" ht="18" customHeight="1">
      <c r="A27" s="49"/>
      <c r="B27" s="55">
        <f>B26+1</f>
        <v>5</v>
      </c>
      <c r="C27" s="56">
        <f>IF(AND(I26&gt;0,I26&lt;31),I26+1,0)</f>
        <v>25</v>
      </c>
      <c r="D27" s="57">
        <f t="shared" si="0"/>
        <v>26</v>
      </c>
      <c r="E27" s="57">
        <f t="shared" si="0"/>
        <v>27</v>
      </c>
      <c r="F27" s="57">
        <f t="shared" si="0"/>
        <v>28</v>
      </c>
      <c r="G27" s="57">
        <f t="shared" si="0"/>
        <v>29</v>
      </c>
      <c r="H27" s="57">
        <f t="shared" si="0"/>
        <v>30</v>
      </c>
      <c r="I27" s="58">
        <f t="shared" si="0"/>
        <v>31</v>
      </c>
      <c r="J27" s="24"/>
      <c r="K27" s="54">
        <f>K26+1</f>
        <v>9</v>
      </c>
      <c r="L27" s="56">
        <f>IF(AND(R26&gt;0,R26&lt;$L$2),R26+1,0)</f>
        <v>0</v>
      </c>
      <c r="M27" s="57">
        <f t="shared" si="1"/>
        <v>0</v>
      </c>
      <c r="N27" s="57">
        <f t="shared" si="1"/>
        <v>0</v>
      </c>
      <c r="O27" s="57">
        <f t="shared" si="1"/>
        <v>0</v>
      </c>
      <c r="P27" s="57">
        <f t="shared" si="1"/>
        <v>0</v>
      </c>
      <c r="Q27" s="57">
        <f t="shared" si="1"/>
        <v>0</v>
      </c>
      <c r="R27" s="58">
        <f t="shared" si="1"/>
        <v>0</v>
      </c>
      <c r="S27" s="24"/>
      <c r="T27" s="54">
        <f>T26+1</f>
        <v>13</v>
      </c>
      <c r="U27" s="56">
        <f>IF(AND(AA26&gt;0,AA26&lt;31),AA26+1,0)</f>
        <v>29</v>
      </c>
      <c r="V27" s="57">
        <f t="shared" si="2"/>
        <v>30</v>
      </c>
      <c r="W27" s="57">
        <f t="shared" si="2"/>
        <v>31</v>
      </c>
      <c r="X27" s="57">
        <f t="shared" si="2"/>
        <v>0</v>
      </c>
      <c r="Y27" s="57">
        <f t="shared" si="2"/>
        <v>0</v>
      </c>
      <c r="Z27" s="59">
        <f t="shared" si="2"/>
        <v>0</v>
      </c>
      <c r="AA27" s="58">
        <f t="shared" si="2"/>
        <v>0</v>
      </c>
      <c r="AB27" s="31"/>
      <c r="AC27" s="8"/>
    </row>
    <row r="28" spans="1:29" ht="11.25" customHeight="1" thickBot="1">
      <c r="A28" s="49"/>
      <c r="B28" s="60">
        <f>IF(C28=0,0,B27+1)</f>
        <v>0</v>
      </c>
      <c r="C28" s="61">
        <f>IF(AND(I27&gt;0,I27&lt;31),I27+1,0)</f>
        <v>0</v>
      </c>
      <c r="D28" s="62">
        <f t="shared" si="0"/>
        <v>0</v>
      </c>
      <c r="E28" s="62">
        <f t="shared" si="0"/>
        <v>0</v>
      </c>
      <c r="F28" s="62">
        <f t="shared" si="0"/>
        <v>0</v>
      </c>
      <c r="G28" s="62">
        <f t="shared" si="0"/>
        <v>0</v>
      </c>
      <c r="H28" s="62">
        <f t="shared" si="0"/>
        <v>0</v>
      </c>
      <c r="I28" s="63">
        <f t="shared" si="0"/>
        <v>0</v>
      </c>
      <c r="J28" s="24"/>
      <c r="K28" s="64">
        <f>IF(L28=0,0,K27+1)</f>
        <v>0</v>
      </c>
      <c r="L28" s="65">
        <f>IF(AND(R27&gt;0,R27&lt;$L$2),R27+1,0)</f>
        <v>0</v>
      </c>
      <c r="M28" s="62">
        <f t="shared" si="1"/>
        <v>0</v>
      </c>
      <c r="N28" s="62">
        <f t="shared" si="1"/>
        <v>0</v>
      </c>
      <c r="O28" s="62">
        <f t="shared" si="1"/>
        <v>0</v>
      </c>
      <c r="P28" s="62">
        <f t="shared" si="1"/>
        <v>0</v>
      </c>
      <c r="Q28" s="62">
        <f t="shared" si="1"/>
        <v>0</v>
      </c>
      <c r="R28" s="63">
        <f t="shared" si="1"/>
        <v>0</v>
      </c>
      <c r="S28" s="24"/>
      <c r="T28" s="64">
        <f>IF(U28=0,0,T27+1)</f>
        <v>0</v>
      </c>
      <c r="U28" s="65">
        <f>IF(AND(AA27&gt;0,AA27&lt;31),AA27+1,0)</f>
        <v>0</v>
      </c>
      <c r="V28" s="62">
        <f t="shared" si="2"/>
        <v>0</v>
      </c>
      <c r="W28" s="62">
        <f t="shared" si="2"/>
        <v>0</v>
      </c>
      <c r="X28" s="62">
        <f t="shared" si="2"/>
        <v>0</v>
      </c>
      <c r="Y28" s="62">
        <f t="shared" si="2"/>
        <v>0</v>
      </c>
      <c r="Z28" s="62">
        <f t="shared" si="2"/>
        <v>0</v>
      </c>
      <c r="AA28" s="63">
        <f t="shared" si="2"/>
        <v>0</v>
      </c>
      <c r="AB28" s="31"/>
      <c r="AC28" s="8"/>
    </row>
    <row r="29" spans="1:29" ht="18" customHeight="1">
      <c r="A29" s="49"/>
      <c r="B29" s="66"/>
      <c r="C29" s="67"/>
      <c r="D29" s="8"/>
      <c r="E29" s="8"/>
      <c r="F29" s="8"/>
      <c r="G29" s="8"/>
      <c r="H29" s="8"/>
      <c r="I29" s="68"/>
      <c r="J29" s="24"/>
      <c r="K29" s="66"/>
      <c r="L29" s="68"/>
      <c r="M29" s="8"/>
      <c r="N29" s="8"/>
      <c r="O29" s="8" t="str">
        <f ca="1">IF(TODAY()=DATE(I8,2,14),"Sinh Nhat Tam","")</f>
        <v/>
      </c>
      <c r="P29" s="8">
        <f t="shared" ca="1" si="1"/>
        <v>0</v>
      </c>
      <c r="Q29" s="8">
        <f t="shared" ca="1" si="1"/>
        <v>0</v>
      </c>
      <c r="R29" s="68">
        <f t="shared" ca="1" si="1"/>
        <v>0</v>
      </c>
      <c r="S29" s="24"/>
      <c r="T29" s="66"/>
      <c r="U29" s="68"/>
      <c r="V29" s="8"/>
      <c r="W29" s="8"/>
      <c r="X29" s="8"/>
      <c r="Y29" s="8"/>
      <c r="Z29" s="8"/>
      <c r="AA29" s="68"/>
      <c r="AB29" s="31"/>
      <c r="AC29" s="8"/>
    </row>
    <row r="30" spans="1:29" ht="18" customHeight="1">
      <c r="A30" s="49"/>
      <c r="B30" s="66"/>
      <c r="C30" s="67"/>
      <c r="D30" s="8"/>
      <c r="E30" s="8"/>
      <c r="F30" s="8"/>
      <c r="G30" s="8"/>
      <c r="H30" s="8"/>
      <c r="I30" s="68"/>
      <c r="J30" s="24"/>
      <c r="K30" s="66"/>
      <c r="L30" s="68"/>
      <c r="M30" s="8"/>
      <c r="N30" s="8"/>
      <c r="O30" s="8"/>
      <c r="P30" s="8"/>
      <c r="Q30" s="8"/>
      <c r="R30" s="68"/>
      <c r="S30" s="24"/>
      <c r="T30" s="66"/>
      <c r="U30" s="68"/>
      <c r="V30" s="8"/>
      <c r="W30" s="8"/>
      <c r="X30" s="8"/>
      <c r="Y30" s="8"/>
      <c r="Z30" s="8"/>
      <c r="AA30" s="68"/>
      <c r="AB30" s="31"/>
      <c r="AC30" s="8"/>
    </row>
    <row r="31" spans="1:29" ht="18" customHeight="1">
      <c r="A31" s="49"/>
      <c r="B31" s="66"/>
      <c r="C31" s="67"/>
      <c r="D31" s="8"/>
      <c r="E31" s="8"/>
      <c r="F31" s="8"/>
      <c r="G31" s="38"/>
      <c r="H31" s="8"/>
      <c r="I31" s="68"/>
      <c r="J31" s="24"/>
      <c r="K31" s="38"/>
      <c r="L31" s="68"/>
      <c r="M31" s="8"/>
      <c r="N31" s="38"/>
      <c r="O31" s="8"/>
      <c r="P31" s="8"/>
      <c r="Q31" s="8"/>
      <c r="R31" s="68"/>
      <c r="S31" s="24"/>
      <c r="T31" s="66"/>
      <c r="U31" s="68"/>
      <c r="V31" s="8"/>
      <c r="W31" s="8"/>
      <c r="X31" s="8"/>
      <c r="Y31" s="8"/>
      <c r="Z31" s="8"/>
      <c r="AA31" s="68"/>
      <c r="AB31" s="31"/>
      <c r="AC31" s="8"/>
    </row>
    <row r="32" spans="1:29" ht="18" customHeight="1">
      <c r="A32" s="49"/>
      <c r="B32" s="66"/>
      <c r="C32" s="67"/>
      <c r="D32" s="8"/>
      <c r="E32" s="8"/>
      <c r="F32" s="8"/>
      <c r="G32" s="8"/>
      <c r="H32" s="8"/>
      <c r="I32" s="68"/>
      <c r="J32" s="24"/>
      <c r="K32" s="66"/>
      <c r="L32" s="68"/>
      <c r="M32" s="8"/>
      <c r="N32" s="8"/>
      <c r="O32" s="8"/>
      <c r="P32" s="8"/>
      <c r="Q32" s="8"/>
      <c r="R32" s="68"/>
      <c r="S32" s="24"/>
      <c r="T32" s="66"/>
      <c r="U32" s="68"/>
      <c r="V32" s="8"/>
      <c r="W32" s="8"/>
      <c r="X32" s="8"/>
      <c r="Y32" s="8"/>
      <c r="Z32" s="8"/>
      <c r="AA32" s="68"/>
      <c r="AB32" s="31"/>
      <c r="AC32" s="8"/>
    </row>
    <row r="33" spans="1:29" ht="18" customHeight="1">
      <c r="A33" s="49"/>
      <c r="B33" s="66"/>
      <c r="C33" s="67"/>
      <c r="D33" s="8"/>
      <c r="E33" s="8"/>
      <c r="F33" s="8"/>
      <c r="G33" s="8"/>
      <c r="H33" s="8"/>
      <c r="I33" s="68"/>
      <c r="J33" s="24"/>
      <c r="K33" s="66"/>
      <c r="L33" s="68"/>
      <c r="M33" s="8"/>
      <c r="N33" s="8"/>
      <c r="O33" s="8"/>
      <c r="P33" s="8"/>
      <c r="Q33" s="8"/>
      <c r="R33" s="68"/>
      <c r="S33" s="24"/>
      <c r="T33" s="66"/>
      <c r="U33" s="68"/>
      <c r="V33" s="8"/>
      <c r="W33" s="8"/>
      <c r="X33" s="8"/>
      <c r="Y33" s="8"/>
      <c r="Z33" s="8"/>
      <c r="AA33" s="68"/>
      <c r="AB33" s="31"/>
      <c r="AC33" s="8"/>
    </row>
    <row r="34" spans="1:29" ht="18" customHeight="1">
      <c r="A34" s="49"/>
      <c r="B34" s="24"/>
      <c r="C34" s="8"/>
      <c r="D34" s="8"/>
      <c r="E34" s="8"/>
      <c r="F34" s="8"/>
      <c r="G34" s="8"/>
      <c r="H34" s="8"/>
      <c r="I34" s="8"/>
      <c r="J34" s="24"/>
      <c r="K34" s="24"/>
      <c r="L34" s="8"/>
      <c r="M34" s="8"/>
      <c r="N34" s="8"/>
      <c r="O34" s="8"/>
      <c r="P34" s="8"/>
      <c r="Q34" s="8"/>
      <c r="R34" s="8"/>
      <c r="S34" s="24"/>
      <c r="T34" s="24"/>
      <c r="U34" s="8"/>
      <c r="V34" s="8"/>
      <c r="W34" s="8"/>
      <c r="X34" s="8"/>
      <c r="Y34" s="8"/>
      <c r="Z34" s="8"/>
      <c r="AA34" s="8"/>
      <c r="AB34" s="31"/>
      <c r="AC34" s="8"/>
    </row>
    <row r="35" spans="1:29" ht="18" customHeight="1" thickBot="1">
      <c r="A35" s="69"/>
      <c r="B35" s="330" t="s">
        <v>47</v>
      </c>
      <c r="C35" s="328"/>
      <c r="D35" s="328"/>
      <c r="E35" s="328"/>
      <c r="F35" s="328"/>
      <c r="G35" s="328"/>
      <c r="H35" s="328"/>
      <c r="I35" s="328"/>
      <c r="J35" s="40"/>
      <c r="K35" s="331" t="s">
        <v>48</v>
      </c>
      <c r="L35" s="328"/>
      <c r="M35" s="328"/>
      <c r="N35" s="328"/>
      <c r="O35" s="328"/>
      <c r="P35" s="328"/>
      <c r="Q35" s="328"/>
      <c r="R35" s="328"/>
      <c r="S35" s="40"/>
      <c r="T35" s="329" t="s">
        <v>49</v>
      </c>
      <c r="U35" s="328"/>
      <c r="V35" s="328"/>
      <c r="W35" s="328"/>
      <c r="X35" s="328"/>
      <c r="Y35" s="328"/>
      <c r="Z35" s="328"/>
      <c r="AA35" s="328"/>
      <c r="AB35" s="70"/>
      <c r="AC35" s="40"/>
    </row>
    <row r="36" spans="1:29" ht="18" customHeight="1">
      <c r="A36" s="49"/>
      <c r="B36" s="44" t="s">
        <v>39</v>
      </c>
      <c r="C36" s="45" t="s">
        <v>40</v>
      </c>
      <c r="D36" s="46" t="s">
        <v>41</v>
      </c>
      <c r="E36" s="46" t="s">
        <v>42</v>
      </c>
      <c r="F36" s="46" t="s">
        <v>43</v>
      </c>
      <c r="G36" s="46" t="s">
        <v>44</v>
      </c>
      <c r="H36" s="46" t="s">
        <v>45</v>
      </c>
      <c r="I36" s="47" t="s">
        <v>46</v>
      </c>
      <c r="J36" s="48"/>
      <c r="K36" s="44" t="s">
        <v>39</v>
      </c>
      <c r="L36" s="45" t="s">
        <v>40</v>
      </c>
      <c r="M36" s="46" t="s">
        <v>41</v>
      </c>
      <c r="N36" s="46" t="s">
        <v>42</v>
      </c>
      <c r="O36" s="46" t="s">
        <v>43</v>
      </c>
      <c r="P36" s="46" t="s">
        <v>44</v>
      </c>
      <c r="Q36" s="46" t="s">
        <v>45</v>
      </c>
      <c r="R36" s="47" t="s">
        <v>46</v>
      </c>
      <c r="S36" s="48"/>
      <c r="T36" s="44" t="s">
        <v>39</v>
      </c>
      <c r="U36" s="45" t="s">
        <v>40</v>
      </c>
      <c r="V36" s="46" t="s">
        <v>41</v>
      </c>
      <c r="W36" s="46" t="s">
        <v>42</v>
      </c>
      <c r="X36" s="46" t="s">
        <v>43</v>
      </c>
      <c r="Y36" s="46" t="s">
        <v>44</v>
      </c>
      <c r="Z36" s="46" t="s">
        <v>45</v>
      </c>
      <c r="AA36" s="47" t="s">
        <v>46</v>
      </c>
      <c r="AB36" s="31"/>
      <c r="AC36" s="8"/>
    </row>
    <row r="37" spans="1:29" ht="18" customHeight="1">
      <c r="A37" s="49"/>
      <c r="B37" s="71">
        <f>IF(T28&gt;0,T28,T27+1)</f>
        <v>14</v>
      </c>
      <c r="C37" s="51">
        <f>IF($C$4=1,1,0)</f>
        <v>0</v>
      </c>
      <c r="D37" s="52">
        <f>IF($D$4=1,1,IF(C37&gt;0,C37+1,0))</f>
        <v>0</v>
      </c>
      <c r="E37" s="52">
        <f>IF($E$4=1,1,IF(D37&gt;0,D37+1,0))</f>
        <v>0</v>
      </c>
      <c r="F37" s="52">
        <f>IF($F$4=1,1,IF(E37&gt;0,E37+1,0))</f>
        <v>1</v>
      </c>
      <c r="G37" s="52">
        <f>IF($G$4=1,1,IF(F37&gt;0,F37+1,0))</f>
        <v>2</v>
      </c>
      <c r="H37" s="52">
        <f>IF($H$4=1,1,IF(G37&gt;0,G37+1,0))</f>
        <v>3</v>
      </c>
      <c r="I37" s="53">
        <f>IF($I$4=1,1,IF(H37&gt;0,H37+1,0))</f>
        <v>4</v>
      </c>
      <c r="J37" s="24"/>
      <c r="K37" s="54">
        <f>IF(B42&gt;0,B41+1,B41)</f>
        <v>18</v>
      </c>
      <c r="L37" s="51">
        <f>IF($L$4=1,1,0)</f>
        <v>0</v>
      </c>
      <c r="M37" s="52">
        <f>IF($M$4=1,1,IF(L37&gt;0,L37+1,0))</f>
        <v>0</v>
      </c>
      <c r="N37" s="52">
        <f>IF($N$4=1,1,IF(M37&gt;0,M37+1,0))</f>
        <v>0</v>
      </c>
      <c r="O37" s="52">
        <f>IF($O$4=1,1,IF(N37&gt;0,N37+1,0))</f>
        <v>0</v>
      </c>
      <c r="P37" s="52">
        <f>IF($P$4=1,1,IF(O37&gt;0,O37+1,0))</f>
        <v>0</v>
      </c>
      <c r="Q37" s="52">
        <f>IF($Q$4=1,1,IF(P37&gt;0,P37+1,0))</f>
        <v>1</v>
      </c>
      <c r="R37" s="53">
        <f>IF($R$4=1,1,IF(Q37&gt;0,Q37+1,0))</f>
        <v>2</v>
      </c>
      <c r="S37" s="24"/>
      <c r="T37" s="54">
        <f>IF(K42&gt;0,K41+1,K41)</f>
        <v>23</v>
      </c>
      <c r="U37" s="51">
        <f>IF($U$4=1,1,0)</f>
        <v>0</v>
      </c>
      <c r="V37" s="52">
        <f>IF($V$4=1,1,IF(U37&gt;0,U37+1,0))</f>
        <v>1</v>
      </c>
      <c r="W37" s="52">
        <f>IF($W$4=1,1,IF(V37&gt;0,V37+1,0))</f>
        <v>2</v>
      </c>
      <c r="X37" s="52">
        <f>IF($X$4=1,1,IF(W37&gt;0,W37+1,0))</f>
        <v>3</v>
      </c>
      <c r="Y37" s="52">
        <f>IF($Y$4=1,1,IF(X37&gt;0,X37+1,0))</f>
        <v>4</v>
      </c>
      <c r="Z37" s="52">
        <f>IF($Z$4=1,1,IF(Y37&gt;0,Y37+1,0))</f>
        <v>5</v>
      </c>
      <c r="AA37" s="53">
        <f>IF($AA$4=1,1,IF(Z37&gt;0,Z37+1,0))</f>
        <v>6</v>
      </c>
      <c r="AB37" s="31"/>
      <c r="AC37" s="8"/>
    </row>
    <row r="38" spans="1:29" ht="18" customHeight="1">
      <c r="A38" s="49"/>
      <c r="B38" s="54">
        <f>B37+1</f>
        <v>15</v>
      </c>
      <c r="C38" s="56">
        <f>IF(AND(I37&gt;0,I37&lt;30),I37+1,0)</f>
        <v>5</v>
      </c>
      <c r="D38" s="57">
        <f t="shared" ref="D38:I42" si="3">IF(AND(C38&gt;0,C38&lt;30),C38+1,0)</f>
        <v>6</v>
      </c>
      <c r="E38" s="57">
        <f t="shared" si="3"/>
        <v>7</v>
      </c>
      <c r="F38" s="57">
        <f t="shared" si="3"/>
        <v>8</v>
      </c>
      <c r="G38" s="57">
        <f t="shared" si="3"/>
        <v>9</v>
      </c>
      <c r="H38" s="57">
        <f t="shared" si="3"/>
        <v>10</v>
      </c>
      <c r="I38" s="58">
        <f t="shared" si="3"/>
        <v>11</v>
      </c>
      <c r="J38" s="24"/>
      <c r="K38" s="54">
        <f>K37+1</f>
        <v>19</v>
      </c>
      <c r="L38" s="56">
        <f>IF(AND(R37&gt;0,R37&lt;31),R37+1,0)</f>
        <v>3</v>
      </c>
      <c r="M38" s="57">
        <f t="shared" ref="M38:R42" si="4">IF(AND(L38&gt;0,L38&lt;31),L38+1,0)</f>
        <v>4</v>
      </c>
      <c r="N38" s="57">
        <f t="shared" si="4"/>
        <v>5</v>
      </c>
      <c r="O38" s="57">
        <f t="shared" si="4"/>
        <v>6</v>
      </c>
      <c r="P38" s="57">
        <f t="shared" si="4"/>
        <v>7</v>
      </c>
      <c r="Q38" s="57">
        <f t="shared" si="4"/>
        <v>8</v>
      </c>
      <c r="R38" s="58">
        <f t="shared" si="4"/>
        <v>9</v>
      </c>
      <c r="S38" s="24"/>
      <c r="T38" s="54">
        <f>T37+1</f>
        <v>24</v>
      </c>
      <c r="U38" s="56">
        <f>IF(AND(AA37&gt;0,AA37&lt;30),AA37+1,0)</f>
        <v>7</v>
      </c>
      <c r="V38" s="57">
        <f t="shared" ref="V38:AA42" si="5">IF(AND(U38&gt;0,U38&lt;30),U38+1,0)</f>
        <v>8</v>
      </c>
      <c r="W38" s="57">
        <f t="shared" si="5"/>
        <v>9</v>
      </c>
      <c r="X38" s="57">
        <f t="shared" si="5"/>
        <v>10</v>
      </c>
      <c r="Y38" s="57">
        <f t="shared" si="5"/>
        <v>11</v>
      </c>
      <c r="Z38" s="57">
        <f t="shared" si="5"/>
        <v>12</v>
      </c>
      <c r="AA38" s="58">
        <f t="shared" si="5"/>
        <v>13</v>
      </c>
      <c r="AB38" s="31"/>
      <c r="AC38" s="8"/>
    </row>
    <row r="39" spans="1:29" ht="18" customHeight="1">
      <c r="A39" s="49"/>
      <c r="B39" s="54">
        <f>B38+1</f>
        <v>16</v>
      </c>
      <c r="C39" s="56">
        <f>IF(AND(I38&gt;0,I38&lt;30),I38+1,0)</f>
        <v>12</v>
      </c>
      <c r="D39" s="57">
        <f t="shared" si="3"/>
        <v>13</v>
      </c>
      <c r="E39" s="57">
        <f t="shared" si="3"/>
        <v>14</v>
      </c>
      <c r="F39" s="57">
        <f t="shared" si="3"/>
        <v>15</v>
      </c>
      <c r="G39" s="57">
        <f t="shared" si="3"/>
        <v>16</v>
      </c>
      <c r="H39" s="57">
        <f t="shared" si="3"/>
        <v>17</v>
      </c>
      <c r="I39" s="58">
        <f t="shared" si="3"/>
        <v>18</v>
      </c>
      <c r="J39" s="24"/>
      <c r="K39" s="54">
        <f>K38+1</f>
        <v>20</v>
      </c>
      <c r="L39" s="56">
        <f>IF(AND(R38&gt;0,R38&lt;31),R38+1,0)</f>
        <v>10</v>
      </c>
      <c r="M39" s="57">
        <f t="shared" si="4"/>
        <v>11</v>
      </c>
      <c r="N39" s="57">
        <f t="shared" si="4"/>
        <v>12</v>
      </c>
      <c r="O39" s="57">
        <f t="shared" si="4"/>
        <v>13</v>
      </c>
      <c r="P39" s="57">
        <f t="shared" si="4"/>
        <v>14</v>
      </c>
      <c r="Q39" s="57">
        <f t="shared" si="4"/>
        <v>15</v>
      </c>
      <c r="R39" s="58">
        <f t="shared" si="4"/>
        <v>16</v>
      </c>
      <c r="S39" s="24"/>
      <c r="T39" s="54">
        <f>T38+1</f>
        <v>25</v>
      </c>
      <c r="U39" s="56">
        <f>IF(AND(AA38&gt;0,AA38&lt;30),AA38+1,0)</f>
        <v>14</v>
      </c>
      <c r="V39" s="57">
        <f t="shared" si="5"/>
        <v>15</v>
      </c>
      <c r="W39" s="57">
        <f t="shared" si="5"/>
        <v>16</v>
      </c>
      <c r="X39" s="57">
        <f t="shared" si="5"/>
        <v>17</v>
      </c>
      <c r="Y39" s="57">
        <f t="shared" si="5"/>
        <v>18</v>
      </c>
      <c r="Z39" s="57">
        <f t="shared" si="5"/>
        <v>19</v>
      </c>
      <c r="AA39" s="58">
        <f t="shared" si="5"/>
        <v>20</v>
      </c>
      <c r="AB39" s="31"/>
      <c r="AC39" s="8"/>
    </row>
    <row r="40" spans="1:29" ht="18" customHeight="1">
      <c r="A40" s="49"/>
      <c r="B40" s="54">
        <f>B39+1</f>
        <v>17</v>
      </c>
      <c r="C40" s="56">
        <f>IF(AND(I39&gt;0,I39&lt;30),I39+1,0)</f>
        <v>19</v>
      </c>
      <c r="D40" s="57">
        <f t="shared" si="3"/>
        <v>20</v>
      </c>
      <c r="E40" s="57">
        <f t="shared" si="3"/>
        <v>21</v>
      </c>
      <c r="F40" s="57">
        <f t="shared" si="3"/>
        <v>22</v>
      </c>
      <c r="G40" s="57">
        <f t="shared" si="3"/>
        <v>23</v>
      </c>
      <c r="H40" s="57">
        <f t="shared" si="3"/>
        <v>24</v>
      </c>
      <c r="I40" s="58">
        <f t="shared" si="3"/>
        <v>25</v>
      </c>
      <c r="J40" s="24"/>
      <c r="K40" s="54">
        <f>K39+1</f>
        <v>21</v>
      </c>
      <c r="L40" s="56">
        <f>IF(AND(R39&gt;0,R39&lt;31),R39+1,0)</f>
        <v>17</v>
      </c>
      <c r="M40" s="57">
        <f t="shared" si="4"/>
        <v>18</v>
      </c>
      <c r="N40" s="57">
        <f t="shared" si="4"/>
        <v>19</v>
      </c>
      <c r="O40" s="57">
        <f t="shared" si="4"/>
        <v>20</v>
      </c>
      <c r="P40" s="57">
        <f t="shared" si="4"/>
        <v>21</v>
      </c>
      <c r="Q40" s="57">
        <f t="shared" si="4"/>
        <v>22</v>
      </c>
      <c r="R40" s="58">
        <f t="shared" si="4"/>
        <v>23</v>
      </c>
      <c r="S40" s="24"/>
      <c r="T40" s="54">
        <f>T39+1</f>
        <v>26</v>
      </c>
      <c r="U40" s="56">
        <f>IF(AND(AA39&gt;0,AA39&lt;30),AA39+1,0)</f>
        <v>21</v>
      </c>
      <c r="V40" s="57">
        <f t="shared" si="5"/>
        <v>22</v>
      </c>
      <c r="W40" s="57">
        <f t="shared" si="5"/>
        <v>23</v>
      </c>
      <c r="X40" s="57">
        <f t="shared" si="5"/>
        <v>24</v>
      </c>
      <c r="Y40" s="57">
        <f t="shared" si="5"/>
        <v>25</v>
      </c>
      <c r="Z40" s="57">
        <f t="shared" si="5"/>
        <v>26</v>
      </c>
      <c r="AA40" s="58">
        <f t="shared" si="5"/>
        <v>27</v>
      </c>
      <c r="AB40" s="31"/>
      <c r="AC40" s="8"/>
    </row>
    <row r="41" spans="1:29" ht="18" customHeight="1">
      <c r="A41" s="49"/>
      <c r="B41" s="54">
        <f>B40+1</f>
        <v>18</v>
      </c>
      <c r="C41" s="56">
        <f>IF(AND(I40&gt;0,I40&lt;30),I40+1,0)</f>
        <v>26</v>
      </c>
      <c r="D41" s="57">
        <f t="shared" si="3"/>
        <v>27</v>
      </c>
      <c r="E41" s="57">
        <f t="shared" si="3"/>
        <v>28</v>
      </c>
      <c r="F41" s="57">
        <f t="shared" si="3"/>
        <v>29</v>
      </c>
      <c r="G41" s="57">
        <f t="shared" si="3"/>
        <v>30</v>
      </c>
      <c r="H41" s="57">
        <f t="shared" si="3"/>
        <v>0</v>
      </c>
      <c r="I41" s="58">
        <f t="shared" si="3"/>
        <v>0</v>
      </c>
      <c r="J41" s="24"/>
      <c r="K41" s="54">
        <f>K40+1</f>
        <v>22</v>
      </c>
      <c r="L41" s="56">
        <f>IF(AND(R40&gt;0,R40&lt;31),R40+1,0)</f>
        <v>24</v>
      </c>
      <c r="M41" s="57">
        <f t="shared" si="4"/>
        <v>25</v>
      </c>
      <c r="N41" s="57">
        <f t="shared" si="4"/>
        <v>26</v>
      </c>
      <c r="O41" s="57">
        <f t="shared" si="4"/>
        <v>27</v>
      </c>
      <c r="P41" s="57">
        <f t="shared" si="4"/>
        <v>28</v>
      </c>
      <c r="Q41" s="57">
        <f t="shared" si="4"/>
        <v>29</v>
      </c>
      <c r="R41" s="58">
        <f t="shared" si="4"/>
        <v>30</v>
      </c>
      <c r="S41" s="24"/>
      <c r="T41" s="54">
        <f>T40+1</f>
        <v>27</v>
      </c>
      <c r="U41" s="56">
        <f>IF(AND(AA40&gt;0,AA40&lt;30),AA40+1,0)</f>
        <v>28</v>
      </c>
      <c r="V41" s="57">
        <f t="shared" si="5"/>
        <v>29</v>
      </c>
      <c r="W41" s="57">
        <f t="shared" si="5"/>
        <v>30</v>
      </c>
      <c r="X41" s="57">
        <f t="shared" si="5"/>
        <v>0</v>
      </c>
      <c r="Y41" s="57">
        <f t="shared" si="5"/>
        <v>0</v>
      </c>
      <c r="Z41" s="57">
        <f t="shared" si="5"/>
        <v>0</v>
      </c>
      <c r="AA41" s="58">
        <f t="shared" si="5"/>
        <v>0</v>
      </c>
      <c r="AB41" s="31"/>
      <c r="AC41" s="8"/>
    </row>
    <row r="42" spans="1:29" ht="18" customHeight="1" thickBot="1">
      <c r="A42" s="49"/>
      <c r="B42" s="64">
        <f>IF(C42=0,0,B41+1)</f>
        <v>0</v>
      </c>
      <c r="C42" s="61">
        <f>IF(AND(I41&gt;0,I41&lt;30),I41+1,0)</f>
        <v>0</v>
      </c>
      <c r="D42" s="62">
        <f t="shared" si="3"/>
        <v>0</v>
      </c>
      <c r="E42" s="62">
        <f t="shared" si="3"/>
        <v>0</v>
      </c>
      <c r="F42" s="62">
        <f t="shared" si="3"/>
        <v>0</v>
      </c>
      <c r="G42" s="62">
        <f t="shared" si="3"/>
        <v>0</v>
      </c>
      <c r="H42" s="62">
        <f t="shared" si="3"/>
        <v>0</v>
      </c>
      <c r="I42" s="63">
        <f t="shared" si="3"/>
        <v>0</v>
      </c>
      <c r="J42" s="24"/>
      <c r="K42" s="64">
        <f>IF(L42=0,0,K41+1)</f>
        <v>23</v>
      </c>
      <c r="L42" s="65">
        <f>IF(AND(R41&gt;0,R41&lt;31),R41+1,0)</f>
        <v>31</v>
      </c>
      <c r="M42" s="62">
        <f t="shared" si="4"/>
        <v>0</v>
      </c>
      <c r="N42" s="62">
        <f t="shared" si="4"/>
        <v>0</v>
      </c>
      <c r="O42" s="62">
        <f t="shared" si="4"/>
        <v>0</v>
      </c>
      <c r="P42" s="62">
        <f t="shared" si="4"/>
        <v>0</v>
      </c>
      <c r="Q42" s="62">
        <f t="shared" si="4"/>
        <v>0</v>
      </c>
      <c r="R42" s="63">
        <f t="shared" si="4"/>
        <v>0</v>
      </c>
      <c r="S42" s="24"/>
      <c r="T42" s="64">
        <f>IF(U42=0,0,T41+1)</f>
        <v>0</v>
      </c>
      <c r="U42" s="65">
        <f>IF(AND(AA41&gt;0,AA41&lt;30),AA41+1,0)</f>
        <v>0</v>
      </c>
      <c r="V42" s="62">
        <f t="shared" si="5"/>
        <v>0</v>
      </c>
      <c r="W42" s="62">
        <f t="shared" si="5"/>
        <v>0</v>
      </c>
      <c r="X42" s="62">
        <f t="shared" si="5"/>
        <v>0</v>
      </c>
      <c r="Y42" s="62">
        <f t="shared" si="5"/>
        <v>0</v>
      </c>
      <c r="Z42" s="62">
        <f t="shared" si="5"/>
        <v>0</v>
      </c>
      <c r="AA42" s="63">
        <f t="shared" si="5"/>
        <v>0</v>
      </c>
      <c r="AB42" s="31"/>
      <c r="AC42" s="8"/>
    </row>
    <row r="43" spans="1:29" ht="18" customHeight="1">
      <c r="A43" s="49"/>
      <c r="B43" s="72"/>
      <c r="C43" s="73"/>
      <c r="D43" s="22"/>
      <c r="E43" s="22"/>
      <c r="F43" s="22"/>
      <c r="G43" s="22"/>
      <c r="H43" s="22"/>
      <c r="I43" s="74"/>
      <c r="J43" s="24"/>
      <c r="K43" s="72"/>
      <c r="L43" s="74"/>
      <c r="M43" s="22"/>
      <c r="N43" s="22"/>
      <c r="O43" s="22"/>
      <c r="P43" s="22"/>
      <c r="Q43" s="22"/>
      <c r="R43" s="74"/>
      <c r="S43" s="24"/>
      <c r="T43" s="72"/>
      <c r="U43" s="74"/>
      <c r="V43" s="22"/>
      <c r="W43" s="22"/>
      <c r="X43" s="22"/>
      <c r="Y43" s="22"/>
      <c r="Z43" s="22"/>
      <c r="AA43" s="74"/>
      <c r="AB43" s="31"/>
      <c r="AC43" s="8"/>
    </row>
    <row r="44" spans="1:29" ht="18" customHeight="1">
      <c r="A44" s="49"/>
      <c r="B44" s="24"/>
      <c r="C44" s="8"/>
      <c r="D44" s="8"/>
      <c r="E44" s="8"/>
      <c r="F44" s="8"/>
      <c r="G44" s="8"/>
      <c r="H44" s="8"/>
      <c r="I44" s="8"/>
      <c r="J44" s="24"/>
      <c r="K44" s="24"/>
      <c r="L44" s="8"/>
      <c r="M44" s="8"/>
      <c r="N44" s="8"/>
      <c r="O44" s="8"/>
      <c r="P44" s="8"/>
      <c r="Q44" s="8"/>
      <c r="R44" s="8"/>
      <c r="S44" s="24"/>
      <c r="T44" s="24"/>
      <c r="U44" s="8"/>
      <c r="V44" s="8"/>
      <c r="W44" s="8"/>
      <c r="X44" s="8"/>
      <c r="Y44" s="8"/>
      <c r="Z44" s="8"/>
      <c r="AA44" s="8"/>
      <c r="AB44" s="31"/>
      <c r="AC44" s="8"/>
    </row>
    <row r="45" spans="1:29" ht="18" customHeight="1">
      <c r="A45" s="49"/>
      <c r="B45" s="24"/>
      <c r="C45" s="8"/>
      <c r="D45" s="8"/>
      <c r="E45" s="8"/>
      <c r="F45" s="8"/>
      <c r="G45" s="8"/>
      <c r="H45" s="8"/>
      <c r="I45" s="8"/>
      <c r="J45" s="24"/>
      <c r="K45" s="24"/>
      <c r="L45" s="8"/>
      <c r="M45" s="8"/>
      <c r="N45" s="38"/>
      <c r="O45" s="8"/>
      <c r="P45" s="8"/>
      <c r="Q45" s="8"/>
      <c r="R45" s="8"/>
      <c r="S45" s="24"/>
      <c r="T45" s="24"/>
      <c r="U45" s="8"/>
      <c r="V45" s="38"/>
      <c r="W45" s="8"/>
      <c r="X45" s="8"/>
      <c r="Y45" s="8"/>
      <c r="Z45" s="8"/>
      <c r="AA45" s="8"/>
      <c r="AB45" s="31"/>
      <c r="AC45" s="8"/>
    </row>
    <row r="46" spans="1:29" ht="18" customHeight="1">
      <c r="A46" s="49"/>
      <c r="B46" s="24"/>
      <c r="C46" s="8"/>
      <c r="D46" s="8"/>
      <c r="E46" s="38"/>
      <c r="F46" s="8"/>
      <c r="G46" s="8"/>
      <c r="H46" s="8"/>
      <c r="I46" s="8"/>
      <c r="J46" s="24"/>
      <c r="K46" s="24"/>
      <c r="L46" s="8"/>
      <c r="M46" s="8"/>
      <c r="N46" s="8"/>
      <c r="O46" s="8"/>
      <c r="P46" s="8"/>
      <c r="Q46" s="8"/>
      <c r="R46" s="8"/>
      <c r="S46" s="24"/>
      <c r="T46" s="24"/>
      <c r="U46" s="8"/>
      <c r="V46" s="8"/>
      <c r="W46" s="8"/>
      <c r="X46" s="8"/>
      <c r="Y46" s="8"/>
      <c r="Z46" s="8"/>
      <c r="AA46" s="8"/>
      <c r="AB46" s="31"/>
      <c r="AC46" s="8"/>
    </row>
    <row r="47" spans="1:29" ht="18" customHeight="1">
      <c r="A47" s="49"/>
      <c r="B47" s="24"/>
      <c r="C47" s="8"/>
      <c r="D47" s="8"/>
      <c r="E47" s="8"/>
      <c r="F47" s="8"/>
      <c r="G47" s="8"/>
      <c r="H47" s="8"/>
      <c r="I47" s="8"/>
      <c r="J47" s="24"/>
      <c r="K47" s="24"/>
      <c r="L47" s="8"/>
      <c r="M47" s="8"/>
      <c r="N47" s="8"/>
      <c r="O47" s="8"/>
      <c r="P47" s="8"/>
      <c r="Q47" s="8"/>
      <c r="R47" s="8"/>
      <c r="S47" s="24"/>
      <c r="T47" s="24"/>
      <c r="U47" s="8"/>
      <c r="V47" s="8"/>
      <c r="W47" s="8"/>
      <c r="X47" s="8"/>
      <c r="Y47" s="8"/>
      <c r="Z47" s="8"/>
      <c r="AA47" s="8"/>
      <c r="AB47" s="31"/>
      <c r="AC47" s="8"/>
    </row>
    <row r="48" spans="1:29" ht="18" customHeight="1">
      <c r="A48" s="49"/>
      <c r="B48" s="24"/>
      <c r="C48" s="8"/>
      <c r="D48" s="8"/>
      <c r="E48" s="8"/>
      <c r="F48" s="8"/>
      <c r="G48" s="8"/>
      <c r="H48" s="8"/>
      <c r="I48" s="8"/>
      <c r="J48" s="24"/>
      <c r="K48" s="24"/>
      <c r="L48" s="8"/>
      <c r="M48" s="8"/>
      <c r="N48" s="8"/>
      <c r="O48" s="8"/>
      <c r="P48" s="8"/>
      <c r="Q48" s="8"/>
      <c r="R48" s="8"/>
      <c r="S48" s="24"/>
      <c r="T48" s="24"/>
      <c r="U48" s="8"/>
      <c r="V48" s="8"/>
      <c r="W48" s="8"/>
      <c r="X48" s="8"/>
      <c r="Y48" s="8"/>
      <c r="Z48" s="8"/>
      <c r="AA48" s="8"/>
      <c r="AB48" s="31"/>
      <c r="AC48" s="8"/>
    </row>
    <row r="49" spans="1:29" ht="18" customHeight="1" thickBot="1">
      <c r="A49" s="69"/>
      <c r="B49" s="329" t="s">
        <v>50</v>
      </c>
      <c r="C49" s="328"/>
      <c r="D49" s="328"/>
      <c r="E49" s="328"/>
      <c r="F49" s="328"/>
      <c r="G49" s="328"/>
      <c r="H49" s="328"/>
      <c r="I49" s="328"/>
      <c r="J49" s="40"/>
      <c r="K49" s="330" t="s">
        <v>51</v>
      </c>
      <c r="L49" s="328"/>
      <c r="M49" s="328"/>
      <c r="N49" s="328"/>
      <c r="O49" s="328"/>
      <c r="P49" s="328"/>
      <c r="Q49" s="328"/>
      <c r="R49" s="328"/>
      <c r="S49" s="40"/>
      <c r="T49" s="332" t="s">
        <v>52</v>
      </c>
      <c r="U49" s="328"/>
      <c r="V49" s="328"/>
      <c r="W49" s="328"/>
      <c r="X49" s="328"/>
      <c r="Y49" s="328"/>
      <c r="Z49" s="328"/>
      <c r="AA49" s="328"/>
      <c r="AB49" s="70"/>
      <c r="AC49" s="40"/>
    </row>
    <row r="50" spans="1:29" ht="18" customHeight="1">
      <c r="A50" s="49"/>
      <c r="B50" s="44" t="s">
        <v>39</v>
      </c>
      <c r="C50" s="45" t="s">
        <v>40</v>
      </c>
      <c r="D50" s="46" t="s">
        <v>41</v>
      </c>
      <c r="E50" s="46" t="s">
        <v>42</v>
      </c>
      <c r="F50" s="46" t="s">
        <v>43</v>
      </c>
      <c r="G50" s="46" t="s">
        <v>44</v>
      </c>
      <c r="H50" s="46" t="s">
        <v>45</v>
      </c>
      <c r="I50" s="47" t="s">
        <v>46</v>
      </c>
      <c r="J50" s="48"/>
      <c r="K50" s="44" t="s">
        <v>39</v>
      </c>
      <c r="L50" s="45" t="s">
        <v>40</v>
      </c>
      <c r="M50" s="46" t="s">
        <v>41</v>
      </c>
      <c r="N50" s="46" t="s">
        <v>42</v>
      </c>
      <c r="O50" s="46" t="s">
        <v>43</v>
      </c>
      <c r="P50" s="46" t="s">
        <v>44</v>
      </c>
      <c r="Q50" s="46" t="s">
        <v>45</v>
      </c>
      <c r="R50" s="47" t="s">
        <v>46</v>
      </c>
      <c r="S50" s="48"/>
      <c r="T50" s="44" t="s">
        <v>39</v>
      </c>
      <c r="U50" s="45" t="s">
        <v>40</v>
      </c>
      <c r="V50" s="46" t="s">
        <v>41</v>
      </c>
      <c r="W50" s="46" t="s">
        <v>42</v>
      </c>
      <c r="X50" s="46" t="s">
        <v>43</v>
      </c>
      <c r="Y50" s="46" t="s">
        <v>44</v>
      </c>
      <c r="Z50" s="46" t="s">
        <v>45</v>
      </c>
      <c r="AA50" s="47" t="s">
        <v>46</v>
      </c>
      <c r="AB50" s="31"/>
      <c r="AC50" s="8"/>
    </row>
    <row r="51" spans="1:29" ht="18" customHeight="1">
      <c r="A51" s="49"/>
      <c r="B51" s="71">
        <f>IF(T42&gt;0,T42,T41+1)</f>
        <v>28</v>
      </c>
      <c r="C51" s="51">
        <f>IF($C$5=1,1,0)</f>
        <v>0</v>
      </c>
      <c r="D51" s="52">
        <f>IF($D$5=1,1,IF(C51&gt;0,C51+1,0))</f>
        <v>0</v>
      </c>
      <c r="E51" s="52">
        <f>IF($E$5=1,1,IF(D51&gt;0,D51+1,0))</f>
        <v>0</v>
      </c>
      <c r="F51" s="52">
        <f>IF($F$5=1,1,IF(E51&gt;0,E51+1,0))</f>
        <v>1</v>
      </c>
      <c r="G51" s="52">
        <f>IF($G$5=1,1,IF(F51&gt;0,F51+1,0))</f>
        <v>2</v>
      </c>
      <c r="H51" s="52">
        <f>IF($H$5=1,1,IF(G51&gt;0,G51+1,0))</f>
        <v>3</v>
      </c>
      <c r="I51" s="53">
        <f>IF($I$5=1,1,IF(H51&gt;0,H51+1,0))</f>
        <v>4</v>
      </c>
      <c r="J51" s="24"/>
      <c r="K51" s="54">
        <f>IF(B56&gt;0,B55+1,B55)</f>
        <v>32</v>
      </c>
      <c r="L51" s="51">
        <f>IF($L$5=1,1,0)</f>
        <v>0</v>
      </c>
      <c r="M51" s="52">
        <f>IF($M$5=1,1,IF(L51&gt;0,L51+1,0))</f>
        <v>0</v>
      </c>
      <c r="N51" s="52">
        <f>IF($N$5=1,1,IF(M51&gt;0,M51+1,0))</f>
        <v>0</v>
      </c>
      <c r="O51" s="52">
        <f>IF($O$5=1,1,IF(N51&gt;0,N51+1,0))</f>
        <v>0</v>
      </c>
      <c r="P51" s="52">
        <f>IF($P$5=1,1,IF(O51&gt;0,O51+1,0))</f>
        <v>0</v>
      </c>
      <c r="Q51" s="52">
        <f>IF($Q$5=1,1,IF(P51&gt;0,P51+1,0))</f>
        <v>0</v>
      </c>
      <c r="R51" s="53">
        <f>IF($R$5=1,1,IF(Q51&gt;0,Q51+1,0))</f>
        <v>1</v>
      </c>
      <c r="S51" s="24"/>
      <c r="T51" s="54">
        <f>IF(K56&gt;0,K55+1,K55)</f>
        <v>37</v>
      </c>
      <c r="U51" s="51">
        <f>IF($U$5=1,1,0)</f>
        <v>0</v>
      </c>
      <c r="V51" s="52">
        <f>IF($V$5=1,1,IF(U51&gt;0,U51+1,0))</f>
        <v>0</v>
      </c>
      <c r="W51" s="52">
        <f>IF($W$5=1,1,IF(V51&gt;0,V51+1,0))</f>
        <v>1</v>
      </c>
      <c r="X51" s="52">
        <f>IF($X$5=1,1,IF(W51&gt;0,W51+1,0))</f>
        <v>2</v>
      </c>
      <c r="Y51" s="52">
        <f>IF($Y$5=1,1,IF(X51&gt;0,X51+1,0))</f>
        <v>3</v>
      </c>
      <c r="Z51" s="75">
        <f>IF($Z$5=1,1,IF(Y51&gt;0,Y51+1,0))</f>
        <v>4</v>
      </c>
      <c r="AA51" s="53">
        <f>IF($AA$5=1,1,IF(Z51&gt;0,Z51+1,0))</f>
        <v>5</v>
      </c>
      <c r="AB51" s="31"/>
      <c r="AC51" s="8"/>
    </row>
    <row r="52" spans="1:29" ht="18" customHeight="1">
      <c r="A52" s="49"/>
      <c r="B52" s="54">
        <f>B51+1</f>
        <v>29</v>
      </c>
      <c r="C52" s="56">
        <f>IF(AND(I51&gt;0,I51&lt;31),I51+1,0)</f>
        <v>5</v>
      </c>
      <c r="D52" s="57">
        <f t="shared" ref="D52:I56" si="6">IF(AND(C52&gt;0,C52&lt;31),C52+1,0)</f>
        <v>6</v>
      </c>
      <c r="E52" s="57">
        <f t="shared" si="6"/>
        <v>7</v>
      </c>
      <c r="F52" s="57">
        <f t="shared" si="6"/>
        <v>8</v>
      </c>
      <c r="G52" s="57">
        <f t="shared" si="6"/>
        <v>9</v>
      </c>
      <c r="H52" s="57">
        <f t="shared" si="6"/>
        <v>10</v>
      </c>
      <c r="I52" s="58">
        <f t="shared" si="6"/>
        <v>11</v>
      </c>
      <c r="J52" s="24"/>
      <c r="K52" s="54">
        <f>K51+1</f>
        <v>33</v>
      </c>
      <c r="L52" s="56">
        <f>IF(AND(R51&gt;0,R51&lt;31),R51+1,0)</f>
        <v>2</v>
      </c>
      <c r="M52" s="57">
        <f t="shared" ref="M52:R56" si="7">IF(AND(L52&gt;0,L52&lt;31),L52+1,0)</f>
        <v>3</v>
      </c>
      <c r="N52" s="57">
        <f t="shared" si="7"/>
        <v>4</v>
      </c>
      <c r="O52" s="57">
        <f t="shared" si="7"/>
        <v>5</v>
      </c>
      <c r="P52" s="57">
        <f t="shared" si="7"/>
        <v>6</v>
      </c>
      <c r="Q52" s="57">
        <f t="shared" si="7"/>
        <v>7</v>
      </c>
      <c r="R52" s="58">
        <f t="shared" si="7"/>
        <v>8</v>
      </c>
      <c r="S52" s="24"/>
      <c r="T52" s="54">
        <f>T51+1</f>
        <v>38</v>
      </c>
      <c r="U52" s="56">
        <f>IF(AND(AA51&gt;0,AA51&lt;30),AA51+1,0)</f>
        <v>6</v>
      </c>
      <c r="V52" s="57">
        <f t="shared" ref="V52:AA56" si="8">IF(AND(U52&gt;0,U52&lt;30),U52+1,0)</f>
        <v>7</v>
      </c>
      <c r="W52" s="57">
        <f t="shared" si="8"/>
        <v>8</v>
      </c>
      <c r="X52" s="57">
        <f t="shared" si="8"/>
        <v>9</v>
      </c>
      <c r="Y52" s="57">
        <f t="shared" si="8"/>
        <v>10</v>
      </c>
      <c r="Z52" s="76">
        <f t="shared" si="8"/>
        <v>11</v>
      </c>
      <c r="AA52" s="58">
        <f t="shared" si="8"/>
        <v>12</v>
      </c>
      <c r="AB52" s="31"/>
      <c r="AC52" s="8"/>
    </row>
    <row r="53" spans="1:29" ht="18" customHeight="1">
      <c r="A53" s="49"/>
      <c r="B53" s="54">
        <f>B52+1</f>
        <v>30</v>
      </c>
      <c r="C53" s="56">
        <f>IF(AND(I52&gt;0,I52&lt;31),I52+1,0)</f>
        <v>12</v>
      </c>
      <c r="D53" s="57">
        <f t="shared" si="6"/>
        <v>13</v>
      </c>
      <c r="E53" s="57">
        <f t="shared" si="6"/>
        <v>14</v>
      </c>
      <c r="F53" s="57">
        <f t="shared" si="6"/>
        <v>15</v>
      </c>
      <c r="G53" s="57">
        <f t="shared" si="6"/>
        <v>16</v>
      </c>
      <c r="H53" s="57">
        <f t="shared" si="6"/>
        <v>17</v>
      </c>
      <c r="I53" s="58">
        <f t="shared" si="6"/>
        <v>18</v>
      </c>
      <c r="J53" s="24"/>
      <c r="K53" s="54">
        <f>K52+1</f>
        <v>34</v>
      </c>
      <c r="L53" s="56">
        <f>IF(AND(R52&gt;0,R52&lt;31),R52+1,0)</f>
        <v>9</v>
      </c>
      <c r="M53" s="57">
        <f t="shared" si="7"/>
        <v>10</v>
      </c>
      <c r="N53" s="57">
        <f t="shared" si="7"/>
        <v>11</v>
      </c>
      <c r="O53" s="57">
        <f t="shared" si="7"/>
        <v>12</v>
      </c>
      <c r="P53" s="57">
        <f t="shared" si="7"/>
        <v>13</v>
      </c>
      <c r="Q53" s="57">
        <f t="shared" si="7"/>
        <v>14</v>
      </c>
      <c r="R53" s="58">
        <f t="shared" si="7"/>
        <v>15</v>
      </c>
      <c r="S53" s="24"/>
      <c r="T53" s="54">
        <f>T52+1</f>
        <v>39</v>
      </c>
      <c r="U53" s="56">
        <f>IF(AND(AA52&gt;0,AA52&lt;30),AA52+1,0)</f>
        <v>13</v>
      </c>
      <c r="V53" s="57">
        <f t="shared" si="8"/>
        <v>14</v>
      </c>
      <c r="W53" s="57">
        <f t="shared" si="8"/>
        <v>15</v>
      </c>
      <c r="X53" s="57">
        <f t="shared" si="8"/>
        <v>16</v>
      </c>
      <c r="Y53" s="57">
        <f t="shared" si="8"/>
        <v>17</v>
      </c>
      <c r="Z53" s="76">
        <f t="shared" si="8"/>
        <v>18</v>
      </c>
      <c r="AA53" s="58">
        <f t="shared" si="8"/>
        <v>19</v>
      </c>
      <c r="AB53" s="31"/>
      <c r="AC53" s="8"/>
    </row>
    <row r="54" spans="1:29" ht="18" customHeight="1">
      <c r="A54" s="49"/>
      <c r="B54" s="54">
        <f>B53+1</f>
        <v>31</v>
      </c>
      <c r="C54" s="56">
        <f>IF(AND(I53&gt;0,I53&lt;31),I53+1,0)</f>
        <v>19</v>
      </c>
      <c r="D54" s="57">
        <f t="shared" si="6"/>
        <v>20</v>
      </c>
      <c r="E54" s="57">
        <f t="shared" si="6"/>
        <v>21</v>
      </c>
      <c r="F54" s="57">
        <f t="shared" si="6"/>
        <v>22</v>
      </c>
      <c r="G54" s="57">
        <f t="shared" si="6"/>
        <v>23</v>
      </c>
      <c r="H54" s="57">
        <f t="shared" si="6"/>
        <v>24</v>
      </c>
      <c r="I54" s="58">
        <f t="shared" si="6"/>
        <v>25</v>
      </c>
      <c r="J54" s="24"/>
      <c r="K54" s="54">
        <f>K53+1</f>
        <v>35</v>
      </c>
      <c r="L54" s="56">
        <f>IF(AND(R53&gt;0,R53&lt;31),R53+1,0)</f>
        <v>16</v>
      </c>
      <c r="M54" s="57">
        <f t="shared" si="7"/>
        <v>17</v>
      </c>
      <c r="N54" s="57">
        <f t="shared" si="7"/>
        <v>18</v>
      </c>
      <c r="O54" s="57">
        <f t="shared" si="7"/>
        <v>19</v>
      </c>
      <c r="P54" s="57">
        <f t="shared" si="7"/>
        <v>20</v>
      </c>
      <c r="Q54" s="57">
        <f t="shared" si="7"/>
        <v>21</v>
      </c>
      <c r="R54" s="58">
        <f t="shared" si="7"/>
        <v>22</v>
      </c>
      <c r="S54" s="24"/>
      <c r="T54" s="54">
        <f>T53+1</f>
        <v>40</v>
      </c>
      <c r="U54" s="56">
        <f>IF(AND(AA53&gt;0,AA53&lt;30),AA53+1,0)</f>
        <v>20</v>
      </c>
      <c r="V54" s="57">
        <f t="shared" si="8"/>
        <v>21</v>
      </c>
      <c r="W54" s="57">
        <f t="shared" si="8"/>
        <v>22</v>
      </c>
      <c r="X54" s="57">
        <f t="shared" si="8"/>
        <v>23</v>
      </c>
      <c r="Y54" s="57">
        <f t="shared" si="8"/>
        <v>24</v>
      </c>
      <c r="Z54" s="76">
        <f t="shared" si="8"/>
        <v>25</v>
      </c>
      <c r="AA54" s="58">
        <f t="shared" si="8"/>
        <v>26</v>
      </c>
      <c r="AB54" s="31"/>
      <c r="AC54" s="8"/>
    </row>
    <row r="55" spans="1:29" ht="18" customHeight="1">
      <c r="A55" s="49"/>
      <c r="B55" s="54">
        <f>B54+1</f>
        <v>32</v>
      </c>
      <c r="C55" s="56">
        <f>IF(AND(I54&gt;0,I54&lt;31),I54+1,0)</f>
        <v>26</v>
      </c>
      <c r="D55" s="57">
        <f t="shared" si="6"/>
        <v>27</v>
      </c>
      <c r="E55" s="57">
        <f t="shared" si="6"/>
        <v>28</v>
      </c>
      <c r="F55" s="57">
        <f t="shared" si="6"/>
        <v>29</v>
      </c>
      <c r="G55" s="57">
        <f t="shared" si="6"/>
        <v>30</v>
      </c>
      <c r="H55" s="57">
        <f t="shared" si="6"/>
        <v>31</v>
      </c>
      <c r="I55" s="58">
        <f t="shared" si="6"/>
        <v>0</v>
      </c>
      <c r="J55" s="24"/>
      <c r="K55" s="54">
        <f>K54+1</f>
        <v>36</v>
      </c>
      <c r="L55" s="56">
        <f>IF(AND(R54&gt;0,R54&lt;31),R54+1,0)</f>
        <v>23</v>
      </c>
      <c r="M55" s="57">
        <f t="shared" si="7"/>
        <v>24</v>
      </c>
      <c r="N55" s="57">
        <f t="shared" si="7"/>
        <v>25</v>
      </c>
      <c r="O55" s="57">
        <f t="shared" si="7"/>
        <v>26</v>
      </c>
      <c r="P55" s="57">
        <f t="shared" si="7"/>
        <v>27</v>
      </c>
      <c r="Q55" s="57">
        <f t="shared" si="7"/>
        <v>28</v>
      </c>
      <c r="R55" s="58">
        <f t="shared" si="7"/>
        <v>29</v>
      </c>
      <c r="S55" s="24"/>
      <c r="T55" s="54">
        <f>T54+1</f>
        <v>41</v>
      </c>
      <c r="U55" s="56">
        <f>IF(AND(AA54&gt;0,AA54&lt;30),AA54+1,0)</f>
        <v>27</v>
      </c>
      <c r="V55" s="57">
        <f t="shared" si="8"/>
        <v>28</v>
      </c>
      <c r="W55" s="57">
        <f t="shared" si="8"/>
        <v>29</v>
      </c>
      <c r="X55" s="57">
        <f t="shared" si="8"/>
        <v>30</v>
      </c>
      <c r="Y55" s="57">
        <f t="shared" si="8"/>
        <v>0</v>
      </c>
      <c r="Z55" s="76">
        <f t="shared" si="8"/>
        <v>0</v>
      </c>
      <c r="AA55" s="58">
        <f t="shared" si="8"/>
        <v>0</v>
      </c>
      <c r="AB55" s="31"/>
      <c r="AC55" s="8"/>
    </row>
    <row r="56" spans="1:29" ht="18" customHeight="1" thickBot="1">
      <c r="A56" s="49"/>
      <c r="B56" s="64">
        <f>IF(C56=0,0,B55+1)</f>
        <v>0</v>
      </c>
      <c r="C56" s="61">
        <f>IF(AND(I55&gt;0,I55&lt;31),I55+1,0)</f>
        <v>0</v>
      </c>
      <c r="D56" s="62">
        <f t="shared" si="6"/>
        <v>0</v>
      </c>
      <c r="E56" s="62">
        <f t="shared" si="6"/>
        <v>0</v>
      </c>
      <c r="F56" s="62">
        <f t="shared" si="6"/>
        <v>0</v>
      </c>
      <c r="G56" s="62">
        <f t="shared" si="6"/>
        <v>0</v>
      </c>
      <c r="H56" s="62">
        <f t="shared" si="6"/>
        <v>0</v>
      </c>
      <c r="I56" s="63">
        <f t="shared" si="6"/>
        <v>0</v>
      </c>
      <c r="J56" s="24"/>
      <c r="K56" s="64">
        <f>IF(L56=0,0,K55+1)</f>
        <v>37</v>
      </c>
      <c r="L56" s="65">
        <f>IF(AND(R55&gt;0,R55&lt;31),R55+1,0)</f>
        <v>30</v>
      </c>
      <c r="M56" s="62">
        <f t="shared" si="7"/>
        <v>31</v>
      </c>
      <c r="N56" s="62">
        <f t="shared" si="7"/>
        <v>0</v>
      </c>
      <c r="O56" s="62">
        <f t="shared" si="7"/>
        <v>0</v>
      </c>
      <c r="P56" s="62">
        <f t="shared" si="7"/>
        <v>0</v>
      </c>
      <c r="Q56" s="62">
        <f t="shared" si="7"/>
        <v>0</v>
      </c>
      <c r="R56" s="63">
        <f t="shared" si="7"/>
        <v>0</v>
      </c>
      <c r="S56" s="24"/>
      <c r="T56" s="64">
        <f>IF(U56=0,0,T55+1)</f>
        <v>0</v>
      </c>
      <c r="U56" s="65">
        <f>IF(AND(AA55&gt;0,AA55&lt;30),AA55+1,0)</f>
        <v>0</v>
      </c>
      <c r="V56" s="62">
        <f t="shared" si="8"/>
        <v>0</v>
      </c>
      <c r="W56" s="62">
        <f t="shared" si="8"/>
        <v>0</v>
      </c>
      <c r="X56" s="62">
        <f t="shared" si="8"/>
        <v>0</v>
      </c>
      <c r="Y56" s="62">
        <f t="shared" si="8"/>
        <v>0</v>
      </c>
      <c r="Z56" s="62">
        <f t="shared" si="8"/>
        <v>0</v>
      </c>
      <c r="AA56" s="63">
        <f t="shared" si="8"/>
        <v>0</v>
      </c>
      <c r="AB56" s="31"/>
      <c r="AC56" s="8"/>
    </row>
    <row r="57" spans="1:29" ht="18" customHeight="1">
      <c r="A57" s="49"/>
      <c r="B57" s="24"/>
      <c r="C57" s="8"/>
      <c r="D57" s="8"/>
      <c r="E57" s="8"/>
      <c r="F57" s="8"/>
      <c r="G57" s="8"/>
      <c r="H57" s="8"/>
      <c r="I57" s="8"/>
      <c r="J57" s="24"/>
      <c r="K57" s="24"/>
      <c r="L57" s="8"/>
      <c r="M57" s="8"/>
      <c r="N57" s="8"/>
      <c r="O57" s="8"/>
      <c r="P57" s="8"/>
      <c r="Q57" s="8"/>
      <c r="R57" s="8"/>
      <c r="S57" s="24"/>
      <c r="T57" s="24"/>
      <c r="U57" s="8"/>
      <c r="V57" s="8"/>
      <c r="W57" s="8"/>
      <c r="X57" s="8"/>
      <c r="Y57" s="8"/>
      <c r="Z57" s="8"/>
      <c r="AA57" s="8"/>
      <c r="AB57" s="31"/>
      <c r="AC57" s="8"/>
    </row>
    <row r="58" spans="1:29" ht="18" customHeight="1">
      <c r="A58" s="49"/>
      <c r="B58" s="24"/>
      <c r="C58" s="8"/>
      <c r="D58" s="8"/>
      <c r="E58" s="8"/>
      <c r="F58" s="8"/>
      <c r="G58" s="8"/>
      <c r="H58" s="8"/>
      <c r="I58" s="8"/>
      <c r="J58" s="24"/>
      <c r="K58" s="24"/>
      <c r="L58" s="8"/>
      <c r="M58" s="8"/>
      <c r="N58" s="8"/>
      <c r="O58" s="8"/>
      <c r="P58" s="8"/>
      <c r="Q58" s="8"/>
      <c r="R58" s="8"/>
      <c r="S58" s="24"/>
      <c r="T58" s="24"/>
      <c r="U58" s="8"/>
      <c r="V58" s="8"/>
      <c r="W58" s="8"/>
      <c r="X58" s="8"/>
      <c r="Y58" s="8"/>
      <c r="Z58" s="8"/>
      <c r="AA58" s="8"/>
      <c r="AB58" s="31"/>
      <c r="AC58" s="8"/>
    </row>
    <row r="59" spans="1:29" ht="18" customHeight="1">
      <c r="A59" s="49"/>
      <c r="B59" s="24"/>
      <c r="C59" s="8"/>
      <c r="D59" s="8"/>
      <c r="E59" s="38"/>
      <c r="F59" s="8"/>
      <c r="G59" s="8"/>
      <c r="H59" s="8"/>
      <c r="I59" s="38"/>
      <c r="J59" s="24"/>
      <c r="K59" s="24"/>
      <c r="L59" s="8"/>
      <c r="M59" s="8"/>
      <c r="N59" s="38"/>
      <c r="O59" s="8"/>
      <c r="P59" s="8"/>
      <c r="Q59" s="8"/>
      <c r="R59" s="8"/>
      <c r="S59" s="24"/>
      <c r="T59" s="24"/>
      <c r="U59" s="8"/>
      <c r="V59" s="38"/>
      <c r="W59" s="8"/>
      <c r="X59" s="8"/>
      <c r="Y59" s="8"/>
      <c r="Z59" s="8"/>
      <c r="AA59" s="8"/>
      <c r="AB59" s="31"/>
      <c r="AC59" s="8"/>
    </row>
    <row r="60" spans="1:29" ht="18" customHeight="1">
      <c r="A60" s="49"/>
      <c r="B60" s="24"/>
      <c r="C60" s="8"/>
      <c r="D60" s="8"/>
      <c r="E60" s="8"/>
      <c r="F60" s="8"/>
      <c r="G60" s="8"/>
      <c r="H60" s="8"/>
      <c r="I60" s="8"/>
      <c r="J60" s="24"/>
      <c r="K60" s="24"/>
      <c r="L60" s="8"/>
      <c r="M60" s="8"/>
      <c r="N60" s="8"/>
      <c r="O60" s="8"/>
      <c r="P60" s="8"/>
      <c r="Q60" s="8"/>
      <c r="R60" s="8"/>
      <c r="S60" s="24"/>
      <c r="T60" s="24"/>
      <c r="U60" s="8"/>
      <c r="V60" s="8"/>
      <c r="W60" s="8"/>
      <c r="X60" s="8"/>
      <c r="Y60" s="8"/>
      <c r="Z60" s="8"/>
      <c r="AA60" s="8"/>
      <c r="AB60" s="31"/>
      <c r="AC60" s="8"/>
    </row>
    <row r="61" spans="1:29" ht="18" customHeight="1">
      <c r="A61" s="49"/>
      <c r="B61" s="24"/>
      <c r="C61" s="8"/>
      <c r="D61" s="8"/>
      <c r="E61" s="8"/>
      <c r="F61" s="8"/>
      <c r="G61" s="8"/>
      <c r="H61" s="8"/>
      <c r="I61" s="8"/>
      <c r="J61" s="24"/>
      <c r="K61" s="24"/>
      <c r="L61" s="8"/>
      <c r="M61" s="8"/>
      <c r="N61" s="8"/>
      <c r="O61" s="8"/>
      <c r="P61" s="8"/>
      <c r="Q61" s="8"/>
      <c r="R61" s="8"/>
      <c r="S61" s="24"/>
      <c r="T61" s="24"/>
      <c r="U61" s="8"/>
      <c r="V61" s="8"/>
      <c r="W61" s="8"/>
      <c r="X61" s="8"/>
      <c r="Y61" s="8"/>
      <c r="Z61" s="8"/>
      <c r="AA61" s="8"/>
      <c r="AB61" s="31"/>
      <c r="AC61" s="8"/>
    </row>
    <row r="62" spans="1:29" ht="18" customHeight="1">
      <c r="A62" s="49"/>
      <c r="B62" s="24"/>
      <c r="C62" s="8"/>
      <c r="D62" s="8"/>
      <c r="E62" s="8"/>
      <c r="F62" s="8"/>
      <c r="G62" s="8"/>
      <c r="H62" s="8"/>
      <c r="I62" s="8"/>
      <c r="J62" s="24"/>
      <c r="K62" s="24"/>
      <c r="L62" s="8"/>
      <c r="M62" s="8"/>
      <c r="N62" s="8"/>
      <c r="O62" s="8"/>
      <c r="P62" s="8"/>
      <c r="Q62" s="8"/>
      <c r="R62" s="8"/>
      <c r="S62" s="24"/>
      <c r="T62" s="24"/>
      <c r="U62" s="8"/>
      <c r="V62" s="8"/>
      <c r="W62" s="8"/>
      <c r="X62" s="8"/>
      <c r="Y62" s="8"/>
      <c r="Z62" s="8"/>
      <c r="AA62" s="8"/>
      <c r="AB62" s="31"/>
      <c r="AC62" s="8"/>
    </row>
    <row r="63" spans="1:29" ht="18" customHeight="1" thickBot="1">
      <c r="A63" s="69"/>
      <c r="B63" s="327" t="s">
        <v>53</v>
      </c>
      <c r="C63" s="328"/>
      <c r="D63" s="328"/>
      <c r="E63" s="328"/>
      <c r="F63" s="328"/>
      <c r="G63" s="328"/>
      <c r="H63" s="328"/>
      <c r="I63" s="328"/>
      <c r="J63" s="40"/>
      <c r="K63" s="329" t="s">
        <v>54</v>
      </c>
      <c r="L63" s="328"/>
      <c r="M63" s="328"/>
      <c r="N63" s="328"/>
      <c r="O63" s="328"/>
      <c r="P63" s="328"/>
      <c r="Q63" s="328"/>
      <c r="R63" s="328"/>
      <c r="S63" s="40"/>
      <c r="T63" s="330" t="s">
        <v>55</v>
      </c>
      <c r="U63" s="328"/>
      <c r="V63" s="328"/>
      <c r="W63" s="328"/>
      <c r="X63" s="328"/>
      <c r="Y63" s="328"/>
      <c r="Z63" s="328"/>
      <c r="AA63" s="328"/>
      <c r="AB63" s="70"/>
      <c r="AC63" s="40"/>
    </row>
    <row r="64" spans="1:29" ht="18" customHeight="1">
      <c r="A64" s="49"/>
      <c r="B64" s="44" t="s">
        <v>39</v>
      </c>
      <c r="C64" s="45" t="s">
        <v>40</v>
      </c>
      <c r="D64" s="46" t="s">
        <v>41</v>
      </c>
      <c r="E64" s="46" t="s">
        <v>42</v>
      </c>
      <c r="F64" s="46" t="s">
        <v>43</v>
      </c>
      <c r="G64" s="46" t="s">
        <v>44</v>
      </c>
      <c r="H64" s="46" t="s">
        <v>45</v>
      </c>
      <c r="I64" s="47" t="s">
        <v>46</v>
      </c>
      <c r="J64" s="48"/>
      <c r="K64" s="44" t="s">
        <v>39</v>
      </c>
      <c r="L64" s="45" t="s">
        <v>40</v>
      </c>
      <c r="M64" s="46" t="s">
        <v>41</v>
      </c>
      <c r="N64" s="46" t="s">
        <v>42</v>
      </c>
      <c r="O64" s="46" t="s">
        <v>43</v>
      </c>
      <c r="P64" s="46" t="s">
        <v>44</v>
      </c>
      <c r="Q64" s="46" t="s">
        <v>45</v>
      </c>
      <c r="R64" s="47" t="s">
        <v>46</v>
      </c>
      <c r="S64" s="48"/>
      <c r="T64" s="44" t="s">
        <v>39</v>
      </c>
      <c r="U64" s="45" t="s">
        <v>40</v>
      </c>
      <c r="V64" s="46" t="s">
        <v>41</v>
      </c>
      <c r="W64" s="46" t="s">
        <v>42</v>
      </c>
      <c r="X64" s="46" t="s">
        <v>43</v>
      </c>
      <c r="Y64" s="46" t="s">
        <v>44</v>
      </c>
      <c r="Z64" s="46" t="s">
        <v>45</v>
      </c>
      <c r="AA64" s="47" t="s">
        <v>46</v>
      </c>
      <c r="AB64" s="31"/>
      <c r="AC64" s="8"/>
    </row>
    <row r="65" spans="1:29" ht="18" customHeight="1">
      <c r="A65" s="49"/>
      <c r="B65" s="71">
        <f>IF(T56&gt;0,T56,T55+1)</f>
        <v>42</v>
      </c>
      <c r="C65" s="77">
        <f>IF($C$6=1,1,0)</f>
        <v>0</v>
      </c>
      <c r="D65" s="52">
        <f>IF($D$6=1,1,IF(C65&gt;0,C65+1,0))</f>
        <v>0</v>
      </c>
      <c r="E65" s="52">
        <f>IF($E$6=1,1,IF(D65&gt;0,D65+1,0))</f>
        <v>0</v>
      </c>
      <c r="F65" s="52">
        <f>IF($F$6=1,1,IF(E65&gt;0,E65+1,0))</f>
        <v>0</v>
      </c>
      <c r="G65" s="52">
        <f>IF($G$6=1,1,IF(F65&gt;0,F65+1,0))</f>
        <v>1</v>
      </c>
      <c r="H65" s="52">
        <f>IF($H$6=1,1,IF(G65&gt;0,G65+1,0))</f>
        <v>2</v>
      </c>
      <c r="I65" s="53">
        <f>IF($I$6=1,1,IF(H65&gt;0,H65+1,0))</f>
        <v>3</v>
      </c>
      <c r="J65" s="24"/>
      <c r="K65" s="54">
        <f>IF(B70&gt;0,B69+1,B69)</f>
        <v>46</v>
      </c>
      <c r="L65" s="51">
        <f>IF($L$6=1,1,0)</f>
        <v>1</v>
      </c>
      <c r="M65" s="52">
        <f>IF($M$6=1,1,IF(L65&gt;0,L65+1,0))</f>
        <v>2</v>
      </c>
      <c r="N65" s="52">
        <f>IF($N$6=1,1,IF(M65&gt;0,M65+1,0))</f>
        <v>3</v>
      </c>
      <c r="O65" s="52">
        <f>IF($O$6=1,1,IF(N65&gt;0,N65+1,0))</f>
        <v>4</v>
      </c>
      <c r="P65" s="52">
        <f>IF($P$6=1,1,IF(O65&gt;0,O65+1,0))</f>
        <v>5</v>
      </c>
      <c r="Q65" s="52">
        <f>IF($Q$6=1,1,IF(P65&gt;0,P65+1,0))</f>
        <v>6</v>
      </c>
      <c r="R65" s="53">
        <f>IF($R$6=1,1,IF(Q65&gt;0,Q65+1,0))</f>
        <v>7</v>
      </c>
      <c r="S65" s="24"/>
      <c r="T65" s="54">
        <f>IF(K70&gt;0,K69+1,K69)</f>
        <v>50</v>
      </c>
      <c r="U65" s="51">
        <f>IF($U$6=1,1,0)</f>
        <v>0</v>
      </c>
      <c r="V65" s="52">
        <f>IF($V$6=1,1,IF(U65&gt;0,U65+1,0))</f>
        <v>0</v>
      </c>
      <c r="W65" s="52">
        <f>IF($W$6=1,1,IF(V65&gt;0,V65+1,0))</f>
        <v>1</v>
      </c>
      <c r="X65" s="52">
        <f>IF($X$6=1,1,IF(W65&gt;0,W65+1,0))</f>
        <v>2</v>
      </c>
      <c r="Y65" s="52">
        <f>IF($Y$6=1,1,IF(X65&gt;0,X65+1,0))</f>
        <v>3</v>
      </c>
      <c r="Z65" s="78">
        <f>IF($Z$6=1,1,IF(Y65&gt;0,Y65+1,0))</f>
        <v>4</v>
      </c>
      <c r="AA65" s="53">
        <f>IF($AA$6=1,1,IF(Z65&gt;0,Z65+1,0))</f>
        <v>5</v>
      </c>
      <c r="AB65" s="31"/>
      <c r="AC65" s="8"/>
    </row>
    <row r="66" spans="1:29" ht="18" customHeight="1">
      <c r="A66" s="49"/>
      <c r="B66" s="54">
        <f>B65+1</f>
        <v>43</v>
      </c>
      <c r="C66" s="56">
        <f>IF(AND(I65&gt;0,I65&lt;31),I65+1,0)</f>
        <v>4</v>
      </c>
      <c r="D66" s="57">
        <f t="shared" ref="D66:I70" si="9">IF(AND(C66&gt;0,C66&lt;31),C66+1,0)</f>
        <v>5</v>
      </c>
      <c r="E66" s="57">
        <f t="shared" si="9"/>
        <v>6</v>
      </c>
      <c r="F66" s="57">
        <f t="shared" si="9"/>
        <v>7</v>
      </c>
      <c r="G66" s="57">
        <f t="shared" si="9"/>
        <v>8</v>
      </c>
      <c r="H66" s="57">
        <f t="shared" si="9"/>
        <v>9</v>
      </c>
      <c r="I66" s="58">
        <f t="shared" si="9"/>
        <v>10</v>
      </c>
      <c r="J66" s="24"/>
      <c r="K66" s="54">
        <f>K65+1</f>
        <v>47</v>
      </c>
      <c r="L66" s="79">
        <f>IF(AND(R65&gt;0,R65&lt;30),R65+1,0)</f>
        <v>8</v>
      </c>
      <c r="M66" s="57">
        <f t="shared" ref="M66:R70" si="10">IF(AND(L66&gt;0,L66&lt;30),L66+1,0)</f>
        <v>9</v>
      </c>
      <c r="N66" s="57">
        <f t="shared" si="10"/>
        <v>10</v>
      </c>
      <c r="O66" s="57">
        <f t="shared" si="10"/>
        <v>11</v>
      </c>
      <c r="P66" s="57">
        <f t="shared" si="10"/>
        <v>12</v>
      </c>
      <c r="Q66" s="57">
        <f t="shared" si="10"/>
        <v>13</v>
      </c>
      <c r="R66" s="58">
        <f t="shared" si="10"/>
        <v>14</v>
      </c>
      <c r="S66" s="24"/>
      <c r="T66" s="54">
        <f>T65+1</f>
        <v>51</v>
      </c>
      <c r="U66" s="56">
        <f>IF(AND(AA65&gt;0,AA65&lt;31),AA65+1,0)</f>
        <v>6</v>
      </c>
      <c r="V66" s="57">
        <f t="shared" ref="V66:AA70" si="11">IF(AND(U66&gt;0,U66&lt;31),U66+1,0)</f>
        <v>7</v>
      </c>
      <c r="W66" s="57">
        <f t="shared" si="11"/>
        <v>8</v>
      </c>
      <c r="X66" s="57">
        <f t="shared" si="11"/>
        <v>9</v>
      </c>
      <c r="Y66" s="57">
        <f t="shared" si="11"/>
        <v>10</v>
      </c>
      <c r="Z66" s="80">
        <f t="shared" si="11"/>
        <v>11</v>
      </c>
      <c r="AA66" s="58">
        <f t="shared" si="11"/>
        <v>12</v>
      </c>
      <c r="AB66" s="31"/>
      <c r="AC66" s="8"/>
    </row>
    <row r="67" spans="1:29" ht="18" customHeight="1">
      <c r="A67" s="49"/>
      <c r="B67" s="54">
        <f>B66+1</f>
        <v>44</v>
      </c>
      <c r="C67" s="56">
        <f>IF(AND(I66&gt;0,I66&lt;31),I66+1,0)</f>
        <v>11</v>
      </c>
      <c r="D67" s="57">
        <f t="shared" si="9"/>
        <v>12</v>
      </c>
      <c r="E67" s="57">
        <f t="shared" si="9"/>
        <v>13</v>
      </c>
      <c r="F67" s="57">
        <f t="shared" si="9"/>
        <v>14</v>
      </c>
      <c r="G67" s="57">
        <f t="shared" si="9"/>
        <v>15</v>
      </c>
      <c r="H67" s="57">
        <f t="shared" si="9"/>
        <v>16</v>
      </c>
      <c r="I67" s="58">
        <f t="shared" si="9"/>
        <v>17</v>
      </c>
      <c r="J67" s="24"/>
      <c r="K67" s="54">
        <f>K66+1</f>
        <v>48</v>
      </c>
      <c r="L67" s="79">
        <f>IF(AND(R66&gt;0,R66&lt;30),R66+1,0)</f>
        <v>15</v>
      </c>
      <c r="M67" s="57">
        <f t="shared" si="10"/>
        <v>16</v>
      </c>
      <c r="N67" s="57">
        <f t="shared" si="10"/>
        <v>17</v>
      </c>
      <c r="O67" s="57">
        <f t="shared" si="10"/>
        <v>18</v>
      </c>
      <c r="P67" s="57">
        <f t="shared" si="10"/>
        <v>19</v>
      </c>
      <c r="Q67" s="57">
        <f t="shared" si="10"/>
        <v>20</v>
      </c>
      <c r="R67" s="58">
        <f t="shared" si="10"/>
        <v>21</v>
      </c>
      <c r="S67" s="24"/>
      <c r="T67" s="54">
        <f>T66+1</f>
        <v>52</v>
      </c>
      <c r="U67" s="56">
        <f>IF(AND(AA66&gt;0,AA66&lt;31),AA66+1,0)</f>
        <v>13</v>
      </c>
      <c r="V67" s="57">
        <f t="shared" si="11"/>
        <v>14</v>
      </c>
      <c r="W67" s="57">
        <f t="shared" si="11"/>
        <v>15</v>
      </c>
      <c r="X67" s="57">
        <f t="shared" si="11"/>
        <v>16</v>
      </c>
      <c r="Y67" s="57">
        <f t="shared" si="11"/>
        <v>17</v>
      </c>
      <c r="Z67" s="80">
        <f t="shared" si="11"/>
        <v>18</v>
      </c>
      <c r="AA67" s="58">
        <f t="shared" si="11"/>
        <v>19</v>
      </c>
      <c r="AB67" s="31"/>
      <c r="AC67" s="8"/>
    </row>
    <row r="68" spans="1:29" ht="18" customHeight="1">
      <c r="A68" s="49"/>
      <c r="B68" s="54">
        <f>B67+1</f>
        <v>45</v>
      </c>
      <c r="C68" s="56">
        <f>IF(AND(I67&gt;0,I67&lt;31),I67+1,0)</f>
        <v>18</v>
      </c>
      <c r="D68" s="57">
        <f t="shared" si="9"/>
        <v>19</v>
      </c>
      <c r="E68" s="57">
        <f t="shared" si="9"/>
        <v>20</v>
      </c>
      <c r="F68" s="57">
        <f t="shared" si="9"/>
        <v>21</v>
      </c>
      <c r="G68" s="57">
        <f t="shared" si="9"/>
        <v>22</v>
      </c>
      <c r="H68" s="57">
        <f t="shared" si="9"/>
        <v>23</v>
      </c>
      <c r="I68" s="58">
        <f t="shared" si="9"/>
        <v>24</v>
      </c>
      <c r="J68" s="24"/>
      <c r="K68" s="54">
        <f>K67+1</f>
        <v>49</v>
      </c>
      <c r="L68" s="79">
        <f>IF(AND(R67&gt;0,R67&lt;30),R67+1,0)</f>
        <v>22</v>
      </c>
      <c r="M68" s="57">
        <f t="shared" si="10"/>
        <v>23</v>
      </c>
      <c r="N68" s="57">
        <f t="shared" si="10"/>
        <v>24</v>
      </c>
      <c r="O68" s="57">
        <f t="shared" si="10"/>
        <v>25</v>
      </c>
      <c r="P68" s="57">
        <f t="shared" si="10"/>
        <v>26</v>
      </c>
      <c r="Q68" s="57">
        <f t="shared" si="10"/>
        <v>27</v>
      </c>
      <c r="R68" s="58">
        <f t="shared" si="10"/>
        <v>28</v>
      </c>
      <c r="S68" s="24"/>
      <c r="T68" s="54">
        <f>T67+1</f>
        <v>53</v>
      </c>
      <c r="U68" s="56">
        <f>IF(AND(AA67&gt;0,AA67&lt;31),AA67+1,0)</f>
        <v>20</v>
      </c>
      <c r="V68" s="57">
        <f t="shared" si="11"/>
        <v>21</v>
      </c>
      <c r="W68" s="57">
        <f t="shared" si="11"/>
        <v>22</v>
      </c>
      <c r="X68" s="57">
        <f t="shared" si="11"/>
        <v>23</v>
      </c>
      <c r="Y68" s="57">
        <f t="shared" si="11"/>
        <v>24</v>
      </c>
      <c r="Z68" s="80">
        <f t="shared" si="11"/>
        <v>25</v>
      </c>
      <c r="AA68" s="58">
        <f t="shared" si="11"/>
        <v>26</v>
      </c>
      <c r="AB68" s="31"/>
      <c r="AC68" s="8"/>
    </row>
    <row r="69" spans="1:29" ht="18" customHeight="1">
      <c r="A69" s="49"/>
      <c r="B69" s="54">
        <f>B68+1</f>
        <v>46</v>
      </c>
      <c r="C69" s="56">
        <f>IF(AND(I68&gt;0,I68&lt;31),I68+1,0)</f>
        <v>25</v>
      </c>
      <c r="D69" s="57">
        <f t="shared" si="9"/>
        <v>26</v>
      </c>
      <c r="E69" s="57">
        <f t="shared" si="9"/>
        <v>27</v>
      </c>
      <c r="F69" s="57">
        <f t="shared" si="9"/>
        <v>28</v>
      </c>
      <c r="G69" s="57">
        <f t="shared" si="9"/>
        <v>29</v>
      </c>
      <c r="H69" s="57">
        <f t="shared" si="9"/>
        <v>30</v>
      </c>
      <c r="I69" s="58">
        <f t="shared" si="9"/>
        <v>31</v>
      </c>
      <c r="J69" s="24"/>
      <c r="K69" s="54">
        <f>K68+1</f>
        <v>50</v>
      </c>
      <c r="L69" s="79">
        <f>IF(AND(R68&gt;0,R68&lt;30),R68+1,0)</f>
        <v>29</v>
      </c>
      <c r="M69" s="57">
        <f t="shared" si="10"/>
        <v>30</v>
      </c>
      <c r="N69" s="57">
        <f t="shared" si="10"/>
        <v>0</v>
      </c>
      <c r="O69" s="57">
        <f t="shared" si="10"/>
        <v>0</v>
      </c>
      <c r="P69" s="57">
        <f t="shared" si="10"/>
        <v>0</v>
      </c>
      <c r="Q69" s="57">
        <f t="shared" si="10"/>
        <v>0</v>
      </c>
      <c r="R69" s="58">
        <f t="shared" si="10"/>
        <v>0</v>
      </c>
      <c r="S69" s="24"/>
      <c r="T69" s="54">
        <f>T68+1</f>
        <v>54</v>
      </c>
      <c r="U69" s="56">
        <f>IF(AND(AA68&gt;0,AA68&lt;31),AA68+1,0)</f>
        <v>27</v>
      </c>
      <c r="V69" s="57">
        <f t="shared" si="11"/>
        <v>28</v>
      </c>
      <c r="W69" s="57">
        <f t="shared" si="11"/>
        <v>29</v>
      </c>
      <c r="X69" s="57">
        <f t="shared" si="11"/>
        <v>30</v>
      </c>
      <c r="Y69" s="57">
        <f t="shared" si="11"/>
        <v>31</v>
      </c>
      <c r="Z69" s="80">
        <f t="shared" si="11"/>
        <v>0</v>
      </c>
      <c r="AA69" s="58">
        <f t="shared" si="11"/>
        <v>0</v>
      </c>
      <c r="AB69" s="31"/>
      <c r="AC69" s="8"/>
    </row>
    <row r="70" spans="1:29" ht="18" customHeight="1" thickBot="1">
      <c r="A70" s="49"/>
      <c r="B70" s="64">
        <f>IF(C70=0,0,B69+1)</f>
        <v>0</v>
      </c>
      <c r="C70" s="65">
        <f>IF(AND(I69&gt;0,I69&lt;31),I69+1,0)</f>
        <v>0</v>
      </c>
      <c r="D70" s="62">
        <f t="shared" si="9"/>
        <v>0</v>
      </c>
      <c r="E70" s="62">
        <f t="shared" si="9"/>
        <v>0</v>
      </c>
      <c r="F70" s="62">
        <f t="shared" si="9"/>
        <v>0</v>
      </c>
      <c r="G70" s="62">
        <f t="shared" si="9"/>
        <v>0</v>
      </c>
      <c r="H70" s="62">
        <f t="shared" si="9"/>
        <v>0</v>
      </c>
      <c r="I70" s="63">
        <f t="shared" si="9"/>
        <v>0</v>
      </c>
      <c r="J70" s="24"/>
      <c r="K70" s="64">
        <f>IF(L70=0,0,K69+1)</f>
        <v>0</v>
      </c>
      <c r="L70" s="65">
        <f>IF(AND(R69&gt;0,R69&lt;30),R69+1,0)</f>
        <v>0</v>
      </c>
      <c r="M70" s="62">
        <f t="shared" si="10"/>
        <v>0</v>
      </c>
      <c r="N70" s="62">
        <f t="shared" si="10"/>
        <v>0</v>
      </c>
      <c r="O70" s="62">
        <f t="shared" si="10"/>
        <v>0</v>
      </c>
      <c r="P70" s="62">
        <f t="shared" si="10"/>
        <v>0</v>
      </c>
      <c r="Q70" s="62">
        <f t="shared" si="10"/>
        <v>0</v>
      </c>
      <c r="R70" s="63">
        <f t="shared" si="10"/>
        <v>0</v>
      </c>
      <c r="S70" s="24"/>
      <c r="T70" s="64">
        <f>IF(U70=0,0,T69+1)</f>
        <v>0</v>
      </c>
      <c r="U70" s="61">
        <f>IF(AND(AA69&gt;0,AA69&lt;31),AA69+1,0)</f>
        <v>0</v>
      </c>
      <c r="V70" s="62">
        <f t="shared" si="11"/>
        <v>0</v>
      </c>
      <c r="W70" s="62">
        <f t="shared" si="11"/>
        <v>0</v>
      </c>
      <c r="X70" s="62">
        <f t="shared" si="11"/>
        <v>0</v>
      </c>
      <c r="Y70" s="62">
        <f t="shared" si="11"/>
        <v>0</v>
      </c>
      <c r="Z70" s="62">
        <f t="shared" si="11"/>
        <v>0</v>
      </c>
      <c r="AA70" s="63">
        <f t="shared" si="11"/>
        <v>0</v>
      </c>
      <c r="AB70" s="31"/>
      <c r="AC70" s="8"/>
    </row>
    <row r="71" spans="1:29" ht="18" customHeight="1">
      <c r="A71" s="4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31"/>
      <c r="AC71" s="8"/>
    </row>
    <row r="72" spans="1:29" ht="18" customHeight="1" thickBot="1">
      <c r="A72" s="81"/>
      <c r="B72" s="82"/>
      <c r="C72" s="83"/>
      <c r="D72" s="84"/>
      <c r="E72" s="84"/>
      <c r="F72" s="84"/>
      <c r="G72" s="84"/>
      <c r="H72" s="85" t="s">
        <v>56</v>
      </c>
      <c r="I72" s="84"/>
      <c r="J72" s="84"/>
      <c r="K72" s="84"/>
      <c r="L72" s="84"/>
      <c r="M72" s="86"/>
      <c r="N72" s="87"/>
      <c r="O72" s="88"/>
      <c r="P72" s="89"/>
      <c r="Q72" s="89"/>
      <c r="R72" s="89"/>
      <c r="S72" s="89"/>
      <c r="T72" s="89"/>
      <c r="U72" s="89"/>
      <c r="V72" s="89"/>
      <c r="W72" s="82"/>
      <c r="X72" s="82"/>
      <c r="Y72" s="82"/>
      <c r="Z72" s="82"/>
      <c r="AA72" s="90"/>
      <c r="AB72" s="91"/>
      <c r="AC72" s="8"/>
    </row>
    <row r="73" spans="1:29" ht="12.75" customHeight="1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</row>
    <row r="74" spans="1:29" ht="12.75" customHeight="1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</row>
    <row r="75" spans="1:29" ht="12.75" customHeight="1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</row>
    <row r="76" spans="1:29" ht="12.75" customHeight="1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</row>
    <row r="77" spans="1:29" ht="12.75" customHeight="1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</row>
    <row r="78" spans="1:29" ht="12.75" customHeight="1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</row>
    <row r="79" spans="1:29" ht="12.75" customHeight="1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</row>
    <row r="80" spans="1:29" ht="12.75" customHeight="1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</row>
    <row r="81" spans="1:29" ht="12.75" customHeight="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</row>
    <row r="82" spans="1:29" ht="12.75" customHeight="1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</row>
    <row r="83" spans="1:29" ht="12.75" customHeight="1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85" spans="1:29" ht="12.75" customHeight="1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</row>
    <row r="86" spans="1:29" ht="12.75" customHeight="1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</row>
    <row r="87" spans="1:29" ht="12.75" customHeight="1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</row>
    <row r="88" spans="1:29" ht="12.75" customHeight="1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</row>
    <row r="89" spans="1:29" ht="12.75" customHeight="1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</row>
    <row r="90" spans="1:29" ht="12.75" customHeight="1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</row>
    <row r="91" spans="1:29" ht="12.75" customHeight="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</row>
    <row r="92" spans="1:29" ht="12.75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</row>
    <row r="93" spans="1:29" ht="12.75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</row>
    <row r="94" spans="1:29" ht="12.75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</row>
    <row r="95" spans="1:29" ht="12.75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</row>
    <row r="96" spans="1:29" ht="12.75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</row>
    <row r="97" spans="1:29" ht="12.75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</row>
    <row r="98" spans="1:29" ht="12.75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</row>
    <row r="99" spans="1:29" ht="12.75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</row>
    <row r="100" spans="1:29" ht="12.7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</row>
    <row r="101" spans="1:29" ht="12.7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</row>
    <row r="102" spans="1:29" ht="12.7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</row>
    <row r="103" spans="1:29" ht="12.7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</row>
    <row r="104" spans="1:29" ht="12.7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</row>
    <row r="105" spans="1:29" ht="12.7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</row>
    <row r="106" spans="1:29" ht="12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</row>
    <row r="107" spans="1:29" ht="12.7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</row>
    <row r="108" spans="1:29" ht="12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</row>
    <row r="109" spans="1:29" ht="12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</row>
    <row r="110" spans="1:29" ht="12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</row>
    <row r="111" spans="1:29" ht="12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</row>
    <row r="112" spans="1:29" ht="12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</row>
    <row r="113" spans="1:29" ht="12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</row>
    <row r="114" spans="1:29" ht="12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</row>
    <row r="115" spans="1:29" ht="12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</row>
    <row r="116" spans="1:29" ht="12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</row>
    <row r="117" spans="1:29" ht="12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</row>
    <row r="118" spans="1:29" ht="12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</row>
    <row r="119" spans="1:29" ht="12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</row>
    <row r="120" spans="1:29" ht="12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</row>
    <row r="121" spans="1:29" ht="12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</row>
    <row r="122" spans="1:29" ht="12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</row>
    <row r="123" spans="1:29" ht="12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</row>
    <row r="124" spans="1:29" ht="12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</row>
    <row r="125" spans="1:29" ht="12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</row>
    <row r="126" spans="1:29" ht="12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</row>
    <row r="127" spans="1:29" ht="12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</row>
    <row r="128" spans="1:29" ht="12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</row>
    <row r="129" spans="1:29" ht="12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</row>
    <row r="130" spans="1:29" ht="12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</row>
    <row r="131" spans="1:29" ht="12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</row>
    <row r="132" spans="1:29" ht="12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</row>
    <row r="133" spans="1:29" ht="12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</row>
    <row r="134" spans="1:29" ht="12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</row>
    <row r="135" spans="1:29" ht="12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</row>
    <row r="136" spans="1:29" ht="12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</row>
    <row r="137" spans="1:29" ht="12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</row>
    <row r="138" spans="1:29" ht="12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</row>
    <row r="139" spans="1:29" ht="12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</row>
    <row r="140" spans="1:29" ht="12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</row>
    <row r="141" spans="1:29" ht="12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</row>
    <row r="142" spans="1:29" ht="12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</row>
    <row r="143" spans="1:29" ht="12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</row>
    <row r="144" spans="1:29" ht="12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</row>
    <row r="145" spans="1:29" ht="12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</row>
    <row r="146" spans="1:29" ht="12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</row>
    <row r="147" spans="1:29" ht="12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</row>
    <row r="148" spans="1:29" ht="12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</row>
    <row r="149" spans="1:29" ht="12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</row>
    <row r="150" spans="1:29" ht="12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</row>
    <row r="151" spans="1:29" ht="12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</row>
    <row r="152" spans="1:29" ht="12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</row>
    <row r="153" spans="1:29" ht="12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</row>
    <row r="154" spans="1:29" ht="12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</row>
    <row r="155" spans="1:29" ht="12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</row>
    <row r="156" spans="1:29" ht="12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</row>
    <row r="157" spans="1:29" ht="12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</row>
    <row r="158" spans="1:29" ht="12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</row>
    <row r="159" spans="1:29" ht="12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</row>
    <row r="160" spans="1:29" ht="12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</row>
    <row r="161" spans="1:29" ht="12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</row>
    <row r="162" spans="1:29" ht="12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</row>
    <row r="163" spans="1:29" ht="12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</row>
    <row r="164" spans="1:29" ht="12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</row>
    <row r="165" spans="1:29" ht="12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</row>
    <row r="166" spans="1:29" ht="12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</row>
    <row r="167" spans="1:29" ht="12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</row>
    <row r="168" spans="1:29" ht="12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</row>
    <row r="169" spans="1:29" ht="12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</row>
    <row r="170" spans="1:29" ht="12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</row>
    <row r="171" spans="1:29" ht="12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</row>
    <row r="172" spans="1:29" ht="12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</row>
    <row r="173" spans="1:29" ht="12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</row>
    <row r="174" spans="1:29" ht="12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</row>
    <row r="175" spans="1:29" ht="12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</row>
    <row r="176" spans="1:29" ht="12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</row>
    <row r="177" spans="1:29" ht="12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</row>
    <row r="178" spans="1:29" ht="12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</row>
    <row r="179" spans="1:29" ht="12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</row>
    <row r="180" spans="1:29" ht="12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</row>
    <row r="181" spans="1:29" ht="12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</row>
    <row r="182" spans="1:29" ht="12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</row>
    <row r="183" spans="1:29" ht="12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</row>
    <row r="184" spans="1:29" ht="12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</row>
    <row r="185" spans="1:29" ht="12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</row>
    <row r="186" spans="1:29" ht="12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</row>
    <row r="187" spans="1:29" ht="12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</row>
    <row r="188" spans="1:29" ht="12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</row>
    <row r="189" spans="1:29" ht="12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</row>
    <row r="190" spans="1:29" ht="12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</row>
    <row r="191" spans="1:29" ht="12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</row>
    <row r="192" spans="1:29" ht="12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</row>
    <row r="193" spans="1:29" ht="12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</row>
    <row r="194" spans="1:29" ht="12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</row>
    <row r="195" spans="1:29" ht="12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</row>
    <row r="196" spans="1:29" ht="12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</row>
    <row r="197" spans="1:29" ht="12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</row>
    <row r="198" spans="1:29" ht="12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</row>
    <row r="199" spans="1:29" ht="12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</row>
    <row r="200" spans="1:29" ht="12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</row>
    <row r="201" spans="1:29" ht="12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</row>
    <row r="202" spans="1:29" ht="12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</row>
    <row r="203" spans="1:29" ht="12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</row>
    <row r="204" spans="1:29" ht="12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</row>
    <row r="205" spans="1:29" ht="12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</row>
    <row r="206" spans="1:29" ht="12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</row>
    <row r="207" spans="1:29" ht="12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</row>
    <row r="208" spans="1:29" ht="12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</row>
    <row r="209" spans="1:29" ht="12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</row>
    <row r="210" spans="1:29" ht="12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</row>
    <row r="211" spans="1:29" ht="12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</row>
    <row r="212" spans="1:29" ht="12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</row>
    <row r="213" spans="1:29" ht="12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</row>
    <row r="214" spans="1:29" ht="12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</row>
    <row r="215" spans="1:29" ht="12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</row>
    <row r="216" spans="1:29" ht="12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</row>
    <row r="217" spans="1:29" ht="12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</row>
    <row r="218" spans="1:29" ht="12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</row>
    <row r="219" spans="1:29" ht="12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</row>
    <row r="220" spans="1:29" ht="12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</row>
    <row r="221" spans="1:29" ht="12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</row>
    <row r="222" spans="1:29" ht="12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</row>
    <row r="223" spans="1:29" ht="12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</row>
    <row r="224" spans="1:29" ht="12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</row>
    <row r="225" spans="1:29" ht="12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</row>
    <row r="226" spans="1:29" ht="12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</row>
    <row r="227" spans="1:29" ht="12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</row>
    <row r="228" spans="1:29" ht="12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</row>
    <row r="229" spans="1:29" ht="12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</row>
    <row r="230" spans="1:29" ht="12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</row>
    <row r="231" spans="1:29" ht="12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</row>
    <row r="232" spans="1:29" ht="12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</row>
    <row r="233" spans="1:29" ht="12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</row>
    <row r="234" spans="1:29" ht="12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</row>
    <row r="235" spans="1:29" ht="12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</row>
    <row r="236" spans="1:29" ht="12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</row>
    <row r="237" spans="1:29" ht="12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</row>
    <row r="238" spans="1:29" ht="12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</row>
    <row r="239" spans="1:29" ht="12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</row>
    <row r="240" spans="1:29" ht="12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</row>
    <row r="241" spans="1:29" ht="12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</row>
    <row r="242" spans="1:29" ht="12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</row>
    <row r="243" spans="1:29" ht="12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</row>
    <row r="244" spans="1:29" ht="12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</row>
    <row r="245" spans="1:29" ht="12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</row>
    <row r="246" spans="1:29" ht="12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</row>
    <row r="247" spans="1:29" ht="12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</row>
    <row r="248" spans="1:29" ht="12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</row>
    <row r="249" spans="1:29" ht="12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</row>
    <row r="250" spans="1:29" ht="12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</row>
    <row r="251" spans="1:29" ht="12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</row>
    <row r="252" spans="1:29" ht="12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</row>
    <row r="253" spans="1:29" ht="12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</row>
    <row r="254" spans="1:29" ht="12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</row>
    <row r="255" spans="1:29" ht="12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</row>
    <row r="256" spans="1:29" ht="12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</row>
    <row r="257" spans="1:29" ht="12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</row>
    <row r="258" spans="1:29" ht="12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</row>
    <row r="259" spans="1:29" ht="12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</row>
    <row r="260" spans="1:29" ht="12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</row>
    <row r="261" spans="1:29" ht="12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</row>
    <row r="262" spans="1:29" ht="12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</row>
    <row r="263" spans="1:29" ht="12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</row>
    <row r="264" spans="1:29" ht="12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</row>
    <row r="265" spans="1:29" ht="12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</row>
    <row r="266" spans="1:29" ht="12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</row>
    <row r="267" spans="1:29" ht="12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</row>
    <row r="268" spans="1:29" ht="12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</row>
    <row r="269" spans="1:29" ht="12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</row>
    <row r="270" spans="1:29" ht="12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</row>
    <row r="271" spans="1:29" ht="12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</row>
    <row r="272" spans="1:29" ht="12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</row>
    <row r="273" spans="1:29" ht="12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</row>
    <row r="274" spans="1:29" ht="12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</row>
    <row r="275" spans="1:29" ht="12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</row>
    <row r="276" spans="1:29" ht="12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</row>
    <row r="277" spans="1:29" ht="12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</row>
    <row r="278" spans="1:29" ht="12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</row>
    <row r="279" spans="1:29" ht="12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</row>
    <row r="280" spans="1:29" ht="12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</row>
    <row r="281" spans="1:29" ht="12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</row>
    <row r="282" spans="1:29" ht="12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</row>
    <row r="283" spans="1:29" ht="12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</row>
    <row r="284" spans="1:29" ht="12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</row>
    <row r="285" spans="1:29" ht="12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</row>
    <row r="286" spans="1:29" ht="12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</row>
    <row r="287" spans="1:29" ht="12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</row>
    <row r="288" spans="1:29" ht="12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</row>
    <row r="289" spans="1:29" ht="12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</row>
    <row r="290" spans="1:29" ht="12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</row>
    <row r="291" spans="1:29" ht="12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</row>
    <row r="292" spans="1:29" ht="12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</row>
    <row r="293" spans="1:29" ht="12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</row>
    <row r="294" spans="1:29" ht="12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</row>
    <row r="295" spans="1:29" ht="12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</row>
    <row r="296" spans="1:29" ht="12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</row>
    <row r="297" spans="1:29" ht="12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</row>
    <row r="298" spans="1:29" ht="12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</row>
    <row r="299" spans="1:29" ht="12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</row>
    <row r="300" spans="1:29" ht="12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</row>
    <row r="301" spans="1:29" ht="12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</row>
    <row r="302" spans="1:29" ht="12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</row>
    <row r="303" spans="1:29" ht="12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</row>
    <row r="304" spans="1:29" ht="12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</row>
    <row r="305" spans="1:29" ht="12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</row>
    <row r="306" spans="1:29" ht="12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</row>
    <row r="307" spans="1:29" ht="12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</row>
    <row r="308" spans="1:29" ht="12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</row>
    <row r="309" spans="1:29" ht="12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</row>
    <row r="310" spans="1:29" ht="12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</row>
    <row r="311" spans="1:29" ht="12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</row>
    <row r="312" spans="1:29" ht="12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</row>
    <row r="313" spans="1:29" ht="12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</row>
    <row r="314" spans="1:29" ht="12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</row>
    <row r="315" spans="1:29" ht="12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</row>
    <row r="316" spans="1:29" ht="12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</row>
    <row r="317" spans="1:29" ht="12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</row>
    <row r="318" spans="1:29" ht="12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</row>
    <row r="319" spans="1:29" ht="12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</row>
    <row r="320" spans="1:29" ht="12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</row>
    <row r="321" spans="1:29" ht="12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</row>
    <row r="322" spans="1:29" ht="12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</row>
    <row r="323" spans="1:29" ht="12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</row>
    <row r="324" spans="1:29" ht="12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</row>
    <row r="325" spans="1:29" ht="12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</row>
    <row r="326" spans="1:29" ht="12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</row>
    <row r="327" spans="1:29" ht="12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</row>
    <row r="328" spans="1:29" ht="12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</row>
    <row r="329" spans="1:29" ht="12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</row>
    <row r="330" spans="1:29" ht="12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</row>
    <row r="331" spans="1:29" ht="12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</row>
    <row r="332" spans="1:29" ht="12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</row>
    <row r="333" spans="1:29" ht="12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</row>
    <row r="334" spans="1:29" ht="12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</row>
    <row r="335" spans="1:29" ht="12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</row>
    <row r="336" spans="1:29" ht="12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</row>
    <row r="337" spans="1:29" ht="12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</row>
    <row r="338" spans="1:29" ht="12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</row>
    <row r="339" spans="1:29" ht="12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</row>
    <row r="340" spans="1:29" ht="12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</row>
    <row r="341" spans="1:29" ht="12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</row>
    <row r="342" spans="1:29" ht="12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</row>
    <row r="343" spans="1:29" ht="12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</row>
    <row r="344" spans="1:29" ht="12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</row>
    <row r="345" spans="1:29" ht="12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</row>
    <row r="346" spans="1:29" ht="12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</row>
    <row r="347" spans="1:29" ht="12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</row>
    <row r="348" spans="1:29" ht="12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</row>
    <row r="349" spans="1:29" ht="12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</row>
    <row r="350" spans="1:29" ht="12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</row>
    <row r="351" spans="1:29" ht="12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</row>
    <row r="352" spans="1:29" ht="12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</row>
    <row r="353" spans="1:29" ht="12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</row>
    <row r="354" spans="1:29" ht="12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</row>
    <row r="355" spans="1:29" ht="12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</row>
    <row r="356" spans="1:29" ht="12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</row>
    <row r="357" spans="1:29" ht="12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</row>
    <row r="358" spans="1:29" ht="12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</row>
    <row r="359" spans="1:29" ht="12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</row>
    <row r="360" spans="1:29" ht="12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</row>
    <row r="361" spans="1:29" ht="12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</row>
    <row r="362" spans="1:29" ht="12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</row>
    <row r="363" spans="1:29" ht="12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</row>
    <row r="364" spans="1:29" ht="12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</row>
    <row r="365" spans="1:29" ht="12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</row>
    <row r="366" spans="1:29" ht="12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</row>
    <row r="367" spans="1:29" ht="12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</row>
    <row r="368" spans="1:29" ht="12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</row>
    <row r="369" spans="1:29" ht="12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</row>
    <row r="370" spans="1:29" ht="12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</row>
    <row r="371" spans="1:29" ht="12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</row>
    <row r="372" spans="1:29" ht="12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</row>
    <row r="373" spans="1:29" ht="12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</row>
    <row r="374" spans="1:29" ht="12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</row>
    <row r="375" spans="1:29" ht="12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</row>
    <row r="376" spans="1:29" ht="12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</row>
    <row r="377" spans="1:29" ht="12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</row>
    <row r="378" spans="1:29" ht="12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</row>
    <row r="379" spans="1:29" ht="12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</row>
    <row r="380" spans="1:29" ht="12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</row>
    <row r="381" spans="1:29" ht="12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</row>
    <row r="382" spans="1:29" ht="12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</row>
    <row r="383" spans="1:29" ht="12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</row>
    <row r="384" spans="1:29" ht="12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</row>
    <row r="385" spans="1:29" ht="12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</row>
    <row r="386" spans="1:29" ht="12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</row>
    <row r="387" spans="1:29" ht="12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</row>
    <row r="388" spans="1:29" ht="12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</row>
    <row r="389" spans="1:29" ht="12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</row>
    <row r="390" spans="1:29" ht="12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</row>
    <row r="391" spans="1:29" ht="12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</row>
    <row r="392" spans="1:29" ht="12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</row>
    <row r="393" spans="1:29" ht="12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</row>
    <row r="394" spans="1:29" ht="12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</row>
    <row r="395" spans="1:29" ht="12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</row>
    <row r="396" spans="1:29" ht="12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</row>
    <row r="397" spans="1:29" ht="12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</row>
    <row r="398" spans="1:29" ht="12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</row>
    <row r="399" spans="1:29" ht="12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</row>
    <row r="400" spans="1:29" ht="12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</row>
    <row r="401" spans="1:29" ht="12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</row>
    <row r="402" spans="1:29" ht="12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</row>
    <row r="403" spans="1:29" ht="12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</row>
    <row r="404" spans="1:29" ht="12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</row>
    <row r="405" spans="1:29" ht="12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</row>
    <row r="406" spans="1:29" ht="12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</row>
    <row r="407" spans="1:29" ht="12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</row>
    <row r="408" spans="1:29" ht="12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</row>
    <row r="409" spans="1:29" ht="12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</row>
    <row r="410" spans="1:29" ht="12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</row>
    <row r="411" spans="1:29" ht="12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</row>
    <row r="412" spans="1:29" ht="12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</row>
    <row r="413" spans="1:29" ht="12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</row>
    <row r="414" spans="1:29" ht="12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</row>
    <row r="415" spans="1:29" ht="12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</row>
    <row r="416" spans="1:29" ht="12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</row>
    <row r="417" spans="1:29" ht="12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</row>
    <row r="418" spans="1:29" ht="12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</row>
    <row r="419" spans="1:29" ht="12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</row>
    <row r="420" spans="1:29" ht="12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</row>
    <row r="421" spans="1:29" ht="12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</row>
    <row r="422" spans="1:29" ht="12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</row>
    <row r="423" spans="1:29" ht="12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</row>
    <row r="424" spans="1:29" ht="12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</row>
    <row r="425" spans="1:29" ht="12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</row>
    <row r="426" spans="1:29" ht="12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</row>
    <row r="427" spans="1:29" ht="12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</row>
    <row r="428" spans="1:29" ht="12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</row>
    <row r="429" spans="1:29" ht="12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</row>
    <row r="430" spans="1:29" ht="12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</row>
    <row r="431" spans="1:29" ht="12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</row>
    <row r="432" spans="1:29" ht="12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</row>
    <row r="433" spans="1:29" ht="12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</row>
    <row r="434" spans="1:29" ht="12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</row>
    <row r="435" spans="1:29" ht="12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</row>
    <row r="436" spans="1:29" ht="12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</row>
    <row r="437" spans="1:29" ht="12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</row>
    <row r="438" spans="1:29" ht="12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</row>
    <row r="439" spans="1:29" ht="12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</row>
    <row r="440" spans="1:29" ht="12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</row>
    <row r="441" spans="1:29" ht="12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</row>
    <row r="442" spans="1:29" ht="12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</row>
    <row r="443" spans="1:29" ht="12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</row>
    <row r="444" spans="1:29" ht="12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</row>
    <row r="445" spans="1:29" ht="12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</row>
    <row r="446" spans="1:29" ht="12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</row>
    <row r="447" spans="1:29" ht="12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</row>
    <row r="448" spans="1:29" ht="12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</row>
    <row r="449" spans="1:29" ht="12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</row>
    <row r="450" spans="1:29" ht="12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</row>
    <row r="451" spans="1:29" ht="12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</row>
    <row r="452" spans="1:29" ht="12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</row>
    <row r="453" spans="1:29" ht="12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</row>
    <row r="454" spans="1:29" ht="12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</row>
    <row r="455" spans="1:29" ht="12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</row>
    <row r="456" spans="1:29" ht="12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</row>
    <row r="457" spans="1:29" ht="12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</row>
    <row r="458" spans="1:29" ht="12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</row>
    <row r="459" spans="1:29" ht="12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</row>
    <row r="460" spans="1:29" ht="12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</row>
    <row r="461" spans="1:29" ht="12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</row>
    <row r="462" spans="1:29" ht="12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</row>
    <row r="463" spans="1:29" ht="12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</row>
    <row r="464" spans="1:29" ht="12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</row>
    <row r="465" spans="1:29" ht="12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</row>
    <row r="466" spans="1:29" ht="12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</row>
    <row r="467" spans="1:29" ht="12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</row>
    <row r="468" spans="1:29" ht="12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</row>
    <row r="469" spans="1:29" ht="12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</row>
    <row r="470" spans="1:29" ht="12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</row>
    <row r="471" spans="1:29" ht="12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</row>
    <row r="472" spans="1:29" ht="12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</row>
    <row r="473" spans="1:29" ht="12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</row>
    <row r="474" spans="1:29" ht="12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</row>
    <row r="475" spans="1:29" ht="12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</row>
    <row r="476" spans="1:29" ht="12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</row>
    <row r="477" spans="1:29" ht="12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</row>
    <row r="478" spans="1:29" ht="12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</row>
    <row r="479" spans="1:29" ht="12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</row>
    <row r="480" spans="1:29" ht="12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</row>
    <row r="481" spans="1:29" ht="12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</row>
    <row r="482" spans="1:29" ht="12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</row>
    <row r="483" spans="1:29" ht="12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</row>
    <row r="484" spans="1:29" ht="12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</row>
    <row r="485" spans="1:29" ht="12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</row>
    <row r="486" spans="1:29" ht="12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</row>
    <row r="487" spans="1:29" ht="12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</row>
    <row r="488" spans="1:29" ht="12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</row>
    <row r="489" spans="1:29" ht="12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</row>
    <row r="490" spans="1:29" ht="12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</row>
    <row r="491" spans="1:29" ht="12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</row>
    <row r="492" spans="1:29" ht="12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</row>
    <row r="493" spans="1:29" ht="12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</row>
    <row r="494" spans="1:29" ht="12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</row>
    <row r="495" spans="1:29" ht="12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</row>
    <row r="496" spans="1:29" ht="12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</row>
    <row r="497" spans="1:29" ht="12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</row>
    <row r="498" spans="1:29" ht="12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</row>
    <row r="499" spans="1:29" ht="12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</row>
    <row r="500" spans="1:29" ht="12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</row>
    <row r="501" spans="1:29" ht="12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</row>
    <row r="502" spans="1:29" ht="12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</row>
    <row r="503" spans="1:29" ht="12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</row>
    <row r="504" spans="1:29" ht="12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</row>
    <row r="505" spans="1:29" ht="12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</row>
    <row r="506" spans="1:29" ht="12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</row>
    <row r="507" spans="1:29" ht="12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</row>
    <row r="508" spans="1:29" ht="12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</row>
    <row r="509" spans="1:29" ht="12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</row>
    <row r="510" spans="1:29" ht="12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</row>
    <row r="511" spans="1:29" ht="12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</row>
    <row r="512" spans="1:29" ht="12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</row>
    <row r="513" spans="1:29" ht="12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</row>
    <row r="514" spans="1:29" ht="12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</row>
    <row r="515" spans="1:29" ht="12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</row>
    <row r="516" spans="1:29" ht="12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</row>
    <row r="517" spans="1:29" ht="12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</row>
    <row r="518" spans="1:29" ht="12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</row>
    <row r="519" spans="1:29" ht="12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</row>
    <row r="520" spans="1:29" ht="12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</row>
    <row r="521" spans="1:29" ht="12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</row>
    <row r="522" spans="1:29" ht="12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</row>
    <row r="523" spans="1:29" ht="12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</row>
    <row r="524" spans="1:29" ht="12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</row>
    <row r="525" spans="1:29" ht="12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</row>
    <row r="526" spans="1:29" ht="12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</row>
    <row r="527" spans="1:29" ht="12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</row>
    <row r="528" spans="1:29" ht="12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</row>
    <row r="529" spans="1:29" ht="12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</row>
    <row r="530" spans="1:29" ht="12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</row>
    <row r="531" spans="1:29" ht="12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</row>
    <row r="532" spans="1:29" ht="12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</row>
    <row r="533" spans="1:29" ht="12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</row>
    <row r="534" spans="1:29" ht="12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</row>
    <row r="535" spans="1:29" ht="12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</row>
    <row r="536" spans="1:29" ht="12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</row>
    <row r="537" spans="1:29" ht="12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</row>
    <row r="538" spans="1:29" ht="12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</row>
    <row r="539" spans="1:29" ht="12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</row>
    <row r="540" spans="1:29" ht="12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</row>
    <row r="541" spans="1:29" ht="12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</row>
    <row r="542" spans="1:29" ht="12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</row>
    <row r="543" spans="1:29" ht="12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</row>
    <row r="544" spans="1:29" ht="12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</row>
    <row r="545" spans="1:29" ht="12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</row>
    <row r="546" spans="1:29" ht="12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</row>
    <row r="547" spans="1:29" ht="12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</row>
    <row r="548" spans="1:29" ht="12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</row>
    <row r="549" spans="1:29" ht="12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</row>
    <row r="550" spans="1:29" ht="12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</row>
    <row r="551" spans="1:29" ht="12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</row>
    <row r="552" spans="1:29" ht="12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</row>
    <row r="553" spans="1:29" ht="12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</row>
    <row r="554" spans="1:29" ht="12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</row>
    <row r="555" spans="1:29" ht="12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</row>
    <row r="556" spans="1:29" ht="12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</row>
    <row r="557" spans="1:29" ht="12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</row>
    <row r="558" spans="1:29" ht="12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</row>
    <row r="559" spans="1:29" ht="12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</row>
    <row r="560" spans="1:29" ht="12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</row>
    <row r="561" spans="1:29" ht="12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</row>
    <row r="562" spans="1:29" ht="12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</row>
    <row r="563" spans="1:29" ht="12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</row>
    <row r="564" spans="1:29" ht="12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</row>
    <row r="565" spans="1:29" ht="12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</row>
    <row r="566" spans="1:29" ht="12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</row>
    <row r="567" spans="1:29" ht="12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</row>
    <row r="568" spans="1:29" ht="12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</row>
    <row r="569" spans="1:29" ht="12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</row>
    <row r="570" spans="1:29" ht="12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</row>
    <row r="571" spans="1:29" ht="12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</row>
    <row r="572" spans="1:29" ht="12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</row>
    <row r="573" spans="1:29" ht="12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</row>
    <row r="574" spans="1:29" ht="12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</row>
    <row r="575" spans="1:29" ht="12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</row>
    <row r="576" spans="1:29" ht="12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</row>
    <row r="577" spans="1:29" ht="12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</row>
    <row r="578" spans="1:29" ht="12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</row>
    <row r="579" spans="1:29" ht="12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</row>
    <row r="580" spans="1:29" ht="12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</row>
    <row r="581" spans="1:29" ht="12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</row>
    <row r="582" spans="1:29" ht="12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</row>
    <row r="583" spans="1:29" ht="12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</row>
    <row r="584" spans="1:29" ht="12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</row>
    <row r="585" spans="1:29" ht="12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</row>
    <row r="586" spans="1:29" ht="12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</row>
    <row r="587" spans="1:29" ht="12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</row>
    <row r="588" spans="1:29" ht="12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</row>
    <row r="589" spans="1:29" ht="12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</row>
    <row r="590" spans="1:29" ht="12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</row>
    <row r="591" spans="1:29" ht="12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</row>
    <row r="592" spans="1:29" ht="12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</row>
    <row r="593" spans="1:29" ht="12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</row>
    <row r="594" spans="1:29" ht="12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</row>
    <row r="595" spans="1:29" ht="12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</row>
    <row r="596" spans="1:29" ht="12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</row>
    <row r="597" spans="1:29" ht="12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</row>
    <row r="598" spans="1:29" ht="12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</row>
    <row r="599" spans="1:29" ht="12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</row>
    <row r="600" spans="1:29" ht="12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</row>
    <row r="601" spans="1:29" ht="12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</row>
    <row r="602" spans="1:29" ht="12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</row>
    <row r="603" spans="1:29" ht="12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</row>
    <row r="604" spans="1:29" ht="12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</row>
    <row r="605" spans="1:29" ht="12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</row>
    <row r="606" spans="1:29" ht="12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</row>
    <row r="607" spans="1:29" ht="12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</row>
    <row r="608" spans="1:29" ht="12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</row>
    <row r="609" spans="1:29" ht="12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</row>
    <row r="610" spans="1:29" ht="12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</row>
    <row r="611" spans="1:29" ht="12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</row>
    <row r="612" spans="1:29" ht="12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</row>
    <row r="613" spans="1:29" ht="12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</row>
    <row r="614" spans="1:29" ht="12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</row>
    <row r="615" spans="1:29" ht="12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</row>
    <row r="616" spans="1:29" ht="12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</row>
    <row r="617" spans="1:29" ht="12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</row>
    <row r="618" spans="1:29" ht="12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</row>
    <row r="619" spans="1:29" ht="12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</row>
    <row r="620" spans="1:29" ht="12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</row>
    <row r="621" spans="1:29" ht="12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</row>
    <row r="622" spans="1:29" ht="12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</row>
    <row r="623" spans="1:29" ht="12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</row>
    <row r="624" spans="1:29" ht="12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</row>
    <row r="625" spans="1:29" ht="12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</row>
    <row r="626" spans="1:29" ht="12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</row>
    <row r="627" spans="1:29" ht="12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</row>
    <row r="628" spans="1:29" ht="12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</row>
    <row r="629" spans="1:29" ht="12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</row>
    <row r="630" spans="1:29" ht="12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</row>
    <row r="631" spans="1:29" ht="12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</row>
    <row r="632" spans="1:29" ht="12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</row>
    <row r="633" spans="1:29" ht="12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</row>
    <row r="634" spans="1:29" ht="12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</row>
    <row r="635" spans="1:29" ht="12.7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</row>
    <row r="636" spans="1:29" ht="12.7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</row>
    <row r="637" spans="1:29" ht="12.7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</row>
    <row r="638" spans="1:29" ht="12.7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</row>
    <row r="639" spans="1:29" ht="12.7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</row>
    <row r="640" spans="1:29" ht="12.7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</row>
    <row r="641" spans="1:29" ht="12.7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</row>
    <row r="642" spans="1:29" ht="12.7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</row>
    <row r="643" spans="1:29" ht="12.7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</row>
    <row r="644" spans="1:29" ht="12.7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</row>
    <row r="645" spans="1:29" ht="12.7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</row>
    <row r="646" spans="1:29" ht="12.7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</row>
    <row r="647" spans="1:29" ht="12.7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</row>
    <row r="648" spans="1:29" ht="12.7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</row>
    <row r="649" spans="1:29" ht="12.7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</row>
    <row r="650" spans="1:29" ht="12.7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</row>
    <row r="651" spans="1:29" ht="12.7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</row>
    <row r="652" spans="1:29" ht="12.7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</row>
    <row r="653" spans="1:29" ht="12.7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</row>
    <row r="654" spans="1:29" ht="12.7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</row>
    <row r="655" spans="1:29" ht="12.7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</row>
    <row r="656" spans="1:29" ht="12.7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</row>
    <row r="657" spans="1:29" ht="12.7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</row>
    <row r="658" spans="1:29" ht="12.7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</row>
    <row r="659" spans="1:29" ht="12.7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</row>
    <row r="660" spans="1:29" ht="12.7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</row>
    <row r="661" spans="1:29" ht="12.7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</row>
    <row r="662" spans="1:29" ht="12.7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</row>
    <row r="663" spans="1:29" ht="12.7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</row>
    <row r="664" spans="1:29" ht="12.7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</row>
    <row r="665" spans="1:29" ht="12.7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</row>
    <row r="666" spans="1:29" ht="12.7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</row>
    <row r="667" spans="1:29" ht="12.7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</row>
    <row r="668" spans="1:29" ht="12.7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</row>
    <row r="669" spans="1:29" ht="12.7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</row>
    <row r="670" spans="1:29" ht="12.7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</row>
    <row r="671" spans="1:29" ht="12.7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</row>
    <row r="672" spans="1:29" ht="12.7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</row>
    <row r="673" spans="1:29" ht="12.7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</row>
    <row r="674" spans="1:29" ht="12.7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</row>
    <row r="675" spans="1:29" ht="12.7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</row>
    <row r="676" spans="1:29" ht="12.7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</row>
    <row r="677" spans="1:29" ht="12.7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</row>
    <row r="678" spans="1:29" ht="12.7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</row>
    <row r="679" spans="1:29" ht="12.7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</row>
    <row r="680" spans="1:29" ht="12.7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</row>
    <row r="681" spans="1:29" ht="12.7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</row>
    <row r="682" spans="1:29" ht="12.7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</row>
    <row r="683" spans="1:29" ht="12.7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</row>
    <row r="684" spans="1:29" ht="12.7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</row>
    <row r="685" spans="1:29" ht="12.7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</row>
    <row r="686" spans="1:29" ht="12.7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</row>
    <row r="687" spans="1:29" ht="12.7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</row>
    <row r="688" spans="1:29" ht="12.7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</row>
    <row r="689" spans="1:29" ht="12.7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</row>
    <row r="690" spans="1:29" ht="12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</row>
    <row r="691" spans="1:29" ht="12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</row>
    <row r="692" spans="1:29" ht="12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</row>
    <row r="693" spans="1:29" ht="12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</row>
    <row r="694" spans="1:29" ht="12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</row>
    <row r="695" spans="1:29" ht="12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</row>
    <row r="696" spans="1:29" ht="12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</row>
    <row r="697" spans="1:29" ht="12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</row>
    <row r="698" spans="1:29" ht="12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</row>
    <row r="699" spans="1:29" ht="12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</row>
    <row r="700" spans="1:29" ht="12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</row>
    <row r="701" spans="1:29" ht="12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</row>
    <row r="702" spans="1:29" ht="12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</row>
    <row r="703" spans="1:29" ht="12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</row>
    <row r="704" spans="1:29" ht="12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</row>
    <row r="705" spans="1:29" ht="12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</row>
    <row r="706" spans="1:29" ht="12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</row>
    <row r="707" spans="1:29" ht="12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</row>
    <row r="708" spans="1:29" ht="12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</row>
    <row r="709" spans="1:29" ht="12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</row>
    <row r="710" spans="1:29" ht="12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</row>
    <row r="711" spans="1:29" ht="12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</row>
    <row r="712" spans="1:29" ht="12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</row>
    <row r="713" spans="1:29" ht="12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</row>
    <row r="714" spans="1:29" ht="12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</row>
    <row r="715" spans="1:29" ht="12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</row>
    <row r="716" spans="1:29" ht="12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</row>
    <row r="717" spans="1:29" ht="12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</row>
    <row r="718" spans="1:29" ht="12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</row>
    <row r="719" spans="1:29" ht="12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</row>
    <row r="720" spans="1:29" ht="12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</row>
    <row r="721" spans="1:29" ht="12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</row>
    <row r="722" spans="1:29" ht="12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</row>
    <row r="723" spans="1:29" ht="12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</row>
    <row r="724" spans="1:29" ht="12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</row>
    <row r="725" spans="1:29" ht="12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</row>
    <row r="726" spans="1:29" ht="12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</row>
    <row r="727" spans="1:29" ht="12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</row>
    <row r="728" spans="1:29" ht="12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</row>
    <row r="729" spans="1:29" ht="12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</row>
    <row r="730" spans="1:29" ht="12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</row>
    <row r="731" spans="1:29" ht="12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</row>
    <row r="732" spans="1:29" ht="12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</row>
    <row r="733" spans="1:29" ht="12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</row>
    <row r="734" spans="1:29" ht="12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</row>
    <row r="735" spans="1:29" ht="12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</row>
    <row r="736" spans="1:29" ht="12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</row>
    <row r="737" spans="1:29" ht="12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</row>
    <row r="738" spans="1:29" ht="12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</row>
    <row r="739" spans="1:29" ht="12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</row>
    <row r="740" spans="1:29" ht="12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</row>
    <row r="741" spans="1:29" ht="12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</row>
    <row r="742" spans="1:29" ht="12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</row>
    <row r="743" spans="1:29" ht="12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</row>
    <row r="744" spans="1:29" ht="12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</row>
    <row r="745" spans="1:29" ht="12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</row>
    <row r="746" spans="1:29" ht="12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</row>
    <row r="747" spans="1:29" ht="12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</row>
    <row r="748" spans="1:29" ht="12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</row>
    <row r="749" spans="1:29" ht="12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</row>
    <row r="750" spans="1:29" ht="12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</row>
    <row r="751" spans="1:29" ht="12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</row>
    <row r="752" spans="1:29" ht="12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</row>
    <row r="753" spans="1:29" ht="12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</row>
    <row r="754" spans="1:29" ht="12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</row>
    <row r="755" spans="1:29" ht="12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</row>
    <row r="756" spans="1:29" ht="12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</row>
    <row r="757" spans="1:29" ht="12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</row>
    <row r="758" spans="1:29" ht="12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</row>
    <row r="759" spans="1:29" ht="12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</row>
    <row r="760" spans="1:29" ht="12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</row>
    <row r="761" spans="1:29" ht="12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</row>
    <row r="762" spans="1:29" ht="12.7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</row>
    <row r="763" spans="1:29" ht="12.7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</row>
    <row r="764" spans="1:29" ht="12.7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</row>
    <row r="765" spans="1:29" ht="12.7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</row>
    <row r="766" spans="1:29" ht="12.7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</row>
    <row r="767" spans="1:29" ht="12.7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</row>
    <row r="768" spans="1:29" ht="12.7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</row>
    <row r="769" spans="1:29" ht="12.7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</row>
    <row r="770" spans="1:29" ht="12.7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</row>
    <row r="771" spans="1:29" ht="12.7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</row>
    <row r="772" spans="1:29" ht="12.7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</row>
    <row r="773" spans="1:29" ht="12.7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</row>
    <row r="774" spans="1:29" ht="12.7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</row>
    <row r="775" spans="1:29" ht="12.7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</row>
    <row r="776" spans="1:29" ht="12.7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</row>
    <row r="777" spans="1:29" ht="12.7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</row>
    <row r="778" spans="1:29" ht="12.7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</row>
    <row r="779" spans="1:29" ht="12.7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</row>
    <row r="780" spans="1:29" ht="12.7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</row>
    <row r="781" spans="1:29" ht="12.7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</row>
    <row r="782" spans="1:29" ht="12.7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</row>
    <row r="783" spans="1:29" ht="12.7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</row>
    <row r="784" spans="1:29" ht="12.7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</row>
    <row r="785" spans="1:29" ht="12.7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</row>
    <row r="786" spans="1:29" ht="12.7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</row>
    <row r="787" spans="1:29" ht="12.7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</row>
    <row r="788" spans="1:29" ht="12.7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</row>
    <row r="789" spans="1:29" ht="12.7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</row>
    <row r="790" spans="1:29" ht="12.7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</row>
    <row r="791" spans="1:29" ht="12.7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</row>
    <row r="792" spans="1:29" ht="12.7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</row>
    <row r="793" spans="1:29" ht="12.7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</row>
    <row r="794" spans="1:29" ht="12.7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</row>
    <row r="795" spans="1:29" ht="12.7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</row>
    <row r="796" spans="1:29" ht="12.7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</row>
    <row r="797" spans="1:29" ht="12.7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</row>
    <row r="798" spans="1:29" ht="12.7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</row>
    <row r="799" spans="1:29" ht="12.7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</row>
    <row r="800" spans="1:29" ht="12.7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</row>
    <row r="801" spans="1:29" ht="12.7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</row>
    <row r="802" spans="1:29" ht="12.7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</row>
    <row r="803" spans="1:29" ht="12.7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</row>
    <row r="804" spans="1:29" ht="12.7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</row>
    <row r="805" spans="1:29" ht="12.7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</row>
    <row r="806" spans="1:29" ht="12.7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</row>
    <row r="807" spans="1:29" ht="12.7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</row>
    <row r="808" spans="1:29" ht="12.7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</row>
    <row r="809" spans="1:29" ht="12.7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</row>
    <row r="810" spans="1:29" ht="12.7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</row>
    <row r="811" spans="1:29" ht="12.7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</row>
    <row r="812" spans="1:29" ht="12.7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</row>
    <row r="813" spans="1:29" ht="12.7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</row>
    <row r="814" spans="1:29" ht="12.7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</row>
    <row r="815" spans="1:29" ht="12.7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</row>
    <row r="816" spans="1:29" ht="12.7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</row>
    <row r="817" spans="1:29" ht="12.7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</row>
    <row r="818" spans="1:29" ht="12.7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</row>
    <row r="819" spans="1:29" ht="12.7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</row>
    <row r="820" spans="1:29" ht="12.7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</row>
    <row r="821" spans="1:29" ht="12.7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</row>
    <row r="822" spans="1:29" ht="12.7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</row>
    <row r="823" spans="1:29" ht="12.7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</row>
    <row r="824" spans="1:29" ht="12.7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</row>
    <row r="825" spans="1:29" ht="12.7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</row>
    <row r="826" spans="1:29" ht="12.7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</row>
    <row r="827" spans="1:29" ht="12.7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</row>
    <row r="828" spans="1:29" ht="12.7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</row>
    <row r="829" spans="1:29" ht="12.7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</row>
    <row r="830" spans="1:29" ht="12.7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</row>
    <row r="831" spans="1:29" ht="12.7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</row>
    <row r="832" spans="1:29" ht="12.7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</row>
    <row r="833" spans="1:29" ht="12.7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</row>
    <row r="834" spans="1:29" ht="12.7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</row>
    <row r="835" spans="1:29" ht="12.7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</row>
    <row r="836" spans="1:29" ht="12.7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</row>
    <row r="837" spans="1:29" ht="12.7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</row>
    <row r="838" spans="1:29" ht="12.7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</row>
    <row r="839" spans="1:29" ht="12.7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</row>
    <row r="840" spans="1:29" ht="12.7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</row>
    <row r="841" spans="1:29" ht="12.7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</row>
    <row r="842" spans="1:29" ht="12.7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</row>
    <row r="843" spans="1:29" ht="12.7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</row>
    <row r="844" spans="1:29" ht="12.7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</row>
    <row r="845" spans="1:29" ht="12.7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</row>
    <row r="846" spans="1:29" ht="12.7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</row>
    <row r="847" spans="1:29" ht="12.7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</row>
    <row r="848" spans="1:29" ht="12.7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</row>
    <row r="849" spans="1:29" ht="12.7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</row>
    <row r="850" spans="1:29" ht="12.7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</row>
    <row r="851" spans="1:29" ht="12.7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</row>
    <row r="852" spans="1:29" ht="12.7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</row>
    <row r="853" spans="1:29" ht="12.7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</row>
    <row r="854" spans="1:29" ht="12.7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</row>
    <row r="855" spans="1:29" ht="12.7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</row>
    <row r="856" spans="1:29" ht="12.7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</row>
    <row r="857" spans="1:29" ht="12.7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</row>
    <row r="858" spans="1:29" ht="12.7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</row>
    <row r="859" spans="1:29" ht="12.7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</row>
    <row r="860" spans="1:29" ht="12.7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</row>
    <row r="861" spans="1:29" ht="12.7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</row>
    <row r="862" spans="1:29" ht="12.7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</row>
    <row r="863" spans="1:29" ht="12.7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</row>
    <row r="864" spans="1:29" ht="12.7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</row>
    <row r="865" spans="1:29" ht="12.7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</row>
    <row r="866" spans="1:29" ht="12.7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</row>
    <row r="867" spans="1:29" ht="12.7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</row>
    <row r="868" spans="1:29" ht="12.7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</row>
    <row r="869" spans="1:29" ht="12.7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</row>
    <row r="870" spans="1:29" ht="12.7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</row>
    <row r="871" spans="1:29" ht="12.7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</row>
    <row r="872" spans="1:29" ht="12.7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</row>
    <row r="873" spans="1:29" ht="12.7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</row>
    <row r="874" spans="1:29" ht="12.7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</row>
    <row r="875" spans="1:29" ht="12.7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</row>
    <row r="876" spans="1:29" ht="12.7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</row>
    <row r="877" spans="1:29" ht="12.7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</row>
    <row r="878" spans="1:29" ht="12.7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</row>
    <row r="879" spans="1:29" ht="12.7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</row>
    <row r="880" spans="1:29" ht="12.7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</row>
    <row r="881" spans="1:29" ht="12.7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</row>
    <row r="882" spans="1:29" ht="12.7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</row>
    <row r="883" spans="1:29" ht="12.7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</row>
    <row r="884" spans="1:29" ht="12.7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</row>
    <row r="885" spans="1:29" ht="12.7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</row>
    <row r="886" spans="1:29" ht="12.7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</row>
    <row r="887" spans="1:29" ht="12.7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</row>
    <row r="888" spans="1:29" ht="12.7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</row>
    <row r="889" spans="1:29" ht="12.7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</row>
    <row r="890" spans="1:29" ht="12.7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</row>
    <row r="891" spans="1:29" ht="12.7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</row>
    <row r="892" spans="1:29" ht="12.7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</row>
    <row r="893" spans="1:29" ht="12.7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</row>
    <row r="894" spans="1:29" ht="12.7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</row>
    <row r="895" spans="1:29" ht="12.7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</row>
    <row r="896" spans="1:29" ht="12.7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</row>
    <row r="897" spans="1:29" ht="12.7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</row>
    <row r="898" spans="1:29" ht="12.7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</row>
    <row r="899" spans="1:29" ht="12.7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</row>
    <row r="900" spans="1:29" ht="12.7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</row>
    <row r="901" spans="1:29" ht="12.7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</row>
    <row r="902" spans="1:29" ht="12.7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</row>
    <row r="903" spans="1:29" ht="12.7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</row>
    <row r="904" spans="1:29" ht="12.7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</row>
    <row r="905" spans="1:29" ht="12.7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</row>
    <row r="906" spans="1:29" ht="12.7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</row>
    <row r="907" spans="1:29" ht="12.7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</row>
    <row r="908" spans="1:29" ht="12.7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</row>
    <row r="909" spans="1:29" ht="12.7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</row>
    <row r="910" spans="1:29" ht="12.7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</row>
    <row r="911" spans="1:29" ht="12.7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</row>
    <row r="912" spans="1:29" ht="12.7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</row>
    <row r="913" spans="1:29" ht="12.7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</row>
    <row r="914" spans="1:29" ht="12.7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</row>
    <row r="915" spans="1:29" ht="12.7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</row>
    <row r="916" spans="1:29" ht="12.7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</row>
    <row r="917" spans="1:29" ht="12.7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</row>
    <row r="918" spans="1:29" ht="12.7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</row>
    <row r="919" spans="1:29" ht="12.7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</row>
    <row r="920" spans="1:29" ht="12.7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</row>
    <row r="921" spans="1:29" ht="12.7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</row>
    <row r="922" spans="1:29" ht="12.7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</row>
    <row r="923" spans="1:29" ht="12.7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</row>
    <row r="924" spans="1:29" ht="12.7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</row>
    <row r="925" spans="1:29" ht="12.7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</row>
    <row r="926" spans="1:29" ht="12.7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</row>
    <row r="927" spans="1:29" ht="12.7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</row>
    <row r="928" spans="1:29" ht="12.7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</row>
    <row r="929" spans="1:29" ht="12.7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</row>
    <row r="930" spans="1:29" ht="12.7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</row>
    <row r="931" spans="1:29" ht="12.7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</row>
    <row r="932" spans="1:29" ht="12.7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</row>
    <row r="933" spans="1:29" ht="12.7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</row>
    <row r="934" spans="1:29" ht="12.7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</row>
    <row r="935" spans="1:29" ht="12.7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</row>
    <row r="936" spans="1:29" ht="12.7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</row>
    <row r="937" spans="1:29" ht="12.7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</row>
    <row r="938" spans="1:29" ht="12.7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</row>
    <row r="939" spans="1:29" ht="12.7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</row>
    <row r="940" spans="1:29" ht="12.7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</row>
    <row r="941" spans="1:29" ht="12.7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</row>
    <row r="942" spans="1:29" ht="12.7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</row>
    <row r="943" spans="1:29" ht="12.7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</row>
    <row r="944" spans="1:29" ht="12.7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</row>
    <row r="945" spans="1:29" ht="12.7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</row>
    <row r="946" spans="1:29" ht="12.7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</row>
    <row r="947" spans="1:29" ht="12.7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</row>
    <row r="948" spans="1:29" ht="12.7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</row>
    <row r="949" spans="1:29" ht="12.7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</row>
    <row r="950" spans="1:29" ht="12.7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</row>
    <row r="951" spans="1:29" ht="12.7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</row>
    <row r="952" spans="1:29" ht="12.7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</row>
    <row r="953" spans="1:29" ht="12.7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</row>
    <row r="954" spans="1:29" ht="12.7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</row>
    <row r="955" spans="1:29" ht="12.7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</row>
    <row r="956" spans="1:29" ht="12.7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</row>
    <row r="957" spans="1:29" ht="12.7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</row>
    <row r="958" spans="1:29" ht="12.7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</row>
    <row r="959" spans="1:29" ht="12.7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</row>
    <row r="960" spans="1:29" ht="12.7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</row>
    <row r="961" spans="1:29" ht="12.7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</row>
    <row r="962" spans="1:29" ht="12.7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</row>
    <row r="963" spans="1:29" ht="12.7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</row>
    <row r="964" spans="1:29" ht="12.7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</row>
    <row r="965" spans="1:29" ht="12.7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</row>
    <row r="966" spans="1:29" ht="12.7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</row>
    <row r="967" spans="1:29" ht="12.7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</row>
    <row r="968" spans="1:29" ht="12.7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</row>
    <row r="969" spans="1:29" ht="12.7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</row>
    <row r="970" spans="1:29" ht="12.7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</row>
    <row r="971" spans="1:29" ht="12.7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</row>
    <row r="972" spans="1:29" ht="12.7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</row>
    <row r="973" spans="1:29" ht="12.7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</row>
    <row r="974" spans="1:29" ht="12.7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</row>
    <row r="975" spans="1:29" ht="12.7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</row>
    <row r="976" spans="1:29" ht="12.7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</row>
    <row r="977" spans="1:29" ht="12.7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</row>
    <row r="978" spans="1:29" ht="12.7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</row>
    <row r="979" spans="1:29" ht="12.7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</row>
    <row r="980" spans="1:29" ht="12.7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</row>
    <row r="981" spans="1:29" ht="12.7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</row>
    <row r="982" spans="1:29" ht="12.7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</row>
    <row r="983" spans="1:29" ht="12.7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</row>
    <row r="984" spans="1:29" ht="12.7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</row>
    <row r="985" spans="1:29" ht="12.7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</row>
    <row r="986" spans="1:29" ht="12.7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</row>
    <row r="987" spans="1:29" ht="12.7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</row>
    <row r="988" spans="1:29" ht="12.7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</row>
    <row r="989" spans="1:29" ht="12.7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</row>
    <row r="990" spans="1:29" ht="12.7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</row>
    <row r="991" spans="1:29" ht="12.7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</row>
    <row r="992" spans="1:29" ht="12.7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</row>
    <row r="993" spans="1:29" ht="12.7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</row>
    <row r="994" spans="1:29" ht="12.7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</row>
    <row r="995" spans="1:29" ht="12.7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</row>
    <row r="996" spans="1:29" ht="12.75" customHeight="1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</row>
    <row r="997" spans="1:29" ht="12.75" customHeight="1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</row>
    <row r="998" spans="1:29" ht="12.75" customHeight="1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</row>
    <row r="999" spans="1:29" ht="12.75" customHeight="1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</row>
    <row r="1000" spans="1:29" ht="12.75" customHeight="1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</row>
  </sheetData>
  <mergeCells count="16">
    <mergeCell ref="I8:K8"/>
    <mergeCell ref="C9:G9"/>
    <mergeCell ref="J12:O12"/>
    <mergeCell ref="P12:Q12"/>
    <mergeCell ref="B21:I21"/>
    <mergeCell ref="K21:R21"/>
    <mergeCell ref="B63:I63"/>
    <mergeCell ref="K63:R63"/>
    <mergeCell ref="T63:AA63"/>
    <mergeCell ref="T21:AA21"/>
    <mergeCell ref="B35:I35"/>
    <mergeCell ref="K35:R35"/>
    <mergeCell ref="T35:AA35"/>
    <mergeCell ref="B49:I49"/>
    <mergeCell ref="K49:R49"/>
    <mergeCell ref="T49:AA49"/>
  </mergeCells>
  <conditionalFormatting sqref="C51:I55">
    <cfRule type="expression" dxfId="2" priority="3">
      <formula>IF(DAY(C51)=20,TRUE,FALSE)</formula>
    </cfRule>
  </conditionalFormatting>
  <conditionalFormatting sqref="L22:R22 K22:K28 L28:R28">
    <cfRule type="expression" dxfId="1" priority="1">
      <formula>"if(l23=14;""Sinh nhat tam"")"</formula>
    </cfRule>
  </conditionalFormatting>
  <conditionalFormatting sqref="L23:R27">
    <cfRule type="expression" dxfId="0" priority="2">
      <formula>IF(DAY(L23)=14,TRUE,FALSE)</formula>
    </cfRule>
  </conditionalFormatting>
  <pageMargins left="0.7" right="0.7" top="0.75" bottom="0.75" header="0" footer="0"/>
  <pageSetup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 3</vt:lpstr>
      <vt:lpstr>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1Password Viet Nam</cp:lastModifiedBy>
  <cp:lastPrinted>2025-02-20T04:08:45Z</cp:lastPrinted>
  <dcterms:created xsi:type="dcterms:W3CDTF">2024-07-18T08:08:15Z</dcterms:created>
  <dcterms:modified xsi:type="dcterms:W3CDTF">2026-05-05T08:10:59Z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2026-04-28T02:39:27Z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e8a2bad9-222f-472c-845a-bb6fcaa75e45</vt:lpwstr>
  </property>
  <property fmtid="{D5CDD505-2E9C-101B-9397-08002B2CF9AE}" pid="7" name="MSIP_Label_defa4170-0d19-0005-0004-bc88714345d2_ActionId">
    <vt:lpwstr>905be3b1-f6e8-4ce1-98f9-4a4fba41a707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50, 3, 0, 1</vt:lpwstr>
  </property>
</Properties>
</file>