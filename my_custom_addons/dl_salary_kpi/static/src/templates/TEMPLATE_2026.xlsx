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BA8ACBB7-B4DC-0145-8532-EB1074419478}" xr6:coauthVersionLast="47" xr6:coauthVersionMax="47" xr10:uidLastSave="{00000000-0000-0000-0000-000000000000}"/>
  <bookViews>
    <workbookView xWindow="0" yWindow="740" windowWidth="30240" windowHeight="1890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3'!$A$6:$EX$8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D8" i="83" l="1"/>
  <c r="BY8" i="83" s="1"/>
  <c r="EC8" i="83"/>
  <c r="AO8" i="83"/>
  <c r="CF8" i="83" s="1"/>
  <c r="AP8" i="83"/>
  <c r="CJ8" i="83" s="1"/>
  <c r="AR8" i="83"/>
  <c r="AT8" i="83"/>
  <c r="CB8" i="83" s="1"/>
  <c r="AU8" i="83"/>
  <c r="AV8" i="83"/>
  <c r="AW8" i="83"/>
  <c r="AX8" i="83"/>
  <c r="AY8" i="83"/>
  <c r="AZ8" i="83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Q8" i="83"/>
  <c r="BR8" i="83"/>
  <c r="BS8" i="83"/>
  <c r="BT8" i="83"/>
  <c r="BU8" i="83"/>
  <c r="BV8" i="83"/>
  <c r="BW8" i="83"/>
  <c r="BX8" i="83"/>
  <c r="CS8" i="83"/>
  <c r="CY8" i="83"/>
  <c r="DL8" i="83"/>
  <c r="DW8" i="83" s="1"/>
  <c r="DX8" i="83"/>
  <c r="EF8" i="83"/>
  <c r="CG8" i="83" l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DD8" i="83"/>
  <c r="CO8" i="83"/>
  <c r="CQ8" i="83"/>
  <c r="DE8" i="83"/>
  <c r="CE8" i="83"/>
  <c r="CN8" i="83"/>
  <c r="DA8" i="83" s="1"/>
  <c r="CC8" i="83"/>
  <c r="CP8" i="83" s="1"/>
  <c r="EQ8" i="83"/>
  <c r="ET8" i="83" s="1"/>
  <c r="DI8" i="83" l="1"/>
  <c r="EX8" i="83"/>
  <c r="EW8" i="83"/>
  <c r="DR8" i="83"/>
  <c r="EE8" i="83" s="1"/>
  <c r="DY8" i="83"/>
  <c r="EB8" i="83" s="1"/>
  <c r="EJ8" i="83"/>
  <c r="AS8" i="83"/>
  <c r="CH8" i="83" s="1"/>
  <c r="CU8" i="83" s="1"/>
  <c r="CM8" i="83"/>
  <c r="CT8" i="83"/>
  <c r="CX8" i="83"/>
  <c r="DC8" i="83"/>
  <c r="DF8" i="83"/>
  <c r="DB8" i="83"/>
  <c r="CZ8" i="83" l="1"/>
  <c r="DH8" i="83" l="1"/>
  <c r="DK8" i="83" s="1"/>
  <c r="ED8" i="83" s="1"/>
  <c r="EK8" i="83" l="1"/>
  <c r="EL8" i="83" s="1"/>
  <c r="EG8" i="83"/>
  <c r="EH8" i="83" s="1"/>
  <c r="EI8" i="83" s="1"/>
  <c r="DP8" i="83" s="1"/>
  <c r="DQ8" i="83" s="1"/>
  <c r="DS8" i="83" s="1"/>
  <c r="DT8" i="83" l="1"/>
  <c r="EO8" i="83"/>
  <c r="EP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BV4" i="83" s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DX4" i="83" l="1"/>
  <c r="DO4" i="83"/>
  <c r="DU4" i="83"/>
  <c r="DL4" i="83"/>
  <c r="DW4" i="83"/>
  <c r="DN4" i="83" l="1"/>
  <c r="DV4" i="83"/>
  <c r="EB4" i="83" l="1"/>
  <c r="DK4" i="83" l="1"/>
  <c r="DS4" i="83" l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<sst xmlns="http://schemas.openxmlformats.org/spreadsheetml/2006/main" count="241" uniqueCount="135">
  <si>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</si>
  <si>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</si>
  <si>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</si>
  <si>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</si>
  <si>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</si>
  <si>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</si>
  <si>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</si>
  <si>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</si>
  <si>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</si>
  <si>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</si>
  <si>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</si>
  <si>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</si>
  <si>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</si>
  <si>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</si>
  <si>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</si>
  <si>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</si>
  <si>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</si>
  <si>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</si>
  <si>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</si>
  <si>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</si>
  <si>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</si>
  <si>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</si>
  <si>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</si>
  <si>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</si>
  <si>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</si>
  <si>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</si>
  <si>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</si>
  <si>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</si>
  <si>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</si>
  <si>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</si>
  <si>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</si>
  <si>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</si>
  <si>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</si>
  <si>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</si>
  <si>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</si>
  <si>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</si>
  <si>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</si>
  <si>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</si>
  <si>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</si>
  <si>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</si>
  <si>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</si>
  <si>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</si>
  <si>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</si>
  <si>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</si>
  <si>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</si>
  <si>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</si>
  <si>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</si>
  <si>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</si>
  <si>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</si>
  <si>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</si>
  <si>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</si>
  <si>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</si>
  <si>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</si>
  <si>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</si>
  <si>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</si>
  <si>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</si>
  <si>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</si>
  <si>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</si>
  <si>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</si>
  <si>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</si>
  <si>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</si>
  <si>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</si>
  <si>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</si>
  <si>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</si>
  <si>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</si>
  <si>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</si>
  <si>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</si>
  <si>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</si>
  <si>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</si>
  <si>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</si>
  <si>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</si>
  <si>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</si>
  <si>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</si>
  <si>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</si>
  <si>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</si>
  <si>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</si>
  <si>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</si>
  <si>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</si>
  <si>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</si>
  <si>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</si>
  <si>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</si>
  <si>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</si>
  <si>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</si>
  <si>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</si>
  <si>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</si>
  <si>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HÀNH CHÍNH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</si>
  <si>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</si>
  <si>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</si>
  <si>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</si>
  <si>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</si>
  <si>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</si>
  <si>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</si>
  <si>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</si>
  <si>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</si>
  <si>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</si>
  <si>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</si>
  <si>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</si>
  <si>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</si>
  <si>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</si>
  <si>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</si>
  <si>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</si>
  <si>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</si>
  <si>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</si>
  <si>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</si>
  <si>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</si>
  <si>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</si>
  <si>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</si>
  <si>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</si>
  <si>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</si>
  <si>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</si>
  <si>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</si>
  <si>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</si>
  <si>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</si>
  <si>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</si>
  <si>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</si>
  <si>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</si>
  <si>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</si>
  <si>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</si>
  <si>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CHÊNH LỆCH</t>
  </si>
  <si>
    <t>Lương KPI</t>
  </si>
  <si>
    <t>LƯƠNG CHUYỂN KHOẢN</t>
  </si>
  <si>
    <t>Ghi chú Giảm trừ gia cảnh</t>
  </si>
  <si>
    <t>SỐ CCCD</t>
  </si>
  <si>
    <t>Lương chi Tiền mặt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</si>
  <si>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</si>
  <si>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</si>
  <si>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</si>
  <si>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</si>
  <si>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</si>
  <si>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</si>
  <si>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</si>
  <si>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</si>
  <si>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TỔNG LĨNH LƯƠNG THUẾ+ 8/3</t>
  </si>
  <si>
    <t>Lương Dự kiến</t>
  </si>
  <si>
    <t>Thưởng doanh thu/Thưởng năng suất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</si>
</sst>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38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1" fontId="69" fillId="0" borderId="1" xfId="1" applyNumberFormat="1" applyFont="1" applyFill="1" applyBorder="1" applyAlignment="1">
      <alignment horizontal="center"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59" fillId="2" borderId="0" xfId="2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9" fontId="69" fillId="0" borderId="0" xfId="0" applyNumberFormat="1" applyFont="1" applyAlignment="1">
      <alignment vertical="center"/>
    </xf>
    <xf numFmtId="166" fontId="67" fillId="2" borderId="0" xfId="1" applyFont="1" applyFill="1" applyBorder="1" applyAlignment="1">
      <alignment horizontal="center"/>
    </xf>
    <xf numFmtId="169" fontId="69" fillId="4" borderId="1" xfId="2" applyNumberFormat="1" applyFont="1" applyFill="1" applyBorder="1" applyAlignment="1">
      <alignment horizontal="center" vertical="center" wrapText="1"/>
    </xf>
    <xf numFmtId="169" fontId="69" fillId="25" borderId="1" xfId="2" applyNumberFormat="1" applyFont="1" applyFill="1" applyBorder="1" applyAlignment="1">
      <alignment horizontal="center" vertical="center" wrapText="1"/>
    </xf>
    <xf numFmtId="171" fontId="69" fillId="0" borderId="0" xfId="0" applyNumberFormat="1" applyFont="1" applyAlignment="1">
      <alignment vertic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12" fillId="4" borderId="0" xfId="0" applyFont="1" applyFill="1" applyAlignment="1">
      <alignment horizontal="center"/>
    </xf>
    <xf numFmtId="0" fontId="12" fillId="25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171" fontId="72" fillId="0" borderId="0" xfId="1" applyNumberFormat="1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171" fontId="61" fillId="0" borderId="0" xfId="1" applyNumberFormat="1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0" fontId="66" fillId="25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171" fontId="63" fillId="0" borderId="1" xfId="1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171" fontId="12" fillId="0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0" fontId="72" fillId="3" borderId="0" xfId="0" applyFont="1" applyFill="1" applyAlignment="1">
      <alignment horizontal="center"/>
    </xf>
    <xf numFmtId="0" fontId="61" fillId="3" borderId="0" xfId="0" applyFont="1" applyFill="1" applyAlignment="1">
      <alignment horizontal="center"/>
    </xf>
    <xf numFmtId="0" fontId="63" fillId="3" borderId="1" xfId="0" applyFont="1" applyFill="1" applyBorder="1" applyAlignment="1">
      <alignment horizontal="center" vertical="center" wrapText="1"/>
    </xf>
    <xf numFmtId="171" fontId="69" fillId="3" borderId="1" xfId="0" applyNumberFormat="1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69" fontId="77" fillId="13" borderId="1" xfId="2" applyNumberFormat="1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0" fontId="55" fillId="25" borderId="2" xfId="0" applyFont="1" applyFill="1" applyBorder="1" applyAlignment="1">
      <alignment horizontal="center" vertical="center" wrapText="1"/>
    </xf>
    <xf numFmtId="0" fontId="55" fillId="25" borderId="3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5" fillId="5" borderId="3" xfId="0" applyFont="1" applyFill="1" applyBorder="1" applyAlignment="1">
      <alignment horizontal="center" vertical="center" wrapText="1"/>
    </xf>
    <xf numFmtId="0" fontId="55" fillId="4" borderId="2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6" fillId="25" borderId="2" xfId="0" applyFont="1" applyFill="1" applyBorder="1" applyAlignment="1">
      <alignment horizontal="center" vertical="center" wrapText="1"/>
    </xf>
    <xf numFmtId="0" fontId="66" fillId="25" borderId="3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68" fillId="2" borderId="34" xfId="3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171" fontId="55" fillId="0" borderId="1" xfId="1" applyNumberFormat="1" applyFont="1" applyBorder="1" applyAlignment="1">
      <alignment horizontal="center" vertical="center" wrapText="1"/>
    </xf>
    <xf numFmtId="0" fontId="59" fillId="2" borderId="34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4" fontId="71" fillId="0" borderId="0" xfId="2" applyNumberFormat="1" applyFont="1" applyFill="1" applyAlignment="1">
      <alignment horizont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  <xf numFmtId="0" fontId="32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35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X165"/>
  <sheetViews>
    <sheetView tabSelected="1" zoomScale="60" zoomScaleNormal="60" zoomScaleSheetLayoutView="55" workbookViewId="0">
      <pane xSplit="9" ySplit="7" topLeftCell="DO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DP8" sqref="DP8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customWidth="1" outlineLevel="1"/>
    <col min="5" max="5" width="29.19921875" style="100" customWidth="1" outlineLevel="1"/>
    <col min="6" max="6" width="15.3984375" style="100" customWidth="1" outlineLevel="1"/>
    <col min="7" max="7" width="31.796875" style="222" customWidth="1" outlineLevel="1"/>
    <col min="8" max="8" width="13.796875" style="95" customWidth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34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31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1" customWidth="1"/>
    <col min="111" max="111" width="27.796875" style="274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5" width="31.59765625" style="95" customWidth="1" outlineLevel="2"/>
    <col min="146" max="146" width="31.59765625" style="239" customWidth="1" outlineLevel="2"/>
    <col min="147" max="147" width="31.59765625" style="240" customWidth="1" outlineLevel="2"/>
    <col min="148" max="148" width="36.3984375" style="95" customWidth="1"/>
    <col min="149" max="149" width="35.796875" style="95" customWidth="1"/>
    <col min="150" max="150" width="35.796875" style="268" customWidth="1"/>
    <col min="151" max="151" width="27.19921875" style="254" customWidth="1"/>
    <col min="152" max="152" width="41.796875" style="256" hidden="1" customWidth="1"/>
    <col min="153" max="153" width="34.796875" style="94" customWidth="1"/>
    <col min="154" max="154" width="28.59765625" style="94" customWidth="1"/>
    <col min="155" max="16384" width="9.19921875" style="94"/>
  </cols>
  <sheetData>
    <row r="1" spans="1:154" s="127" customFormat="1" ht="37.5" customHeight="1">
      <c r="A1" s="151"/>
      <c r="B1" s="151"/>
      <c r="C1" s="118"/>
      <c r="D1" s="118"/>
      <c r="E1" s="118"/>
      <c r="F1" s="118"/>
      <c r="G1" s="236"/>
      <c r="H1" s="118"/>
      <c r="I1" s="118"/>
      <c r="J1" s="119"/>
      <c r="K1" s="119"/>
      <c r="L1" s="119"/>
      <c r="M1" s="119"/>
      <c r="N1" s="119"/>
      <c r="O1" s="119"/>
      <c r="P1" s="119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325"/>
      <c r="AP1" s="325"/>
      <c r="AQ1" s="325"/>
      <c r="AR1" s="325"/>
      <c r="AS1" s="325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8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10"/>
      <c r="DF1" s="210"/>
      <c r="DG1" s="269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7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5"/>
      <c r="EO1" s="95"/>
      <c r="EP1" s="95"/>
      <c r="EQ1" s="95"/>
      <c r="ER1" s="257"/>
      <c r="ES1" s="241"/>
      <c r="ET1" s="264"/>
      <c r="EU1" s="242"/>
      <c r="EV1" s="243"/>
    </row>
    <row r="2" spans="1:154" s="127" customFormat="1" ht="37.5" customHeight="1">
      <c r="A2" s="148"/>
      <c r="B2" s="148"/>
      <c r="C2" s="128"/>
      <c r="D2" s="128"/>
      <c r="E2" s="219"/>
      <c r="F2" s="128"/>
      <c r="G2" s="237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32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9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70"/>
      <c r="DH2" s="133"/>
      <c r="DI2" s="128"/>
      <c r="DJ2" s="128"/>
      <c r="DK2" s="148"/>
      <c r="DL2" s="148"/>
      <c r="DM2" s="148"/>
      <c r="DN2" s="148"/>
      <c r="DO2" s="148"/>
      <c r="DP2" s="209"/>
      <c r="DQ2" s="209"/>
      <c r="DR2" s="209"/>
      <c r="DS2" s="208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44"/>
      <c r="EM2" s="95"/>
      <c r="EN2" s="95"/>
      <c r="EO2" s="95"/>
      <c r="EP2" s="95"/>
      <c r="EQ2" s="95"/>
      <c r="ER2" s="257"/>
      <c r="ES2" s="241"/>
      <c r="ET2" s="264"/>
      <c r="EU2" s="242"/>
      <c r="EV2" s="243"/>
    </row>
    <row r="3" spans="1:154" s="127" customFormat="1" ht="37.5" customHeight="1">
      <c r="A3" s="148" t="s">
        <v>126</v>
      </c>
      <c r="B3" s="148"/>
      <c r="C3" s="128"/>
      <c r="D3" s="128"/>
      <c r="E3" s="219"/>
      <c r="F3" s="128"/>
      <c r="G3" s="237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32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9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71"/>
      <c r="DH3" s="140"/>
      <c r="DI3" s="128"/>
      <c r="DJ3" s="128"/>
      <c r="DK3" s="148"/>
      <c r="DL3" s="148"/>
      <c r="DM3" s="148"/>
      <c r="DN3" s="148"/>
      <c r="DO3" s="148"/>
      <c r="DP3" s="209"/>
      <c r="DQ3" s="209"/>
      <c r="DR3" s="209"/>
      <c r="DS3" s="208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5"/>
      <c r="EO3" s="95"/>
      <c r="EP3" s="95"/>
      <c r="EQ3" s="95"/>
      <c r="ER3" s="257"/>
      <c r="ES3" s="241"/>
      <c r="ET3" s="264"/>
      <c r="EU3" s="242"/>
      <c r="EV3" s="243"/>
    </row>
    <row r="4" spans="1:154" s="105" customFormat="1" ht="63" customHeight="1">
      <c r="A4" s="207"/>
      <c r="B4" s="207"/>
      <c r="C4" s="107"/>
      <c r="D4" s="107"/>
      <c r="E4" s="220"/>
      <c r="F4" s="235" t="s">
        <v>76</v>
      </c>
      <c r="G4" s="238"/>
      <c r="H4" s="108"/>
      <c r="I4" s="275"/>
      <c r="J4" s="316" t="s">
        <v>68</v>
      </c>
      <c r="K4" s="316"/>
      <c r="L4" s="319">
        <v>3</v>
      </c>
      <c r="M4" s="319"/>
      <c r="N4" s="316" t="s">
        <v>69</v>
      </c>
      <c r="O4" s="316"/>
      <c r="P4" s="316">
        <v>2026</v>
      </c>
      <c r="Q4" s="316"/>
      <c r="R4" s="109"/>
      <c r="S4" s="316"/>
      <c r="T4" s="316"/>
      <c r="U4" s="316"/>
      <c r="V4" s="109"/>
      <c r="W4" s="316"/>
      <c r="X4" s="316"/>
      <c r="Y4" s="316"/>
      <c r="Z4" s="316"/>
      <c r="AA4" s="316"/>
      <c r="AB4" s="316"/>
      <c r="AC4" s="316"/>
      <c r="AD4" s="316"/>
      <c r="AE4" s="109"/>
      <c r="AF4" s="110"/>
      <c r="AG4" s="316"/>
      <c r="AH4" s="316"/>
      <c r="AI4" s="316"/>
      <c r="AJ4" s="109"/>
      <c r="AK4" s="109"/>
      <c r="AL4" s="109"/>
      <c r="AM4" s="111"/>
      <c r="AN4" s="112"/>
      <c r="AO4" s="113"/>
      <c r="AP4" s="113"/>
      <c r="AQ4" s="113"/>
      <c r="AR4" s="224"/>
      <c r="AS4" s="233"/>
      <c r="AT4" s="316" t="s">
        <v>68</v>
      </c>
      <c r="AU4" s="316"/>
      <c r="AV4" s="319">
        <f>L4</f>
        <v>3</v>
      </c>
      <c r="AW4" s="319"/>
      <c r="AX4" s="316" t="s">
        <v>69</v>
      </c>
      <c r="AY4" s="316"/>
      <c r="AZ4" s="316">
        <v>2025</v>
      </c>
      <c r="BA4" s="316"/>
      <c r="BB4" s="109"/>
      <c r="BC4" s="316"/>
      <c r="BD4" s="316"/>
      <c r="BE4" s="316"/>
      <c r="BF4" s="109"/>
      <c r="BG4" s="316"/>
      <c r="BH4" s="316"/>
      <c r="BI4" s="316"/>
      <c r="BJ4" s="316"/>
      <c r="BK4" s="316"/>
      <c r="BL4" s="316"/>
      <c r="BM4" s="316"/>
      <c r="BN4" s="316"/>
      <c r="BO4" s="109"/>
      <c r="BP4" s="110"/>
      <c r="BQ4" s="316"/>
      <c r="BR4" s="316"/>
      <c r="BS4" s="316"/>
      <c r="BT4" s="114"/>
      <c r="BU4" s="114" t="str">
        <f>IF(WEEKDAY(BU5,1)=1,"CN","")</f>
        <v/>
      </c>
      <c r="BV4" s="114" t="str">
        <f>IF(WEEKDAY(BV5,1)=1,"CN","")</f>
        <v>CN</v>
      </c>
      <c r="BW4" s="114"/>
      <c r="BX4" s="114" t="str">
        <f>IF(WEEKDAY(BX5,1)=1,"CN","")</f>
        <v/>
      </c>
      <c r="BY4" s="214"/>
      <c r="BZ4" s="214"/>
      <c r="CA4" s="214"/>
      <c r="CB4" s="214"/>
      <c r="CC4" s="214"/>
      <c r="CD4" s="214"/>
      <c r="CE4" s="214"/>
      <c r="CF4" s="215"/>
      <c r="CG4" s="141"/>
      <c r="CH4" s="215"/>
      <c r="CI4" s="215"/>
      <c r="CJ4" s="141"/>
      <c r="CK4" s="141"/>
      <c r="CL4" s="141"/>
      <c r="CM4" s="141"/>
      <c r="CN4" s="141"/>
      <c r="CO4" s="141"/>
      <c r="CP4" s="141"/>
      <c r="CQ4" s="115"/>
      <c r="CR4" s="115"/>
      <c r="CS4" s="230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72"/>
      <c r="DH4" s="141"/>
      <c r="DI4" s="115"/>
      <c r="DJ4" s="115"/>
      <c r="DK4" s="149" t="e">
        <f>#REF!</f>
        <v>#REF!</v>
      </c>
      <c r="DL4" s="149" t="e">
        <f>#REF!</f>
        <v>#REF!</v>
      </c>
      <c r="DM4" s="149"/>
      <c r="DN4" s="149" t="e">
        <f>#REF!</f>
        <v>#REF!</v>
      </c>
      <c r="DO4" s="149" t="e">
        <f>#REF!</f>
        <v>#REF!</v>
      </c>
      <c r="DP4" s="216"/>
      <c r="DQ4" s="216"/>
      <c r="DR4" s="216"/>
      <c r="DS4" s="218" t="e">
        <f>#REF!</f>
        <v>#REF!</v>
      </c>
      <c r="DT4" s="115"/>
      <c r="DU4" s="115" t="e">
        <f>#REF!</f>
        <v>#REF!</v>
      </c>
      <c r="DV4" s="115" t="e">
        <f>#REF!</f>
        <v>#REF!</v>
      </c>
      <c r="DW4" s="115" t="e">
        <f>#REF!</f>
        <v>#REF!</v>
      </c>
      <c r="DX4" s="115" t="e">
        <f>#REF!</f>
        <v>#REF!</v>
      </c>
      <c r="DY4" s="116"/>
      <c r="DZ4" s="117"/>
      <c r="EA4" s="103"/>
      <c r="EB4" s="115" t="e">
        <f>#REF!</f>
        <v>#REF!</v>
      </c>
      <c r="EE4" s="104"/>
      <c r="EJ4" s="93"/>
      <c r="EK4" s="98"/>
      <c r="EL4" s="98"/>
      <c r="EM4" s="98"/>
      <c r="EN4" s="95"/>
      <c r="EO4" s="95"/>
      <c r="EP4" s="95"/>
      <c r="EQ4" s="95"/>
      <c r="ER4" s="258"/>
      <c r="ES4" s="245"/>
      <c r="ET4" s="265"/>
      <c r="EU4" s="246"/>
      <c r="EV4" s="247"/>
    </row>
    <row r="5" spans="1:154" s="184" customFormat="1" ht="92.25" customHeight="1">
      <c r="A5" s="317" t="s">
        <v>0</v>
      </c>
      <c r="B5" s="277" t="s">
        <v>2</v>
      </c>
      <c r="C5" s="317" t="s">
        <v>1</v>
      </c>
      <c r="D5" s="322" t="s">
        <v>77</v>
      </c>
      <c r="E5" s="323" t="s">
        <v>122</v>
      </c>
      <c r="F5" s="317" t="s">
        <v>75</v>
      </c>
      <c r="G5" s="317" t="s">
        <v>70</v>
      </c>
      <c r="H5" s="317" t="s">
        <v>3</v>
      </c>
      <c r="I5" s="318" t="s">
        <v>4</v>
      </c>
      <c r="J5" s="175">
        <f>+DATE(P4,L4,1)</f>
        <v>46082</v>
      </c>
      <c r="K5" s="175">
        <f t="shared" ref="K5:AN5" si="0">J5+1</f>
        <v>46083</v>
      </c>
      <c r="L5" s="175">
        <f t="shared" si="0"/>
        <v>46084</v>
      </c>
      <c r="M5" s="176">
        <f t="shared" si="0"/>
        <v>46085</v>
      </c>
      <c r="N5" s="176">
        <f t="shared" si="0"/>
        <v>46086</v>
      </c>
      <c r="O5" s="176">
        <f t="shared" si="0"/>
        <v>46087</v>
      </c>
      <c r="P5" s="176">
        <f t="shared" si="0"/>
        <v>46088</v>
      </c>
      <c r="Q5" s="176">
        <f t="shared" si="0"/>
        <v>46089</v>
      </c>
      <c r="R5" s="176">
        <f t="shared" si="0"/>
        <v>46090</v>
      </c>
      <c r="S5" s="176">
        <f t="shared" si="0"/>
        <v>46091</v>
      </c>
      <c r="T5" s="176">
        <f t="shared" si="0"/>
        <v>46092</v>
      </c>
      <c r="U5" s="176">
        <f t="shared" si="0"/>
        <v>46093</v>
      </c>
      <c r="V5" s="176">
        <f t="shared" si="0"/>
        <v>46094</v>
      </c>
      <c r="W5" s="176">
        <f t="shared" si="0"/>
        <v>46095</v>
      </c>
      <c r="X5" s="176">
        <f t="shared" si="0"/>
        <v>46096</v>
      </c>
      <c r="Y5" s="176">
        <f t="shared" si="0"/>
        <v>46097</v>
      </c>
      <c r="Z5" s="176">
        <f t="shared" si="0"/>
        <v>46098</v>
      </c>
      <c r="AA5" s="176">
        <f t="shared" si="0"/>
        <v>46099</v>
      </c>
      <c r="AB5" s="176">
        <f t="shared" si="0"/>
        <v>46100</v>
      </c>
      <c r="AC5" s="176">
        <f t="shared" si="0"/>
        <v>46101</v>
      </c>
      <c r="AD5" s="176">
        <f t="shared" si="0"/>
        <v>46102</v>
      </c>
      <c r="AE5" s="176">
        <f t="shared" si="0"/>
        <v>46103</v>
      </c>
      <c r="AF5" s="177">
        <f t="shared" si="0"/>
        <v>46104</v>
      </c>
      <c r="AG5" s="177">
        <f t="shared" si="0"/>
        <v>46105</v>
      </c>
      <c r="AH5" s="177">
        <f t="shared" si="0"/>
        <v>46106</v>
      </c>
      <c r="AI5" s="177">
        <f t="shared" si="0"/>
        <v>46107</v>
      </c>
      <c r="AJ5" s="177">
        <f t="shared" si="0"/>
        <v>46108</v>
      </c>
      <c r="AK5" s="177">
        <f t="shared" si="0"/>
        <v>46109</v>
      </c>
      <c r="AL5" s="177">
        <f t="shared" si="0"/>
        <v>46110</v>
      </c>
      <c r="AM5" s="177">
        <f t="shared" si="0"/>
        <v>46111</v>
      </c>
      <c r="AN5" s="177">
        <f t="shared" si="0"/>
        <v>46112</v>
      </c>
      <c r="AO5" s="320" t="s">
        <v>82</v>
      </c>
      <c r="AP5" s="320" t="s">
        <v>83</v>
      </c>
      <c r="AQ5" s="320" t="s">
        <v>84</v>
      </c>
      <c r="AR5" s="321" t="s">
        <v>5</v>
      </c>
      <c r="AS5" s="321" t="s">
        <v>6</v>
      </c>
      <c r="AT5" s="179">
        <f>+J5</f>
        <v>46082</v>
      </c>
      <c r="AU5" s="179">
        <f t="shared" ref="AU5:BX5" si="1">+AT5+1</f>
        <v>46083</v>
      </c>
      <c r="AV5" s="179">
        <f t="shared" si="1"/>
        <v>46084</v>
      </c>
      <c r="AW5" s="179">
        <f t="shared" si="1"/>
        <v>46085</v>
      </c>
      <c r="AX5" s="179">
        <f t="shared" si="1"/>
        <v>46086</v>
      </c>
      <c r="AY5" s="179">
        <f t="shared" si="1"/>
        <v>46087</v>
      </c>
      <c r="AZ5" s="179">
        <f t="shared" si="1"/>
        <v>46088</v>
      </c>
      <c r="BA5" s="179">
        <f t="shared" si="1"/>
        <v>46089</v>
      </c>
      <c r="BB5" s="179">
        <f t="shared" si="1"/>
        <v>46090</v>
      </c>
      <c r="BC5" s="180">
        <f t="shared" si="1"/>
        <v>46091</v>
      </c>
      <c r="BD5" s="179">
        <f t="shared" si="1"/>
        <v>46092</v>
      </c>
      <c r="BE5" s="179">
        <f t="shared" si="1"/>
        <v>46093</v>
      </c>
      <c r="BF5" s="179">
        <f t="shared" si="1"/>
        <v>46094</v>
      </c>
      <c r="BG5" s="179">
        <f t="shared" si="1"/>
        <v>46095</v>
      </c>
      <c r="BH5" s="179">
        <f t="shared" si="1"/>
        <v>46096</v>
      </c>
      <c r="BI5" s="179">
        <f t="shared" si="1"/>
        <v>46097</v>
      </c>
      <c r="BJ5" s="179">
        <f t="shared" si="1"/>
        <v>46098</v>
      </c>
      <c r="BK5" s="179">
        <f t="shared" si="1"/>
        <v>46099</v>
      </c>
      <c r="BL5" s="179">
        <f t="shared" si="1"/>
        <v>46100</v>
      </c>
      <c r="BM5" s="179">
        <f t="shared" si="1"/>
        <v>46101</v>
      </c>
      <c r="BN5" s="179">
        <f t="shared" si="1"/>
        <v>46102</v>
      </c>
      <c r="BO5" s="179">
        <f t="shared" si="1"/>
        <v>46103</v>
      </c>
      <c r="BP5" s="179">
        <f t="shared" si="1"/>
        <v>46104</v>
      </c>
      <c r="BQ5" s="179">
        <f t="shared" si="1"/>
        <v>46105</v>
      </c>
      <c r="BR5" s="179">
        <f t="shared" si="1"/>
        <v>46106</v>
      </c>
      <c r="BS5" s="179">
        <f t="shared" si="1"/>
        <v>46107</v>
      </c>
      <c r="BT5" s="179">
        <f t="shared" si="1"/>
        <v>46108</v>
      </c>
      <c r="BU5" s="179">
        <f t="shared" si="1"/>
        <v>46109</v>
      </c>
      <c r="BV5" s="179">
        <f t="shared" si="1"/>
        <v>46110</v>
      </c>
      <c r="BW5" s="179">
        <f t="shared" si="1"/>
        <v>46111</v>
      </c>
      <c r="BX5" s="179">
        <f t="shared" si="1"/>
        <v>46112</v>
      </c>
      <c r="BY5" s="294" t="s">
        <v>86</v>
      </c>
      <c r="BZ5" s="294" t="s">
        <v>87</v>
      </c>
      <c r="CA5" s="294" t="s">
        <v>88</v>
      </c>
      <c r="CB5" s="294" t="s">
        <v>89</v>
      </c>
      <c r="CC5" s="294" t="s">
        <v>90</v>
      </c>
      <c r="CD5" s="294" t="s">
        <v>91</v>
      </c>
      <c r="CE5" s="294" t="s">
        <v>92</v>
      </c>
      <c r="CF5" s="296" t="s">
        <v>19</v>
      </c>
      <c r="CG5" s="296"/>
      <c r="CH5" s="296"/>
      <c r="CI5" s="296"/>
      <c r="CJ5" s="296"/>
      <c r="CK5" s="296"/>
      <c r="CL5" s="296"/>
      <c r="CM5" s="296"/>
      <c r="CN5" s="296"/>
      <c r="CO5" s="296"/>
      <c r="CP5" s="296"/>
      <c r="CQ5" s="280" t="s">
        <v>59</v>
      </c>
      <c r="CR5" s="281"/>
      <c r="CS5" s="282"/>
      <c r="CT5" s="287" t="s">
        <v>60</v>
      </c>
      <c r="CU5" s="261" t="s">
        <v>103</v>
      </c>
      <c r="CV5" s="262"/>
      <c r="CW5" s="262"/>
      <c r="CX5" s="262"/>
      <c r="CY5" s="262"/>
      <c r="CZ5" s="262"/>
      <c r="DA5" s="262"/>
      <c r="DB5" s="262"/>
      <c r="DC5" s="262"/>
      <c r="DD5" s="263" t="s">
        <v>129</v>
      </c>
      <c r="DE5" s="263" t="s">
        <v>129</v>
      </c>
      <c r="DF5" s="259" t="s">
        <v>130</v>
      </c>
      <c r="DG5" s="283" t="s">
        <v>119</v>
      </c>
      <c r="DH5" s="288" t="s">
        <v>113</v>
      </c>
      <c r="DI5" s="285" t="s">
        <v>81</v>
      </c>
      <c r="DJ5" s="286"/>
      <c r="DK5" s="289" t="s">
        <v>61</v>
      </c>
      <c r="DL5" s="297" t="s">
        <v>8</v>
      </c>
      <c r="DM5" s="290" t="s">
        <v>71</v>
      </c>
      <c r="DN5" s="290"/>
      <c r="DO5" s="290"/>
      <c r="DP5" s="290"/>
      <c r="DQ5" s="290"/>
      <c r="DR5" s="290"/>
      <c r="DS5" s="291" t="s">
        <v>12</v>
      </c>
      <c r="DT5" s="290" t="s">
        <v>128</v>
      </c>
      <c r="DU5" s="277" t="s">
        <v>13</v>
      </c>
      <c r="DV5" s="278" t="s">
        <v>64</v>
      </c>
      <c r="DW5" s="279"/>
      <c r="DX5" s="278"/>
      <c r="DY5" s="312" t="s">
        <v>63</v>
      </c>
      <c r="DZ5" s="312"/>
      <c r="EA5" s="312"/>
      <c r="EB5" s="312"/>
      <c r="EC5" s="313" t="s">
        <v>131</v>
      </c>
      <c r="ED5" s="290" t="s">
        <v>7</v>
      </c>
      <c r="EE5" s="292" t="s">
        <v>65</v>
      </c>
      <c r="EF5" s="292"/>
      <c r="EG5" s="292" t="s">
        <v>66</v>
      </c>
      <c r="EH5" s="292" t="s">
        <v>67</v>
      </c>
      <c r="EI5" s="292" t="s">
        <v>72</v>
      </c>
      <c r="EJ5" s="293" t="s">
        <v>78</v>
      </c>
      <c r="EK5" s="293" t="s">
        <v>80</v>
      </c>
      <c r="EL5" s="293" t="s">
        <v>79</v>
      </c>
      <c r="EM5" s="302" t="s">
        <v>127</v>
      </c>
      <c r="EN5" s="304"/>
      <c r="EO5" s="306" t="s">
        <v>132</v>
      </c>
      <c r="EP5" s="308" t="s">
        <v>118</v>
      </c>
      <c r="EQ5" s="310" t="s">
        <v>133</v>
      </c>
      <c r="ER5" s="276" t="s">
        <v>125</v>
      </c>
      <c r="ES5" s="276" t="s">
        <v>124</v>
      </c>
      <c r="ET5" s="314" t="s">
        <v>120</v>
      </c>
      <c r="EU5" s="298" t="s">
        <v>123</v>
      </c>
      <c r="EV5" s="300" t="s">
        <v>121</v>
      </c>
    </row>
    <row r="6" spans="1:154" s="206" customFormat="1" ht="148.5" customHeight="1">
      <c r="A6" s="317"/>
      <c r="B6" s="277"/>
      <c r="C6" s="317"/>
      <c r="D6" s="322"/>
      <c r="E6" s="324"/>
      <c r="F6" s="317"/>
      <c r="G6" s="317"/>
      <c r="H6" s="317"/>
      <c r="I6" s="318"/>
      <c r="J6" s="185" t="str">
        <f t="shared" ref="J6:AN6" si="2">IF(WEEKDAY(J5)=1,"CN",WEEKDAY(J5))</f>
        <v>CN</v>
      </c>
      <c r="K6" s="185">
        <f t="shared" si="2"/>
        <v>2</v>
      </c>
      <c r="L6" s="185">
        <f t="shared" si="2"/>
        <v>3</v>
      </c>
      <c r="M6" s="186">
        <f t="shared" si="2"/>
        <v>4</v>
      </c>
      <c r="N6" s="186">
        <f t="shared" si="2"/>
        <v>5</v>
      </c>
      <c r="O6" s="186">
        <f t="shared" si="2"/>
        <v>6</v>
      </c>
      <c r="P6" s="186">
        <f t="shared" si="2"/>
        <v>7</v>
      </c>
      <c r="Q6" s="186" t="str">
        <f t="shared" si="2"/>
        <v>CN</v>
      </c>
      <c r="R6" s="186">
        <f t="shared" si="2"/>
        <v>2</v>
      </c>
      <c r="S6" s="186">
        <f t="shared" si="2"/>
        <v>3</v>
      </c>
      <c r="T6" s="186">
        <f t="shared" si="2"/>
        <v>4</v>
      </c>
      <c r="U6" s="186">
        <f t="shared" si="2"/>
        <v>5</v>
      </c>
      <c r="V6" s="186">
        <f t="shared" si="2"/>
        <v>6</v>
      </c>
      <c r="W6" s="186">
        <f t="shared" si="2"/>
        <v>7</v>
      </c>
      <c r="X6" s="186" t="str">
        <f t="shared" si="2"/>
        <v>CN</v>
      </c>
      <c r="Y6" s="186">
        <f t="shared" si="2"/>
        <v>2</v>
      </c>
      <c r="Z6" s="186">
        <f t="shared" si="2"/>
        <v>3</v>
      </c>
      <c r="AA6" s="186">
        <f t="shared" si="2"/>
        <v>4</v>
      </c>
      <c r="AB6" s="186">
        <f t="shared" si="2"/>
        <v>5</v>
      </c>
      <c r="AC6" s="186">
        <f t="shared" si="2"/>
        <v>6</v>
      </c>
      <c r="AD6" s="186">
        <f t="shared" si="2"/>
        <v>7</v>
      </c>
      <c r="AE6" s="186" t="str">
        <f t="shared" si="2"/>
        <v>CN</v>
      </c>
      <c r="AF6" s="186">
        <f t="shared" si="2"/>
        <v>2</v>
      </c>
      <c r="AG6" s="186">
        <f t="shared" si="2"/>
        <v>3</v>
      </c>
      <c r="AH6" s="186">
        <f t="shared" si="2"/>
        <v>4</v>
      </c>
      <c r="AI6" s="186">
        <f t="shared" si="2"/>
        <v>5</v>
      </c>
      <c r="AJ6" s="186">
        <f t="shared" si="2"/>
        <v>6</v>
      </c>
      <c r="AK6" s="186">
        <f t="shared" si="2"/>
        <v>7</v>
      </c>
      <c r="AL6" s="186" t="str">
        <f t="shared" si="2"/>
        <v>CN</v>
      </c>
      <c r="AM6" s="186">
        <f t="shared" si="2"/>
        <v>2</v>
      </c>
      <c r="AN6" s="186">
        <f t="shared" si="2"/>
        <v>3</v>
      </c>
      <c r="AO6" s="320"/>
      <c r="AP6" s="320"/>
      <c r="AQ6" s="320"/>
      <c r="AR6" s="321"/>
      <c r="AS6" s="321"/>
      <c r="AT6" s="187" t="str">
        <f>+J6</f>
        <v>CN</v>
      </c>
      <c r="AU6" s="187">
        <f t="shared" ref="AU6:BX6" si="3">+K6</f>
        <v>2</v>
      </c>
      <c r="AV6" s="187">
        <f t="shared" si="3"/>
        <v>3</v>
      </c>
      <c r="AW6" s="187">
        <f t="shared" si="3"/>
        <v>4</v>
      </c>
      <c r="AX6" s="187">
        <f t="shared" si="3"/>
        <v>5</v>
      </c>
      <c r="AY6" s="187">
        <f t="shared" si="3"/>
        <v>6</v>
      </c>
      <c r="AZ6" s="187">
        <f t="shared" si="3"/>
        <v>7</v>
      </c>
      <c r="BA6" s="187" t="str">
        <f t="shared" si="3"/>
        <v>CN</v>
      </c>
      <c r="BB6" s="187">
        <f t="shared" si="3"/>
        <v>2</v>
      </c>
      <c r="BC6" s="188">
        <f t="shared" si="3"/>
        <v>3</v>
      </c>
      <c r="BD6" s="187">
        <f t="shared" si="3"/>
        <v>4</v>
      </c>
      <c r="BE6" s="187">
        <f t="shared" si="3"/>
        <v>5</v>
      </c>
      <c r="BF6" s="187">
        <f t="shared" si="3"/>
        <v>6</v>
      </c>
      <c r="BG6" s="187">
        <f t="shared" si="3"/>
        <v>7</v>
      </c>
      <c r="BH6" s="187" t="str">
        <f t="shared" si="3"/>
        <v>CN</v>
      </c>
      <c r="BI6" s="187">
        <f t="shared" si="3"/>
        <v>2</v>
      </c>
      <c r="BJ6" s="187">
        <f t="shared" si="3"/>
        <v>3</v>
      </c>
      <c r="BK6" s="187">
        <f t="shared" si="3"/>
        <v>4</v>
      </c>
      <c r="BL6" s="187">
        <f t="shared" si="3"/>
        <v>5</v>
      </c>
      <c r="BM6" s="187">
        <f t="shared" si="3"/>
        <v>6</v>
      </c>
      <c r="BN6" s="187">
        <f t="shared" si="3"/>
        <v>7</v>
      </c>
      <c r="BO6" s="187" t="str">
        <f t="shared" si="3"/>
        <v>CN</v>
      </c>
      <c r="BP6" s="187">
        <f t="shared" si="3"/>
        <v>2</v>
      </c>
      <c r="BQ6" s="187">
        <f t="shared" si="3"/>
        <v>3</v>
      </c>
      <c r="BR6" s="187">
        <f t="shared" si="3"/>
        <v>4</v>
      </c>
      <c r="BS6" s="187">
        <f t="shared" si="3"/>
        <v>5</v>
      </c>
      <c r="BT6" s="187">
        <f t="shared" si="3"/>
        <v>6</v>
      </c>
      <c r="BU6" s="187">
        <f t="shared" si="3"/>
        <v>7</v>
      </c>
      <c r="BV6" s="187" t="str">
        <f t="shared" si="3"/>
        <v>CN</v>
      </c>
      <c r="BW6" s="187">
        <f t="shared" si="3"/>
        <v>2</v>
      </c>
      <c r="BX6" s="187">
        <f t="shared" si="3"/>
        <v>3</v>
      </c>
      <c r="BY6" s="295"/>
      <c r="BZ6" s="295"/>
      <c r="CA6" s="295"/>
      <c r="CB6" s="295"/>
      <c r="CC6" s="295"/>
      <c r="CD6" s="295"/>
      <c r="CE6" s="295"/>
      <c r="CF6" s="189" t="s">
        <v>93</v>
      </c>
      <c r="CG6" s="189" t="s">
        <v>94</v>
      </c>
      <c r="CH6" s="189" t="s">
        <v>57</v>
      </c>
      <c r="CI6" s="178" t="s">
        <v>95</v>
      </c>
      <c r="CJ6" s="190" t="s">
        <v>96</v>
      </c>
      <c r="CK6" s="191" t="s">
        <v>97</v>
      </c>
      <c r="CL6" s="192" t="s">
        <v>98</v>
      </c>
      <c r="CM6" s="193" t="s">
        <v>99</v>
      </c>
      <c r="CN6" s="194" t="s">
        <v>100</v>
      </c>
      <c r="CO6" s="195" t="s">
        <v>101</v>
      </c>
      <c r="CP6" s="196" t="s">
        <v>102</v>
      </c>
      <c r="CQ6" s="152" t="s">
        <v>14</v>
      </c>
      <c r="CR6" s="152" t="s">
        <v>15</v>
      </c>
      <c r="CS6" s="181" t="s">
        <v>58</v>
      </c>
      <c r="CT6" s="287"/>
      <c r="CU6" s="189" t="s">
        <v>104</v>
      </c>
      <c r="CV6" s="182" t="s">
        <v>105</v>
      </c>
      <c r="CW6" s="190" t="s">
        <v>106</v>
      </c>
      <c r="CX6" s="197" t="s">
        <v>107</v>
      </c>
      <c r="CY6" s="198" t="s">
        <v>108</v>
      </c>
      <c r="CZ6" s="199" t="s">
        <v>109</v>
      </c>
      <c r="DA6" s="200" t="s">
        <v>110</v>
      </c>
      <c r="DB6" s="201" t="s">
        <v>111</v>
      </c>
      <c r="DC6" s="202" t="s">
        <v>112</v>
      </c>
      <c r="DD6" s="203" t="s">
        <v>58</v>
      </c>
      <c r="DE6" s="182" t="s">
        <v>117</v>
      </c>
      <c r="DF6" s="260" t="s">
        <v>134</v>
      </c>
      <c r="DG6" s="284"/>
      <c r="DH6" s="288"/>
      <c r="DI6" s="152" t="s">
        <v>14</v>
      </c>
      <c r="DJ6" s="152" t="s">
        <v>15</v>
      </c>
      <c r="DK6" s="289"/>
      <c r="DL6" s="297"/>
      <c r="DM6" s="181" t="s">
        <v>9</v>
      </c>
      <c r="DN6" s="181" t="s">
        <v>10</v>
      </c>
      <c r="DO6" s="181" t="s">
        <v>11</v>
      </c>
      <c r="DP6" s="181" t="s">
        <v>114</v>
      </c>
      <c r="DQ6" s="181" t="s">
        <v>115</v>
      </c>
      <c r="DR6" s="181" t="s">
        <v>116</v>
      </c>
      <c r="DS6" s="291"/>
      <c r="DT6" s="290"/>
      <c r="DU6" s="277"/>
      <c r="DV6" s="204">
        <v>0.17499999999999999</v>
      </c>
      <c r="DW6" s="205">
        <v>0.03</v>
      </c>
      <c r="DX6" s="204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89"/>
      <c r="ED6" s="290"/>
      <c r="EE6" s="183" t="s">
        <v>73</v>
      </c>
      <c r="EF6" s="183" t="s">
        <v>74</v>
      </c>
      <c r="EG6" s="292"/>
      <c r="EH6" s="292"/>
      <c r="EI6" s="292"/>
      <c r="EJ6" s="293"/>
      <c r="EK6" s="293"/>
      <c r="EL6" s="293"/>
      <c r="EM6" s="303"/>
      <c r="EN6" s="305"/>
      <c r="EO6" s="307"/>
      <c r="EP6" s="309"/>
      <c r="EQ6" s="311"/>
      <c r="ER6" s="276"/>
      <c r="ES6" s="276"/>
      <c r="ET6" s="315"/>
      <c r="EU6" s="299"/>
      <c r="EV6" s="300"/>
    </row>
    <row r="7" spans="1:154" s="106" customFormat="1" ht="87.75" customHeight="1">
      <c r="A7" s="301" t="s">
        <v>85</v>
      </c>
      <c r="B7" s="301"/>
      <c r="C7" s="301"/>
      <c r="D7" s="301"/>
      <c r="E7" s="301"/>
      <c r="F7" s="301"/>
      <c r="G7" s="301"/>
      <c r="H7" s="301"/>
      <c r="I7" s="301"/>
      <c r="J7" s="301"/>
      <c r="K7" s="301"/>
      <c r="L7" s="301"/>
      <c r="M7" s="301"/>
      <c r="N7" s="301"/>
      <c r="O7" s="301"/>
      <c r="P7" s="301"/>
      <c r="Q7" s="301"/>
      <c r="R7" s="301"/>
      <c r="S7" s="301"/>
      <c r="T7" s="301"/>
      <c r="U7" s="301"/>
      <c r="V7" s="301"/>
      <c r="W7" s="301"/>
      <c r="X7" s="301"/>
      <c r="Y7" s="301"/>
      <c r="Z7" s="301"/>
      <c r="AA7" s="301"/>
      <c r="AB7" s="301"/>
      <c r="AC7" s="301"/>
      <c r="AD7" s="301"/>
      <c r="AE7" s="301"/>
      <c r="AF7" s="301"/>
      <c r="AG7" s="301"/>
      <c r="AH7" s="301"/>
      <c r="AI7" s="301"/>
      <c r="AJ7" s="301"/>
      <c r="AK7" s="301"/>
      <c r="AL7" s="301"/>
      <c r="AM7" s="301"/>
      <c r="AN7" s="301"/>
      <c r="AO7" s="301"/>
      <c r="AP7" s="301"/>
      <c r="AQ7" s="301"/>
      <c r="AR7" s="301"/>
      <c r="AS7" s="301"/>
      <c r="AT7" s="301"/>
      <c r="AU7" s="301"/>
      <c r="AV7" s="301"/>
      <c r="AW7" s="301"/>
      <c r="AX7" s="301"/>
      <c r="AY7" s="301"/>
      <c r="AZ7" s="301"/>
      <c r="BA7" s="301"/>
      <c r="BB7" s="301"/>
      <c r="BC7" s="301"/>
      <c r="BD7" s="301"/>
      <c r="BE7" s="301"/>
      <c r="BF7" s="301"/>
      <c r="BG7" s="301"/>
      <c r="BH7" s="301"/>
      <c r="BI7" s="301"/>
      <c r="BJ7" s="301"/>
      <c r="BK7" s="301"/>
      <c r="BL7" s="301"/>
      <c r="BM7" s="301"/>
      <c r="BN7" s="301"/>
      <c r="BO7" s="301"/>
      <c r="BP7" s="301"/>
      <c r="BQ7" s="301"/>
      <c r="BR7" s="301"/>
      <c r="BS7" s="301"/>
      <c r="BT7" s="301"/>
      <c r="BU7" s="301"/>
      <c r="BV7" s="301"/>
      <c r="BW7" s="301"/>
      <c r="BX7" s="301"/>
      <c r="BY7" s="301"/>
      <c r="BZ7" s="301"/>
      <c r="CA7" s="301"/>
      <c r="CB7" s="301"/>
      <c r="CC7" s="301"/>
      <c r="CD7" s="301"/>
      <c r="CE7" s="301"/>
      <c r="CF7" s="301"/>
      <c r="CG7" s="301"/>
      <c r="CH7" s="301"/>
      <c r="CI7" s="301"/>
      <c r="CJ7" s="301"/>
      <c r="CK7" s="301"/>
      <c r="CL7" s="301"/>
      <c r="CM7" s="301"/>
      <c r="CN7" s="301"/>
      <c r="CO7" s="301"/>
      <c r="CP7" s="301"/>
      <c r="CQ7" s="301"/>
      <c r="CR7" s="301"/>
      <c r="CS7" s="301"/>
      <c r="CT7" s="301"/>
      <c r="CU7" s="301"/>
      <c r="CV7" s="301"/>
      <c r="CW7" s="301"/>
      <c r="CX7" s="301"/>
      <c r="CY7" s="301"/>
      <c r="CZ7" s="301"/>
      <c r="DA7" s="301"/>
      <c r="DB7" s="301"/>
      <c r="DC7" s="301"/>
      <c r="DD7" s="301"/>
      <c r="DE7" s="301"/>
      <c r="DF7" s="301"/>
      <c r="DG7" s="301"/>
      <c r="DH7" s="301"/>
      <c r="DI7" s="301"/>
      <c r="DJ7" s="301"/>
      <c r="DK7" s="301"/>
      <c r="DL7" s="301"/>
      <c r="DM7" s="301"/>
      <c r="DN7" s="301"/>
      <c r="DO7" s="301"/>
      <c r="DP7" s="301"/>
      <c r="DQ7" s="301"/>
      <c r="DR7" s="301"/>
      <c r="DS7" s="301"/>
      <c r="DT7" s="301"/>
      <c r="DU7" s="301"/>
      <c r="DV7" s="301"/>
      <c r="DW7" s="301"/>
      <c r="DX7" s="301"/>
      <c r="DY7" s="301"/>
      <c r="DZ7" s="301"/>
      <c r="EA7" s="301"/>
      <c r="EB7" s="301"/>
      <c r="EC7" s="301"/>
      <c r="ED7" s="301"/>
      <c r="EE7" s="301"/>
      <c r="EF7" s="301"/>
      <c r="EG7" s="301"/>
      <c r="EH7" s="301"/>
      <c r="EI7" s="301"/>
      <c r="EJ7" s="301"/>
      <c r="EK7" s="301"/>
      <c r="EL7" s="301"/>
      <c r="EM7" s="248"/>
      <c r="EN7" s="248"/>
      <c r="EO7" s="248"/>
      <c r="EP7" s="249"/>
      <c r="EQ7" s="250"/>
      <c r="ER7" s="251"/>
      <c r="ES7" s="251"/>
      <c r="ET7" s="266"/>
      <c r="EU7" s="252"/>
      <c r="EV7" s="251"/>
    </row>
    <row r="8" spans="1:154" s="169" customFormat="1" ht="84" customHeight="1">
      <c r="A8" s="150"/>
      <c r="B8" s="150"/>
      <c r="C8" s="162"/>
      <c r="D8" s="162"/>
      <c r="E8" s="162"/>
      <c r="F8" s="150"/>
      <c r="G8" s="162"/>
      <c r="H8" s="154"/>
      <c r="I8" s="167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8">
        <f t="shared" ref="AO8" si="4">COUNTIF(J8:AN8,"N")+(COUNTIF(J8:AN8,"N/2")/2)</f>
        <v>0</v>
      </c>
      <c r="AP8" s="168">
        <f t="shared" ref="AP8" si="5">COUNTIF(J8:AN8,"Đ")</f>
        <v>0</v>
      </c>
      <c r="AQ8" s="168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" si="31">+IF(AF8="N","0.5N",IF(AF8="Đ","0.5Đ",0))</f>
        <v>0</v>
      </c>
      <c r="BQ8" s="155">
        <f t="shared" ref="BQ8" si="32">+IF(AG8="N","0.5N",IF(AG8="Đ","0.5Đ",0))</f>
        <v>0</v>
      </c>
      <c r="BR8" s="155">
        <f t="shared" ref="BR8" si="33">+IF(AH8="N","0.5N",IF(AH8="Đ","0.5Đ",0))</f>
        <v>0</v>
      </c>
      <c r="BS8" s="155">
        <f t="shared" ref="BS8" si="34">+IF(AI8="N","0.5N",IF(AI8="Đ","0.5Đ",0))</f>
        <v>0</v>
      </c>
      <c r="BT8" s="155">
        <f t="shared" ref="BT8" si="35">+IF(AJ8="N","0.5N",IF(AJ8="Đ","0.5Đ",0))</f>
        <v>0</v>
      </c>
      <c r="BU8" s="155">
        <f t="shared" ref="BU8" si="36">+IF(AK8="N","0.5N",IF(AK8="Đ","0.5Đ",0))</f>
        <v>0</v>
      </c>
      <c r="BV8" s="155">
        <f t="shared" ref="BV8" si="37">+IF(AL8="N","0.5N",IF(AL8="Đ","0.5Đ",0))</f>
        <v>0</v>
      </c>
      <c r="BW8" s="155">
        <f t="shared" ref="BW8" si="38">+IF(AM8="N","0.5N",IF(AM8="Đ","0.5Đ",0))</f>
        <v>0</v>
      </c>
      <c r="BX8" s="155">
        <f t="shared" ref="BX8" si="39">+IF(AN8="N","0.5N",IF(AN8="Đ","0.5Đ",0))</f>
        <v>0</v>
      </c>
      <c r="BY8" s="168">
        <f>+BZ8+CA8+CB8*8+CC8+CD8+CE8</f>
        <v>0</v>
      </c>
      <c r="BZ8" s="168">
        <f t="shared" ref="BZ8" si="40">COUNTIF(AT8:BX8,"1Đ")+(COUNTIF(AT8:BX8,"2Đ")*2)+(COUNTIF(AT8:BX8,"0.5Đ")/2)</f>
        <v>0</v>
      </c>
      <c r="CA8" s="168">
        <f t="shared" ref="CA8" si="41">COUNTIF(AT8:BX8,"1N")+(COUNTIF(AT8:BX8,"2N")*2)+(COUNTIF(AT8:BX8,"0.5N")/2)</f>
        <v>0</v>
      </c>
      <c r="CB8" s="168">
        <f t="shared" ref="CB8" si="42">COUNTIF(AT8:BX8,"1LN")</f>
        <v>0</v>
      </c>
      <c r="CC8" s="168">
        <f t="shared" ref="CC8" si="43">COUNTIF(AT8:BX8,"1LĐ")</f>
        <v>0</v>
      </c>
      <c r="CD8" s="164">
        <f>COUNTIF(AT8:BX8,"CNN")*8+(COUNTIF(AT8:BX8,"CNN/2")*4)</f>
        <v>0</v>
      </c>
      <c r="CE8" s="171">
        <f t="shared" ref="CE8" si="44">COUNTIF(AT8:BX8,"CNĐ")+(COUNTIF(AT8:BX8,"CNĐ/2")/2)</f>
        <v>0</v>
      </c>
      <c r="CF8" s="172">
        <f t="shared" ref="CF8" si="45">+AO8</f>
        <v>0</v>
      </c>
      <c r="CG8" s="172">
        <f t="shared" ref="CG8" si="46">+AP8*8*0.3125</f>
        <v>0</v>
      </c>
      <c r="CH8" s="172">
        <f t="shared" ref="CH8" si="47">+AR8+AS8</f>
        <v>0</v>
      </c>
      <c r="CI8" s="172">
        <f t="shared" ref="CI8" si="48">+CA8</f>
        <v>0</v>
      </c>
      <c r="CJ8" s="172">
        <f t="shared" ref="CJ8" si="49">+AP8*8*0.6875</f>
        <v>0</v>
      </c>
      <c r="CK8" s="172">
        <f t="shared" ref="CK8" si="50">+BZ8</f>
        <v>0</v>
      </c>
      <c r="CL8" s="172"/>
      <c r="CM8" s="172">
        <f t="shared" ref="CM8" si="51">+CE8</f>
        <v>0</v>
      </c>
      <c r="CN8" s="172">
        <f t="shared" ref="CN8" si="52">+CD8</f>
        <v>0</v>
      </c>
      <c r="CO8" s="170">
        <f t="shared" ref="CO8" si="53">+CB8</f>
        <v>0</v>
      </c>
      <c r="CP8" s="159">
        <f t="shared" ref="CP8" si="54">+CC8</f>
        <v>0</v>
      </c>
      <c r="CQ8" s="159">
        <f>+IF(F8="x",500000,0)</f>
        <v>0</v>
      </c>
      <c r="CR8" s="156"/>
      <c r="CS8" s="159">
        <f t="shared" ref="CS8" si="55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6">+I8+CQ8+CR8+CS8</f>
        <v>0</v>
      </c>
      <c r="CU8" s="158">
        <f t="shared" ref="CU8" si="57">+I8/26*(CF8+(CG8/8)+CH8)</f>
        <v>0</v>
      </c>
      <c r="CV8" s="158">
        <f t="shared" ref="CV8" si="58">+(I8/26/8)*150%*CI8</f>
        <v>0</v>
      </c>
      <c r="CW8" s="158">
        <f t="shared" ref="CW8" si="59">+(I8/26/8)*130%*CJ8</f>
        <v>0</v>
      </c>
      <c r="CX8" s="158">
        <f t="shared" ref="CX8" si="60">+(I8/26/8)*200%*CK8</f>
        <v>0</v>
      </c>
      <c r="CY8" s="158">
        <f t="shared" ref="CY8" si="61">+(I8/26/8)*210%*CL8</f>
        <v>0</v>
      </c>
      <c r="CZ8" s="158">
        <f t="shared" ref="CZ8" si="62">+(I8/26/8)*270%*CM8</f>
        <v>0</v>
      </c>
      <c r="DA8" s="158">
        <f t="shared" ref="DA8" si="63">+(I8/26/8)*200%*CN8</f>
        <v>0</v>
      </c>
      <c r="DB8" s="158">
        <f t="shared" ref="DB8" si="64">+(I8/3.25)*300%*CO8</f>
        <v>0</v>
      </c>
      <c r="DC8" s="158">
        <f t="shared" ref="DC8" si="65">+(I8/26/8)*390%*CP8</f>
        <v>0</v>
      </c>
      <c r="DD8" s="159">
        <f t="shared" ref="DD8" si="66">+CS8/26*(CF8+(CG8+CJ8)/8)</f>
        <v>0</v>
      </c>
      <c r="DE8" s="212">
        <f t="shared" ref="DE8" si="67">IF(OR(H8="CV",H8="KTT",H8="QL",H8="QĐ",H8="TL",H8="PGĐ"),2000000,IF(OR(H8="NV",H8="KT", H8="TK"),1500000,IF(OR(H8="CN",H8="LX"),1000000,0)))/26*(CF8+(CG8+CJ8)/8)</f>
        <v>0</v>
      </c>
      <c r="DF8" s="212">
        <f t="shared" ref="DF8" si="68">+DD8+DE8</f>
        <v>0</v>
      </c>
      <c r="DG8" s="273"/>
      <c r="DH8" s="158">
        <f t="shared" ref="DH8" si="69">+CU8+CV8+CW8+CX8+CY8+CZ8+DA8+DB8+DC8+DF8+DG8</f>
        <v>0</v>
      </c>
      <c r="DI8" s="165">
        <f t="shared" ref="DI8" si="70">+CQ8/26*AQ8</f>
        <v>0</v>
      </c>
      <c r="DJ8" s="165">
        <f t="shared" ref="DJ8" si="71">+CR8/26*AQ8</f>
        <v>0</v>
      </c>
      <c r="DK8" s="165">
        <f t="shared" ref="DK8" si="72">+DH8+DI8+DJ8</f>
        <v>0</v>
      </c>
      <c r="DL8" s="173">
        <f t="shared" ref="DL8" si="73">I8</f>
        <v>0</v>
      </c>
      <c r="DM8" s="159">
        <f t="shared" ref="DM8" si="74">DL8*8%</f>
        <v>0</v>
      </c>
      <c r="DN8" s="159">
        <f t="shared" ref="DN8" si="75">DL8*1.5%</f>
        <v>0</v>
      </c>
      <c r="DO8" s="159">
        <f t="shared" ref="DO8" si="76">DL8*1%</f>
        <v>0</v>
      </c>
      <c r="DP8" s="159" t="e">
        <f t="shared" ref="DP8" ca="1" si="77">EI8</f>
        <v>#REF!</v>
      </c>
      <c r="DQ8" s="159" t="e">
        <f t="shared" ref="DQ8" ca="1" si="78">+SUM(DM8:DP8)</f>
        <v>#REF!</v>
      </c>
      <c r="DR8" s="159">
        <f t="shared" ref="DR8" si="79">SUM(DM8:DO8)</f>
        <v>0</v>
      </c>
      <c r="DS8" s="160" t="e">
        <f t="shared" ref="DS8" ca="1" si="80">ROUNDDOWN(DK8-DQ8,-3)</f>
        <v>#REF!</v>
      </c>
      <c r="DT8" s="157" t="e">
        <f ca="1">+DS8-#REF!</f>
        <v>#REF!</v>
      </c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4">
        <f>+DM8+DV8</f>
        <v>0</v>
      </c>
      <c r="DZ8" s="174">
        <f>+DN8+DW8</f>
        <v>0</v>
      </c>
      <c r="EA8" s="159">
        <f>DO8+DX8</f>
        <v>0</v>
      </c>
      <c r="EB8" s="174">
        <f t="shared" ref="EB8" si="81">DY8+DZ8+EA8</f>
        <v>0</v>
      </c>
      <c r="EC8" s="165">
        <f>+IF(F8="x",500000,0)</f>
        <v>0</v>
      </c>
      <c r="ED8" s="166">
        <f>+DK8-DJ8+EC8</f>
        <v>0</v>
      </c>
      <c r="EE8" s="166" t="e">
        <f ca="1">15500000+DR8+EF8*6200000</f>
        <v>#REF!</v>
      </c>
      <c r="EF8" s="161" t="e">
        <f ca="1">SUMIF(INDIRECT("'QTTTNCN'!$D$7:$D$500"),B8,INDIRECT("'QTTTNCN'!$S$7:$S$500"))</f>
        <v>#REF!</v>
      </c>
      <c r="EG8" s="173" t="e">
        <f t="shared" ref="EG8" ca="1" si="82">+ED8-EE8</f>
        <v>#REF!</v>
      </c>
      <c r="EH8" s="173" t="e">
        <f t="shared" ref="EH8" ca="1" si="83">IF(EG8&lt;=5000000,EG8*5/100,IF(EG8&lt;=10000000,EG8*10/100-250000,IF(EG8&lt;=18000000,EG8*15/100-750000,IF(EG8&lt;=32000000,EG8*20/100-1650000,IF(EG8&lt;=52000000,EG8*25/100-3250000,IF(EG8&lt;=80000000,EG8*30%-5850000,EG8*35%-9850000))))))</f>
        <v>#REF!</v>
      </c>
      <c r="EI8" s="173" t="e">
        <f t="shared" ref="EI8" ca="1" si="84">+IF(EH8&lt;0,0,EH8)</f>
        <v>#REF!</v>
      </c>
      <c r="EJ8" s="166" t="b">
        <f>+IF(AQ8&gt;0,I8/26)</f>
        <v>0</v>
      </c>
      <c r="EK8" s="166" t="b">
        <f>+IF(AQ8&gt;0,ED8*6%)</f>
        <v>0</v>
      </c>
      <c r="EL8" s="166">
        <f t="shared" ref="EL8" si="85">+EJ8+EK8</f>
        <v>0</v>
      </c>
      <c r="EM8" s="166"/>
      <c r="EN8" s="166"/>
      <c r="EO8" s="166" t="e">
        <f ca="1">DS8+EC8+EN8</f>
        <v>#REF!</v>
      </c>
      <c r="EP8" s="225" t="e">
        <f t="shared" ref="EP8" ca="1" si="86">EM8-EO8</f>
        <v>#REF!</v>
      </c>
      <c r="EQ8" s="226">
        <f t="shared" ref="EQ8" si="87">EM8</f>
        <v>0</v>
      </c>
      <c r="ER8" s="150"/>
      <c r="ES8" s="150"/>
      <c r="ET8" s="267">
        <f t="shared" ref="ET8" si="88">EQ8-EU8</f>
        <v>0</v>
      </c>
      <c r="EU8" s="163"/>
      <c r="EV8" s="253"/>
      <c r="EW8" s="223">
        <f t="shared" ref="EW8" si="89">EQ8-ET8-EU8</f>
        <v>0</v>
      </c>
      <c r="EX8" s="227">
        <f t="shared" ref="EX8" si="90">+EM8-ET8-EU8</f>
        <v>0</v>
      </c>
    </row>
    <row r="9" spans="1:154" s="93" customFormat="1">
      <c r="A9" s="95"/>
      <c r="B9" s="95"/>
      <c r="D9" s="97"/>
      <c r="E9" s="97"/>
      <c r="F9" s="97"/>
      <c r="G9" s="221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34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31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1"/>
      <c r="DF9" s="211"/>
      <c r="DG9" s="274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239"/>
      <c r="EQ9" s="240"/>
      <c r="ER9" s="98"/>
      <c r="ES9" s="98"/>
      <c r="ET9" s="268"/>
      <c r="EU9" s="254"/>
      <c r="EV9" s="255"/>
    </row>
    <row r="10" spans="1:154" s="93" customFormat="1">
      <c r="A10" s="95"/>
      <c r="B10" s="95"/>
      <c r="D10" s="97"/>
      <c r="E10" s="97"/>
      <c r="F10" s="97"/>
      <c r="G10" s="221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34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31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1"/>
      <c r="DF10" s="211"/>
      <c r="DG10" s="274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239"/>
      <c r="EQ10" s="240"/>
      <c r="ER10" s="98"/>
      <c r="ES10" s="98"/>
      <c r="ET10" s="268"/>
      <c r="EU10" s="254"/>
      <c r="EV10" s="255"/>
    </row>
    <row r="11" spans="1:154" s="93" customFormat="1">
      <c r="A11" s="95"/>
      <c r="B11" s="95"/>
      <c r="D11" s="97"/>
      <c r="E11" s="97"/>
      <c r="F11" s="97"/>
      <c r="G11" s="221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34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31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1"/>
      <c r="DF11" s="211"/>
      <c r="DG11" s="274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239"/>
      <c r="EQ11" s="240"/>
      <c r="ER11" s="98"/>
      <c r="ES11" s="98"/>
      <c r="ET11" s="268"/>
      <c r="EU11" s="254"/>
      <c r="EV11" s="255"/>
    </row>
    <row r="12" spans="1:154" s="93" customFormat="1">
      <c r="A12" s="95"/>
      <c r="B12" s="95"/>
      <c r="D12" s="97"/>
      <c r="E12" s="97"/>
      <c r="F12" s="97"/>
      <c r="G12" s="221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34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31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1"/>
      <c r="DF12" s="211"/>
      <c r="DG12" s="274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239"/>
      <c r="EQ12" s="240"/>
      <c r="ER12" s="98"/>
      <c r="ES12" s="98"/>
      <c r="ET12" s="268"/>
      <c r="EU12" s="254"/>
      <c r="EV12" s="255"/>
    </row>
    <row r="13" spans="1:154" s="93" customFormat="1">
      <c r="A13" s="95"/>
      <c r="B13" s="95"/>
      <c r="D13" s="97"/>
      <c r="E13" s="97"/>
      <c r="F13" s="97"/>
      <c r="G13" s="221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34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31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1"/>
      <c r="DF13" s="211"/>
      <c r="DG13" s="274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239"/>
      <c r="EQ13" s="240"/>
      <c r="ER13" s="98"/>
      <c r="ES13" s="98"/>
      <c r="ET13" s="268"/>
      <c r="EU13" s="254"/>
      <c r="EV13" s="255"/>
    </row>
    <row r="14" spans="1:154" s="93" customFormat="1">
      <c r="A14" s="95"/>
      <c r="B14" s="95"/>
      <c r="D14" s="97"/>
      <c r="E14" s="97"/>
      <c r="F14" s="97"/>
      <c r="G14" s="221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34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31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1"/>
      <c r="DF14" s="211"/>
      <c r="DG14" s="274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239"/>
      <c r="EQ14" s="240"/>
      <c r="ER14" s="98"/>
      <c r="ES14" s="98"/>
      <c r="ET14" s="268"/>
      <c r="EU14" s="254"/>
      <c r="EV14" s="255"/>
    </row>
    <row r="15" spans="1:154" s="93" customFormat="1">
      <c r="A15" s="95"/>
      <c r="B15" s="95"/>
      <c r="D15" s="97"/>
      <c r="E15" s="97"/>
      <c r="F15" s="97"/>
      <c r="G15" s="221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34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31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1"/>
      <c r="DF15" s="211"/>
      <c r="DG15" s="274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239"/>
      <c r="EQ15" s="240"/>
      <c r="ER15" s="98"/>
      <c r="ES15" s="98"/>
      <c r="ET15" s="268"/>
      <c r="EU15" s="254"/>
      <c r="EV15" s="255"/>
    </row>
    <row r="16" spans="1:154" s="93" customFormat="1">
      <c r="A16" s="95"/>
      <c r="B16" s="95"/>
      <c r="D16" s="97"/>
      <c r="E16" s="97"/>
      <c r="F16" s="97"/>
      <c r="G16" s="221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34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31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1"/>
      <c r="DF16" s="211"/>
      <c r="DG16" s="274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239"/>
      <c r="EQ16" s="240"/>
      <c r="ER16" s="98"/>
      <c r="ES16" s="98"/>
      <c r="ET16" s="268"/>
      <c r="EU16" s="254"/>
      <c r="EV16" s="255"/>
    </row>
    <row r="17" spans="1:152" s="93" customFormat="1">
      <c r="A17" s="95"/>
      <c r="B17" s="95"/>
      <c r="D17" s="97"/>
      <c r="E17" s="97"/>
      <c r="F17" s="97"/>
      <c r="G17" s="221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34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31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1"/>
      <c r="DF17" s="211"/>
      <c r="DG17" s="274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239"/>
      <c r="EQ17" s="240"/>
      <c r="ER17" s="98"/>
      <c r="ES17" s="98"/>
      <c r="ET17" s="268"/>
      <c r="EU17" s="254"/>
      <c r="EV17" s="255"/>
    </row>
    <row r="18" spans="1:152" s="93" customFormat="1">
      <c r="A18" s="95"/>
      <c r="B18" s="95"/>
      <c r="D18" s="97"/>
      <c r="E18" s="97"/>
      <c r="F18" s="97"/>
      <c r="G18" s="221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34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31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1"/>
      <c r="DF18" s="211"/>
      <c r="DG18" s="274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239"/>
      <c r="EQ18" s="240"/>
      <c r="ER18" s="98"/>
      <c r="ES18" s="98"/>
      <c r="ET18" s="268"/>
      <c r="EU18" s="254"/>
      <c r="EV18" s="255"/>
    </row>
    <row r="19" spans="1:152" s="93" customFormat="1">
      <c r="A19" s="95"/>
      <c r="B19" s="95"/>
      <c r="D19" s="97"/>
      <c r="E19" s="97"/>
      <c r="F19" s="97"/>
      <c r="G19" s="221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34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31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1"/>
      <c r="DF19" s="211"/>
      <c r="DG19" s="274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239"/>
      <c r="EQ19" s="240"/>
      <c r="ER19" s="98"/>
      <c r="ES19" s="98"/>
      <c r="ET19" s="268"/>
      <c r="EU19" s="254"/>
      <c r="EV19" s="255"/>
    </row>
    <row r="20" spans="1:152" s="93" customFormat="1">
      <c r="A20" s="95"/>
      <c r="B20" s="95"/>
      <c r="D20" s="97"/>
      <c r="E20" s="97"/>
      <c r="F20" s="97"/>
      <c r="G20" s="221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34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31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1"/>
      <c r="DF20" s="211"/>
      <c r="DG20" s="274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239"/>
      <c r="EQ20" s="240"/>
      <c r="ER20" s="98"/>
      <c r="ES20" s="98"/>
      <c r="ET20" s="268"/>
      <c r="EU20" s="254"/>
      <c r="EV20" s="255"/>
    </row>
    <row r="21" spans="1:152" s="93" customFormat="1">
      <c r="A21" s="95"/>
      <c r="B21" s="95"/>
      <c r="D21" s="97"/>
      <c r="E21" s="97"/>
      <c r="F21" s="97"/>
      <c r="G21" s="221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34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31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1"/>
      <c r="DF21" s="211"/>
      <c r="DG21" s="274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239"/>
      <c r="EQ21" s="240"/>
      <c r="ER21" s="98"/>
      <c r="ES21" s="98"/>
      <c r="ET21" s="268"/>
      <c r="EU21" s="254"/>
      <c r="EV21" s="255"/>
    </row>
    <row r="22" spans="1:152" s="93" customFormat="1">
      <c r="A22" s="95"/>
      <c r="B22" s="95"/>
      <c r="D22" s="97"/>
      <c r="E22" s="97"/>
      <c r="F22" s="97"/>
      <c r="G22" s="221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34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31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1"/>
      <c r="DF22" s="211"/>
      <c r="DG22" s="274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239"/>
      <c r="EQ22" s="240"/>
      <c r="ER22" s="98"/>
      <c r="ES22" s="98"/>
      <c r="ET22" s="268"/>
      <c r="EU22" s="254"/>
      <c r="EV22" s="255"/>
    </row>
    <row r="23" spans="1:152" s="93" customFormat="1">
      <c r="A23" s="95"/>
      <c r="B23" s="95"/>
      <c r="D23" s="97"/>
      <c r="E23" s="97"/>
      <c r="F23" s="97"/>
      <c r="G23" s="221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34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31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1"/>
      <c r="DF23" s="211"/>
      <c r="DG23" s="274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239"/>
      <c r="EQ23" s="240"/>
      <c r="ER23" s="98"/>
      <c r="ES23" s="98"/>
      <c r="ET23" s="268"/>
      <c r="EU23" s="254"/>
      <c r="EV23" s="255"/>
    </row>
    <row r="24" spans="1:152" s="93" customFormat="1">
      <c r="A24" s="95"/>
      <c r="B24" s="95"/>
      <c r="D24" s="97"/>
      <c r="E24" s="97"/>
      <c r="F24" s="97"/>
      <c r="G24" s="221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34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31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1"/>
      <c r="DF24" s="211"/>
      <c r="DG24" s="274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239"/>
      <c r="EQ24" s="240"/>
      <c r="ER24" s="98"/>
      <c r="ES24" s="98"/>
      <c r="ET24" s="268"/>
      <c r="EU24" s="254"/>
      <c r="EV24" s="255"/>
    </row>
    <row r="25" spans="1:152" s="93" customFormat="1">
      <c r="A25" s="95"/>
      <c r="B25" s="95"/>
      <c r="D25" s="97"/>
      <c r="E25" s="97"/>
      <c r="F25" s="97"/>
      <c r="G25" s="221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34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31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1"/>
      <c r="DF25" s="211"/>
      <c r="DG25" s="274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239"/>
      <c r="EQ25" s="240"/>
      <c r="ER25" s="98"/>
      <c r="ES25" s="98"/>
      <c r="ET25" s="268"/>
      <c r="EU25" s="254"/>
      <c r="EV25" s="255"/>
    </row>
    <row r="26" spans="1:152" s="93" customFormat="1">
      <c r="A26" s="95"/>
      <c r="B26" s="95"/>
      <c r="D26" s="97"/>
      <c r="E26" s="97"/>
      <c r="F26" s="97"/>
      <c r="G26" s="221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34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31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1"/>
      <c r="DF26" s="211"/>
      <c r="DG26" s="274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239"/>
      <c r="EQ26" s="240"/>
      <c r="ER26" s="98"/>
      <c r="ES26" s="98"/>
      <c r="ET26" s="268"/>
      <c r="EU26" s="254"/>
      <c r="EV26" s="255"/>
    </row>
    <row r="27" spans="1:152" s="93" customFormat="1">
      <c r="A27" s="95"/>
      <c r="B27" s="95"/>
      <c r="D27" s="97"/>
      <c r="E27" s="97"/>
      <c r="F27" s="97"/>
      <c r="G27" s="221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34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31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1"/>
      <c r="DF27" s="211"/>
      <c r="DG27" s="274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239"/>
      <c r="EQ27" s="240"/>
      <c r="ER27" s="98"/>
      <c r="ES27" s="98"/>
      <c r="ET27" s="268"/>
      <c r="EU27" s="254"/>
      <c r="EV27" s="255"/>
    </row>
    <row r="28" spans="1:152" s="93" customFormat="1">
      <c r="A28" s="95"/>
      <c r="B28" s="95"/>
      <c r="D28" s="97"/>
      <c r="E28" s="97"/>
      <c r="F28" s="97"/>
      <c r="G28" s="221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34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31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1"/>
      <c r="DF28" s="211"/>
      <c r="DG28" s="274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239"/>
      <c r="EQ28" s="240"/>
      <c r="ER28" s="98"/>
      <c r="ES28" s="98"/>
      <c r="ET28" s="268"/>
      <c r="EU28" s="254"/>
      <c r="EV28" s="255"/>
    </row>
    <row r="29" spans="1:152" s="93" customFormat="1">
      <c r="A29" s="95"/>
      <c r="B29" s="95"/>
      <c r="D29" s="97"/>
      <c r="E29" s="97"/>
      <c r="F29" s="97"/>
      <c r="G29" s="221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34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31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1"/>
      <c r="DF29" s="211"/>
      <c r="DG29" s="274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239"/>
      <c r="EQ29" s="240"/>
      <c r="ER29" s="98"/>
      <c r="ES29" s="98"/>
      <c r="ET29" s="268"/>
      <c r="EU29" s="254"/>
      <c r="EV29" s="255"/>
    </row>
    <row r="30" spans="1:152" s="93" customFormat="1">
      <c r="A30" s="95"/>
      <c r="B30" s="95"/>
      <c r="D30" s="97"/>
      <c r="E30" s="97"/>
      <c r="F30" s="97"/>
      <c r="G30" s="221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34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31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1"/>
      <c r="DF30" s="211"/>
      <c r="DG30" s="274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239"/>
      <c r="EQ30" s="240"/>
      <c r="ER30" s="98"/>
      <c r="ES30" s="98"/>
      <c r="ET30" s="268"/>
      <c r="EU30" s="254"/>
      <c r="EV30" s="255"/>
    </row>
    <row r="31" spans="1:152" s="93" customFormat="1">
      <c r="A31" s="95"/>
      <c r="B31" s="95"/>
      <c r="D31" s="97"/>
      <c r="E31" s="97"/>
      <c r="F31" s="97"/>
      <c r="G31" s="221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34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31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1"/>
      <c r="DF31" s="211"/>
      <c r="DG31" s="274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239"/>
      <c r="EQ31" s="240"/>
      <c r="ER31" s="98"/>
      <c r="ES31" s="98"/>
      <c r="ET31" s="268"/>
      <c r="EU31" s="254"/>
      <c r="EV31" s="255"/>
    </row>
    <row r="32" spans="1:152" s="93" customFormat="1">
      <c r="A32" s="95"/>
      <c r="B32" s="95"/>
      <c r="D32" s="97"/>
      <c r="E32" s="97"/>
      <c r="F32" s="97"/>
      <c r="G32" s="221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34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31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1"/>
      <c r="DF32" s="211"/>
      <c r="DG32" s="274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239"/>
      <c r="EQ32" s="240"/>
      <c r="ER32" s="98"/>
      <c r="ES32" s="98"/>
      <c r="ET32" s="268"/>
      <c r="EU32" s="254"/>
      <c r="EV32" s="255"/>
    </row>
    <row r="33" spans="1:152" s="93" customFormat="1">
      <c r="A33" s="95"/>
      <c r="B33" s="95"/>
      <c r="D33" s="97"/>
      <c r="E33" s="97"/>
      <c r="F33" s="97"/>
      <c r="G33" s="221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34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31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1"/>
      <c r="DF33" s="211"/>
      <c r="DG33" s="274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239"/>
      <c r="EQ33" s="240"/>
      <c r="ER33" s="98"/>
      <c r="ES33" s="98"/>
      <c r="ET33" s="268"/>
      <c r="EU33" s="254"/>
      <c r="EV33" s="255"/>
    </row>
    <row r="34" spans="1:152" s="93" customFormat="1">
      <c r="A34" s="95"/>
      <c r="B34" s="95"/>
      <c r="D34" s="97"/>
      <c r="E34" s="97"/>
      <c r="F34" s="97"/>
      <c r="G34" s="221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34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31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1"/>
      <c r="DF34" s="211"/>
      <c r="DG34" s="274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239"/>
      <c r="EQ34" s="240"/>
      <c r="ER34" s="98"/>
      <c r="ES34" s="98"/>
      <c r="ET34" s="268"/>
      <c r="EU34" s="254"/>
      <c r="EV34" s="255"/>
    </row>
    <row r="35" spans="1:152" s="93" customFormat="1">
      <c r="A35" s="95"/>
      <c r="B35" s="95"/>
      <c r="D35" s="97"/>
      <c r="E35" s="97"/>
      <c r="F35" s="97"/>
      <c r="G35" s="221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34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31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1"/>
      <c r="DF35" s="211"/>
      <c r="DG35" s="274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239"/>
      <c r="EQ35" s="240"/>
      <c r="ER35" s="98"/>
      <c r="ES35" s="98"/>
      <c r="ET35" s="268"/>
      <c r="EU35" s="254"/>
      <c r="EV35" s="255"/>
    </row>
    <row r="36" spans="1:152" s="93" customFormat="1">
      <c r="A36" s="95"/>
      <c r="B36" s="95"/>
      <c r="D36" s="97"/>
      <c r="E36" s="97"/>
      <c r="F36" s="97"/>
      <c r="G36" s="221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34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31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1"/>
      <c r="DF36" s="211"/>
      <c r="DG36" s="274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239"/>
      <c r="EQ36" s="240"/>
      <c r="ER36" s="98"/>
      <c r="ES36" s="98"/>
      <c r="ET36" s="268"/>
      <c r="EU36" s="254"/>
      <c r="EV36" s="255"/>
    </row>
    <row r="37" spans="1:152" s="93" customFormat="1">
      <c r="A37" s="95"/>
      <c r="B37" s="95"/>
      <c r="D37" s="97"/>
      <c r="E37" s="97"/>
      <c r="F37" s="97"/>
      <c r="G37" s="221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34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31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1"/>
      <c r="DF37" s="211"/>
      <c r="DG37" s="274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239"/>
      <c r="EQ37" s="240"/>
      <c r="ER37" s="98"/>
      <c r="ES37" s="98"/>
      <c r="ET37" s="268"/>
      <c r="EU37" s="254"/>
      <c r="EV37" s="255"/>
    </row>
    <row r="38" spans="1:152" s="93" customFormat="1">
      <c r="A38" s="95"/>
      <c r="B38" s="95"/>
      <c r="D38" s="97"/>
      <c r="E38" s="97"/>
      <c r="F38" s="97"/>
      <c r="G38" s="221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34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31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1"/>
      <c r="DF38" s="211"/>
      <c r="DG38" s="274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239"/>
      <c r="EQ38" s="240"/>
      <c r="ER38" s="98"/>
      <c r="ES38" s="98"/>
      <c r="ET38" s="268"/>
      <c r="EU38" s="254"/>
      <c r="EV38" s="255"/>
    </row>
    <row r="39" spans="1:152" s="93" customFormat="1">
      <c r="A39" s="95"/>
      <c r="B39" s="95"/>
      <c r="D39" s="97"/>
      <c r="E39" s="97"/>
      <c r="F39" s="97"/>
      <c r="G39" s="221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34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31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1"/>
      <c r="DF39" s="211"/>
      <c r="DG39" s="274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239"/>
      <c r="EQ39" s="240"/>
      <c r="ER39" s="98"/>
      <c r="ES39" s="98"/>
      <c r="ET39" s="268"/>
      <c r="EU39" s="254"/>
      <c r="EV39" s="255"/>
    </row>
    <row r="40" spans="1:152" s="93" customFormat="1">
      <c r="A40" s="95"/>
      <c r="B40" s="95"/>
      <c r="D40" s="97"/>
      <c r="E40" s="97"/>
      <c r="F40" s="97"/>
      <c r="G40" s="221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34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31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1"/>
      <c r="DF40" s="211"/>
      <c r="DG40" s="274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239"/>
      <c r="EQ40" s="240"/>
      <c r="ER40" s="98"/>
      <c r="ES40" s="98"/>
      <c r="ET40" s="268"/>
      <c r="EU40" s="254"/>
      <c r="EV40" s="255"/>
    </row>
    <row r="41" spans="1:152" s="93" customFormat="1">
      <c r="A41" s="95"/>
      <c r="B41" s="95"/>
      <c r="D41" s="97"/>
      <c r="E41" s="97"/>
      <c r="F41" s="97"/>
      <c r="G41" s="221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34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31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1"/>
      <c r="DF41" s="211"/>
      <c r="DG41" s="274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239"/>
      <c r="EQ41" s="240"/>
      <c r="ER41" s="98"/>
      <c r="ES41" s="98"/>
      <c r="ET41" s="268"/>
      <c r="EU41" s="254"/>
      <c r="EV41" s="255"/>
    </row>
    <row r="42" spans="1:152" s="93" customFormat="1">
      <c r="A42" s="95"/>
      <c r="B42" s="95"/>
      <c r="D42" s="97"/>
      <c r="E42" s="97"/>
      <c r="F42" s="97"/>
      <c r="G42" s="221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34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31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1"/>
      <c r="DF42" s="211"/>
      <c r="DG42" s="274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239"/>
      <c r="EQ42" s="240"/>
      <c r="ER42" s="98"/>
      <c r="ES42" s="98"/>
      <c r="ET42" s="268"/>
      <c r="EU42" s="254"/>
      <c r="EV42" s="255"/>
    </row>
    <row r="43" spans="1:152" s="93" customFormat="1">
      <c r="A43" s="95"/>
      <c r="B43" s="95"/>
      <c r="D43" s="97"/>
      <c r="E43" s="97"/>
      <c r="F43" s="97"/>
      <c r="G43" s="221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34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31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1"/>
      <c r="DF43" s="211"/>
      <c r="DG43" s="274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239"/>
      <c r="EQ43" s="240"/>
      <c r="ER43" s="98"/>
      <c r="ES43" s="98"/>
      <c r="ET43" s="268"/>
      <c r="EU43" s="254"/>
      <c r="EV43" s="255"/>
    </row>
    <row r="44" spans="1:152" s="93" customFormat="1">
      <c r="A44" s="95"/>
      <c r="B44" s="95"/>
      <c r="D44" s="97"/>
      <c r="E44" s="97"/>
      <c r="F44" s="97"/>
      <c r="G44" s="221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34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31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1"/>
      <c r="DF44" s="211"/>
      <c r="DG44" s="274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239"/>
      <c r="EQ44" s="240"/>
      <c r="ER44" s="98"/>
      <c r="ES44" s="98"/>
      <c r="ET44" s="268"/>
      <c r="EU44" s="254"/>
      <c r="EV44" s="255"/>
    </row>
    <row r="45" spans="1:152" s="93" customFormat="1">
      <c r="A45" s="95"/>
      <c r="B45" s="95"/>
      <c r="D45" s="97"/>
      <c r="E45" s="97"/>
      <c r="F45" s="97"/>
      <c r="G45" s="221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34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31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1"/>
      <c r="DF45" s="211"/>
      <c r="DG45" s="274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239"/>
      <c r="EQ45" s="240"/>
      <c r="ER45" s="98"/>
      <c r="ES45" s="98"/>
      <c r="ET45" s="268"/>
      <c r="EU45" s="254"/>
      <c r="EV45" s="255"/>
    </row>
    <row r="46" spans="1:152" s="93" customFormat="1">
      <c r="A46" s="95"/>
      <c r="B46" s="95"/>
      <c r="D46" s="97"/>
      <c r="E46" s="97"/>
      <c r="F46" s="97"/>
      <c r="G46" s="221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34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31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1"/>
      <c r="DF46" s="211"/>
      <c r="DG46" s="274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239"/>
      <c r="EQ46" s="240"/>
      <c r="ER46" s="98"/>
      <c r="ES46" s="98"/>
      <c r="ET46" s="268"/>
      <c r="EU46" s="254"/>
      <c r="EV46" s="255"/>
    </row>
    <row r="47" spans="1:152" s="93" customFormat="1">
      <c r="A47" s="95"/>
      <c r="B47" s="95"/>
      <c r="D47" s="97"/>
      <c r="E47" s="97"/>
      <c r="F47" s="97"/>
      <c r="G47" s="221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34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31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1"/>
      <c r="DF47" s="211"/>
      <c r="DG47" s="274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239"/>
      <c r="EQ47" s="240"/>
      <c r="ER47" s="98"/>
      <c r="ES47" s="98"/>
      <c r="ET47" s="268"/>
      <c r="EU47" s="254"/>
      <c r="EV47" s="255"/>
    </row>
    <row r="48" spans="1:152" s="93" customFormat="1">
      <c r="A48" s="95"/>
      <c r="B48" s="95"/>
      <c r="D48" s="97"/>
      <c r="E48" s="97"/>
      <c r="F48" s="97"/>
      <c r="G48" s="221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34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31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1"/>
      <c r="DF48" s="211"/>
      <c r="DG48" s="274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239"/>
      <c r="EQ48" s="240"/>
      <c r="ER48" s="98"/>
      <c r="ES48" s="98"/>
      <c r="ET48" s="268"/>
      <c r="EU48" s="254"/>
      <c r="EV48" s="255"/>
    </row>
    <row r="49" spans="1:152" s="93" customFormat="1">
      <c r="A49" s="95"/>
      <c r="B49" s="95"/>
      <c r="D49" s="97"/>
      <c r="E49" s="97"/>
      <c r="F49" s="97"/>
      <c r="G49" s="221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34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31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1"/>
      <c r="DF49" s="211"/>
      <c r="DG49" s="274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239"/>
      <c r="EQ49" s="240"/>
      <c r="ER49" s="98"/>
      <c r="ES49" s="98"/>
      <c r="ET49" s="268"/>
      <c r="EU49" s="254"/>
      <c r="EV49" s="255"/>
    </row>
    <row r="50" spans="1:152" s="93" customFormat="1">
      <c r="A50" s="95"/>
      <c r="B50" s="95"/>
      <c r="D50" s="97"/>
      <c r="E50" s="97"/>
      <c r="F50" s="97"/>
      <c r="G50" s="221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34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31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1"/>
      <c r="DF50" s="211"/>
      <c r="DG50" s="274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239"/>
      <c r="EQ50" s="240"/>
      <c r="ER50" s="98"/>
      <c r="ES50" s="98"/>
      <c r="ET50" s="268"/>
      <c r="EU50" s="254"/>
      <c r="EV50" s="255"/>
    </row>
    <row r="51" spans="1:152" s="93" customFormat="1">
      <c r="A51" s="95"/>
      <c r="B51" s="95"/>
      <c r="D51" s="97"/>
      <c r="E51" s="97"/>
      <c r="F51" s="97"/>
      <c r="G51" s="221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34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31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1"/>
      <c r="DF51" s="211"/>
      <c r="DG51" s="274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239"/>
      <c r="EQ51" s="240"/>
      <c r="ER51" s="98"/>
      <c r="ES51" s="98"/>
      <c r="ET51" s="268"/>
      <c r="EU51" s="254"/>
      <c r="EV51" s="255"/>
    </row>
    <row r="52" spans="1:152" s="93" customFormat="1">
      <c r="A52" s="95"/>
      <c r="B52" s="95"/>
      <c r="D52" s="97"/>
      <c r="E52" s="97"/>
      <c r="F52" s="97"/>
      <c r="G52" s="221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34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31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1"/>
      <c r="DF52" s="211"/>
      <c r="DG52" s="274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239"/>
      <c r="EQ52" s="240"/>
      <c r="ER52" s="98"/>
      <c r="ES52" s="98"/>
      <c r="ET52" s="268"/>
      <c r="EU52" s="254"/>
      <c r="EV52" s="255"/>
    </row>
    <row r="53" spans="1:152" s="93" customFormat="1">
      <c r="A53" s="95"/>
      <c r="B53" s="95"/>
      <c r="D53" s="97"/>
      <c r="E53" s="97"/>
      <c r="F53" s="97"/>
      <c r="G53" s="221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34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31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1"/>
      <c r="DF53" s="211"/>
      <c r="DG53" s="274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239"/>
      <c r="EQ53" s="240"/>
      <c r="ER53" s="98"/>
      <c r="ES53" s="98"/>
      <c r="ET53" s="268"/>
      <c r="EU53" s="254"/>
      <c r="EV53" s="255"/>
    </row>
    <row r="54" spans="1:152" s="93" customFormat="1">
      <c r="A54" s="95"/>
      <c r="B54" s="95"/>
      <c r="D54" s="97"/>
      <c r="E54" s="97"/>
      <c r="F54" s="97"/>
      <c r="G54" s="221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34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31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1"/>
      <c r="DF54" s="211"/>
      <c r="DG54" s="274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239"/>
      <c r="EQ54" s="240"/>
      <c r="ER54" s="98"/>
      <c r="ES54" s="98"/>
      <c r="ET54" s="268"/>
      <c r="EU54" s="254"/>
      <c r="EV54" s="255"/>
    </row>
    <row r="55" spans="1:152" s="93" customFormat="1">
      <c r="A55" s="95"/>
      <c r="B55" s="95"/>
      <c r="D55" s="97"/>
      <c r="E55" s="97"/>
      <c r="F55" s="97"/>
      <c r="G55" s="221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34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31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1"/>
      <c r="DF55" s="211"/>
      <c r="DG55" s="274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239"/>
      <c r="EQ55" s="240"/>
      <c r="ER55" s="98"/>
      <c r="ES55" s="98"/>
      <c r="ET55" s="268"/>
      <c r="EU55" s="254"/>
      <c r="EV55" s="255"/>
    </row>
    <row r="56" spans="1:152" s="93" customFormat="1">
      <c r="A56" s="95"/>
      <c r="B56" s="95"/>
      <c r="D56" s="97"/>
      <c r="E56" s="97"/>
      <c r="F56" s="97"/>
      <c r="G56" s="221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34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31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1"/>
      <c r="DF56" s="211"/>
      <c r="DG56" s="274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239"/>
      <c r="EQ56" s="240"/>
      <c r="ER56" s="98"/>
      <c r="ES56" s="98"/>
      <c r="ET56" s="268"/>
      <c r="EU56" s="254"/>
      <c r="EV56" s="255"/>
    </row>
    <row r="57" spans="1:152" s="93" customFormat="1">
      <c r="A57" s="95"/>
      <c r="B57" s="95"/>
      <c r="D57" s="97"/>
      <c r="E57" s="97"/>
      <c r="F57" s="97"/>
      <c r="G57" s="221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34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31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1"/>
      <c r="DF57" s="211"/>
      <c r="DG57" s="274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239"/>
      <c r="EQ57" s="240"/>
      <c r="ER57" s="98"/>
      <c r="ES57" s="98"/>
      <c r="ET57" s="268"/>
      <c r="EU57" s="254"/>
      <c r="EV57" s="255"/>
    </row>
    <row r="58" spans="1:152" s="93" customFormat="1">
      <c r="A58" s="95"/>
      <c r="B58" s="95"/>
      <c r="D58" s="97"/>
      <c r="E58" s="97"/>
      <c r="F58" s="97"/>
      <c r="G58" s="221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34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31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1"/>
      <c r="DF58" s="211"/>
      <c r="DG58" s="274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239"/>
      <c r="EQ58" s="240"/>
      <c r="ER58" s="98"/>
      <c r="ES58" s="98"/>
      <c r="ET58" s="268"/>
      <c r="EU58" s="254"/>
      <c r="EV58" s="255"/>
    </row>
    <row r="59" spans="1:152" s="93" customFormat="1">
      <c r="A59" s="95"/>
      <c r="B59" s="95"/>
      <c r="D59" s="97"/>
      <c r="E59" s="97"/>
      <c r="F59" s="97"/>
      <c r="G59" s="221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34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31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1"/>
      <c r="DF59" s="211"/>
      <c r="DG59" s="274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239"/>
      <c r="EQ59" s="240"/>
      <c r="ER59" s="98"/>
      <c r="ES59" s="98"/>
      <c r="ET59" s="268"/>
      <c r="EU59" s="254"/>
      <c r="EV59" s="255"/>
    </row>
    <row r="60" spans="1:152" s="93" customFormat="1">
      <c r="A60" s="95"/>
      <c r="B60" s="95"/>
      <c r="D60" s="97"/>
      <c r="E60" s="97"/>
      <c r="F60" s="97"/>
      <c r="G60" s="221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34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31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1"/>
      <c r="DF60" s="211"/>
      <c r="DG60" s="274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239"/>
      <c r="EQ60" s="240"/>
      <c r="ER60" s="98"/>
      <c r="ES60" s="98"/>
      <c r="ET60" s="268"/>
      <c r="EU60" s="254"/>
      <c r="EV60" s="255"/>
    </row>
    <row r="61" spans="1:152" s="93" customFormat="1">
      <c r="A61" s="95"/>
      <c r="B61" s="95"/>
      <c r="D61" s="97"/>
      <c r="E61" s="97"/>
      <c r="F61" s="97"/>
      <c r="G61" s="221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34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31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1"/>
      <c r="DF61" s="211"/>
      <c r="DG61" s="274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239"/>
      <c r="EQ61" s="240"/>
      <c r="ER61" s="98"/>
      <c r="ES61" s="98"/>
      <c r="ET61" s="268"/>
      <c r="EU61" s="254"/>
      <c r="EV61" s="255"/>
    </row>
    <row r="62" spans="1:152" s="93" customFormat="1">
      <c r="A62" s="95"/>
      <c r="B62" s="95"/>
      <c r="D62" s="97"/>
      <c r="E62" s="97"/>
      <c r="F62" s="97"/>
      <c r="G62" s="221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34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31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1"/>
      <c r="DF62" s="211"/>
      <c r="DG62" s="274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239"/>
      <c r="EQ62" s="240"/>
      <c r="ER62" s="98"/>
      <c r="ES62" s="98"/>
      <c r="ET62" s="268"/>
      <c r="EU62" s="254"/>
      <c r="EV62" s="255"/>
    </row>
    <row r="63" spans="1:152" s="93" customFormat="1">
      <c r="A63" s="95"/>
      <c r="B63" s="95"/>
      <c r="D63" s="97"/>
      <c r="E63" s="97"/>
      <c r="F63" s="97"/>
      <c r="G63" s="221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34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31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1"/>
      <c r="DF63" s="211"/>
      <c r="DG63" s="274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239"/>
      <c r="EQ63" s="240"/>
      <c r="ER63" s="98"/>
      <c r="ES63" s="98"/>
      <c r="ET63" s="268"/>
      <c r="EU63" s="254"/>
      <c r="EV63" s="255"/>
    </row>
    <row r="64" spans="1:152" s="93" customFormat="1">
      <c r="A64" s="95"/>
      <c r="B64" s="95"/>
      <c r="D64" s="97"/>
      <c r="E64" s="97"/>
      <c r="F64" s="97"/>
      <c r="G64" s="221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34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31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1"/>
      <c r="DF64" s="211"/>
      <c r="DG64" s="274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239"/>
      <c r="EQ64" s="240"/>
      <c r="ER64" s="98"/>
      <c r="ES64" s="98"/>
      <c r="ET64" s="268"/>
      <c r="EU64" s="254"/>
      <c r="EV64" s="255"/>
    </row>
    <row r="65" spans="1:152" s="93" customFormat="1">
      <c r="A65" s="95"/>
      <c r="B65" s="95"/>
      <c r="D65" s="97"/>
      <c r="E65" s="97"/>
      <c r="F65" s="97"/>
      <c r="G65" s="221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34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31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1"/>
      <c r="DF65" s="211"/>
      <c r="DG65" s="274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239"/>
      <c r="EQ65" s="240"/>
      <c r="ER65" s="98"/>
      <c r="ES65" s="98"/>
      <c r="ET65" s="268"/>
      <c r="EU65" s="254"/>
      <c r="EV65" s="255"/>
    </row>
    <row r="66" spans="1:152" s="93" customFormat="1">
      <c r="A66" s="95"/>
      <c r="B66" s="95"/>
      <c r="D66" s="97"/>
      <c r="E66" s="97"/>
      <c r="F66" s="97"/>
      <c r="G66" s="221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34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31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1"/>
      <c r="DF66" s="211"/>
      <c r="DG66" s="274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239"/>
      <c r="EQ66" s="240"/>
      <c r="ER66" s="98"/>
      <c r="ES66" s="98"/>
      <c r="ET66" s="268"/>
      <c r="EU66" s="254"/>
      <c r="EV66" s="255"/>
    </row>
    <row r="67" spans="1:152" s="93" customFormat="1">
      <c r="A67" s="95"/>
      <c r="B67" s="95"/>
      <c r="D67" s="97"/>
      <c r="E67" s="97"/>
      <c r="F67" s="97"/>
      <c r="G67" s="221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34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31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1"/>
      <c r="DF67" s="211"/>
      <c r="DG67" s="274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239"/>
      <c r="EQ67" s="240"/>
      <c r="ER67" s="98"/>
      <c r="ES67" s="98"/>
      <c r="ET67" s="268"/>
      <c r="EU67" s="254"/>
      <c r="EV67" s="255"/>
    </row>
    <row r="68" spans="1:152" s="93" customFormat="1">
      <c r="A68" s="95"/>
      <c r="B68" s="95"/>
      <c r="D68" s="97"/>
      <c r="E68" s="97"/>
      <c r="F68" s="97"/>
      <c r="G68" s="221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34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31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1"/>
      <c r="DF68" s="211"/>
      <c r="DG68" s="274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239"/>
      <c r="EQ68" s="240"/>
      <c r="ER68" s="98"/>
      <c r="ES68" s="98"/>
      <c r="ET68" s="268"/>
      <c r="EU68" s="254"/>
      <c r="EV68" s="255"/>
    </row>
    <row r="69" spans="1:152" s="93" customFormat="1">
      <c r="A69" s="95"/>
      <c r="B69" s="95"/>
      <c r="D69" s="97"/>
      <c r="E69" s="97"/>
      <c r="F69" s="97"/>
      <c r="G69" s="221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34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31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1"/>
      <c r="DF69" s="211"/>
      <c r="DG69" s="274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239"/>
      <c r="EQ69" s="240"/>
      <c r="ER69" s="98"/>
      <c r="ES69" s="98"/>
      <c r="ET69" s="268"/>
      <c r="EU69" s="254"/>
      <c r="EV69" s="255"/>
    </row>
    <row r="70" spans="1:152" s="93" customFormat="1">
      <c r="A70" s="95"/>
      <c r="B70" s="95"/>
      <c r="D70" s="97"/>
      <c r="E70" s="97"/>
      <c r="F70" s="97"/>
      <c r="G70" s="221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34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31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1"/>
      <c r="DF70" s="211"/>
      <c r="DG70" s="274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239"/>
      <c r="EQ70" s="240"/>
      <c r="ER70" s="98"/>
      <c r="ES70" s="98"/>
      <c r="ET70" s="268"/>
      <c r="EU70" s="254"/>
      <c r="EV70" s="255"/>
    </row>
    <row r="71" spans="1:152" s="93" customFormat="1">
      <c r="A71" s="95"/>
      <c r="B71" s="95"/>
      <c r="D71" s="97"/>
      <c r="E71" s="97"/>
      <c r="F71" s="97"/>
      <c r="G71" s="221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34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31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1"/>
      <c r="DF71" s="211"/>
      <c r="DG71" s="274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239"/>
      <c r="EQ71" s="240"/>
      <c r="ER71" s="98"/>
      <c r="ES71" s="98"/>
      <c r="ET71" s="268"/>
      <c r="EU71" s="254"/>
      <c r="EV71" s="255"/>
    </row>
    <row r="72" spans="1:152" s="93" customFormat="1">
      <c r="A72" s="95"/>
      <c r="B72" s="95"/>
      <c r="D72" s="97"/>
      <c r="E72" s="97"/>
      <c r="F72" s="97"/>
      <c r="G72" s="221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34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31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1"/>
      <c r="DF72" s="211"/>
      <c r="DG72" s="274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239"/>
      <c r="EQ72" s="240"/>
      <c r="ER72" s="98"/>
      <c r="ES72" s="98"/>
      <c r="ET72" s="268"/>
      <c r="EU72" s="254"/>
      <c r="EV72" s="255"/>
    </row>
    <row r="73" spans="1:152" s="93" customFormat="1">
      <c r="A73" s="95"/>
      <c r="B73" s="95"/>
      <c r="D73" s="97"/>
      <c r="E73" s="97"/>
      <c r="F73" s="97"/>
      <c r="G73" s="221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34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31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1"/>
      <c r="DF73" s="211"/>
      <c r="DG73" s="274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239"/>
      <c r="EQ73" s="240"/>
      <c r="ER73" s="98"/>
      <c r="ES73" s="98"/>
      <c r="ET73" s="268"/>
      <c r="EU73" s="254"/>
      <c r="EV73" s="255"/>
    </row>
    <row r="74" spans="1:152" s="93" customFormat="1">
      <c r="A74" s="95"/>
      <c r="B74" s="95"/>
      <c r="D74" s="97"/>
      <c r="E74" s="97"/>
      <c r="F74" s="97"/>
      <c r="G74" s="221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34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31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1"/>
      <c r="DF74" s="211"/>
      <c r="DG74" s="274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239"/>
      <c r="EQ74" s="240"/>
      <c r="ER74" s="98"/>
      <c r="ES74" s="98"/>
      <c r="ET74" s="268"/>
      <c r="EU74" s="254"/>
      <c r="EV74" s="255"/>
    </row>
    <row r="75" spans="1:152" s="93" customFormat="1">
      <c r="A75" s="95"/>
      <c r="B75" s="95"/>
      <c r="D75" s="97"/>
      <c r="E75" s="97"/>
      <c r="F75" s="97"/>
      <c r="G75" s="221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34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31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1"/>
      <c r="DF75" s="211"/>
      <c r="DG75" s="274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239"/>
      <c r="EQ75" s="240"/>
      <c r="ER75" s="98"/>
      <c r="ES75" s="98"/>
      <c r="ET75" s="268"/>
      <c r="EU75" s="254"/>
      <c r="EV75" s="255"/>
    </row>
    <row r="76" spans="1:152" s="93" customFormat="1">
      <c r="A76" s="95"/>
      <c r="B76" s="95"/>
      <c r="D76" s="97"/>
      <c r="E76" s="97"/>
      <c r="F76" s="97"/>
      <c r="G76" s="221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34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31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1"/>
      <c r="DF76" s="211"/>
      <c r="DG76" s="274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239"/>
      <c r="EQ76" s="240"/>
      <c r="ER76" s="98"/>
      <c r="ES76" s="98"/>
      <c r="ET76" s="268"/>
      <c r="EU76" s="254"/>
      <c r="EV76" s="255"/>
    </row>
    <row r="77" spans="1:152" s="93" customFormat="1">
      <c r="A77" s="95"/>
      <c r="B77" s="95"/>
      <c r="D77" s="97"/>
      <c r="E77" s="97"/>
      <c r="F77" s="97"/>
      <c r="G77" s="221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34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31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1"/>
      <c r="DF77" s="211"/>
      <c r="DG77" s="274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239"/>
      <c r="EQ77" s="240"/>
      <c r="ER77" s="98"/>
      <c r="ES77" s="98"/>
      <c r="ET77" s="268"/>
      <c r="EU77" s="254"/>
      <c r="EV77" s="255"/>
    </row>
    <row r="78" spans="1:152" s="93" customFormat="1">
      <c r="A78" s="95"/>
      <c r="B78" s="95"/>
      <c r="D78" s="97"/>
      <c r="E78" s="97"/>
      <c r="F78" s="97"/>
      <c r="G78" s="221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34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31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1"/>
      <c r="DF78" s="211"/>
      <c r="DG78" s="274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239"/>
      <c r="EQ78" s="240"/>
      <c r="ER78" s="98"/>
      <c r="ES78" s="98"/>
      <c r="ET78" s="268"/>
      <c r="EU78" s="254"/>
      <c r="EV78" s="255"/>
    </row>
    <row r="79" spans="1:152" s="93" customFormat="1">
      <c r="A79" s="95"/>
      <c r="B79" s="95"/>
      <c r="D79" s="97"/>
      <c r="E79" s="97"/>
      <c r="F79" s="97"/>
      <c r="G79" s="221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34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31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1"/>
      <c r="DF79" s="211"/>
      <c r="DG79" s="274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239"/>
      <c r="EQ79" s="240"/>
      <c r="ER79" s="98"/>
      <c r="ES79" s="98"/>
      <c r="ET79" s="268"/>
      <c r="EU79" s="254"/>
      <c r="EV79" s="255"/>
    </row>
    <row r="80" spans="1:152" s="93" customFormat="1">
      <c r="A80" s="95"/>
      <c r="B80" s="95"/>
      <c r="D80" s="97"/>
      <c r="E80" s="97"/>
      <c r="F80" s="97"/>
      <c r="G80" s="221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34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31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1"/>
      <c r="DF80" s="211"/>
      <c r="DG80" s="274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239"/>
      <c r="EQ80" s="240"/>
      <c r="ER80" s="98"/>
      <c r="ES80" s="98"/>
      <c r="ET80" s="268"/>
      <c r="EU80" s="254"/>
      <c r="EV80" s="255"/>
    </row>
    <row r="81" spans="1:152" s="93" customFormat="1">
      <c r="A81" s="95"/>
      <c r="B81" s="95"/>
      <c r="D81" s="97"/>
      <c r="E81" s="97"/>
      <c r="F81" s="97"/>
      <c r="G81" s="221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34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31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1"/>
      <c r="DF81" s="211"/>
      <c r="DG81" s="274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239"/>
      <c r="EQ81" s="240"/>
      <c r="ER81" s="98"/>
      <c r="ES81" s="98"/>
      <c r="ET81" s="268"/>
      <c r="EU81" s="254"/>
      <c r="EV81" s="255"/>
    </row>
    <row r="82" spans="1:152" s="93" customFormat="1">
      <c r="A82" s="95"/>
      <c r="B82" s="95"/>
      <c r="D82" s="97"/>
      <c r="E82" s="97"/>
      <c r="F82" s="97"/>
      <c r="G82" s="221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34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31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1"/>
      <c r="DF82" s="211"/>
      <c r="DG82" s="274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239"/>
      <c r="EQ82" s="240"/>
      <c r="ER82" s="98"/>
      <c r="ES82" s="98"/>
      <c r="ET82" s="268"/>
      <c r="EU82" s="254"/>
      <c r="EV82" s="255"/>
    </row>
    <row r="83" spans="1:152" s="93" customFormat="1">
      <c r="A83" s="95"/>
      <c r="B83" s="95"/>
      <c r="D83" s="97"/>
      <c r="E83" s="97"/>
      <c r="F83" s="97"/>
      <c r="G83" s="221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34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31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1"/>
      <c r="DF83" s="211"/>
      <c r="DG83" s="274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239"/>
      <c r="EQ83" s="240"/>
      <c r="ER83" s="98"/>
      <c r="ES83" s="98"/>
      <c r="ET83" s="268"/>
      <c r="EU83" s="254"/>
      <c r="EV83" s="255"/>
    </row>
    <row r="84" spans="1:152" s="93" customFormat="1">
      <c r="A84" s="95"/>
      <c r="B84" s="95"/>
      <c r="D84" s="97"/>
      <c r="E84" s="97"/>
      <c r="F84" s="97"/>
      <c r="G84" s="221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34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31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1"/>
      <c r="DF84" s="211"/>
      <c r="DG84" s="274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239"/>
      <c r="EQ84" s="240"/>
      <c r="ER84" s="98"/>
      <c r="ES84" s="98"/>
      <c r="ET84" s="268"/>
      <c r="EU84" s="254"/>
      <c r="EV84" s="255"/>
    </row>
    <row r="85" spans="1:152" s="93" customFormat="1">
      <c r="A85" s="95"/>
      <c r="B85" s="95"/>
      <c r="D85" s="97"/>
      <c r="E85" s="97"/>
      <c r="F85" s="97"/>
      <c r="G85" s="221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34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31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1"/>
      <c r="DF85" s="211"/>
      <c r="DG85" s="274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239"/>
      <c r="EQ85" s="240"/>
      <c r="ER85" s="98"/>
      <c r="ES85" s="98"/>
      <c r="ET85" s="268"/>
      <c r="EU85" s="254"/>
      <c r="EV85" s="255"/>
    </row>
    <row r="86" spans="1:152" s="93" customFormat="1">
      <c r="A86" s="95"/>
      <c r="B86" s="95"/>
      <c r="D86" s="97"/>
      <c r="E86" s="97"/>
      <c r="F86" s="97"/>
      <c r="G86" s="221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34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31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1"/>
      <c r="DF86" s="211"/>
      <c r="DG86" s="274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239"/>
      <c r="EQ86" s="240"/>
      <c r="ER86" s="98"/>
      <c r="ES86" s="98"/>
      <c r="ET86" s="268"/>
      <c r="EU86" s="254"/>
      <c r="EV86" s="255"/>
    </row>
    <row r="87" spans="1:152" s="93" customFormat="1">
      <c r="A87" s="95"/>
      <c r="B87" s="95"/>
      <c r="D87" s="97"/>
      <c r="E87" s="97"/>
      <c r="F87" s="97"/>
      <c r="G87" s="221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34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31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1"/>
      <c r="DF87" s="211"/>
      <c r="DG87" s="274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239"/>
      <c r="EQ87" s="240"/>
      <c r="ER87" s="98"/>
      <c r="ES87" s="98"/>
      <c r="ET87" s="268"/>
      <c r="EU87" s="254"/>
      <c r="EV87" s="255"/>
    </row>
    <row r="88" spans="1:152" s="93" customFormat="1">
      <c r="A88" s="95"/>
      <c r="B88" s="95"/>
      <c r="D88" s="97"/>
      <c r="E88" s="97"/>
      <c r="F88" s="97"/>
      <c r="G88" s="221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34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31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1"/>
      <c r="DF88" s="211"/>
      <c r="DG88" s="274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239"/>
      <c r="EQ88" s="240"/>
      <c r="ER88" s="98"/>
      <c r="ES88" s="98"/>
      <c r="ET88" s="268"/>
      <c r="EU88" s="254"/>
      <c r="EV88" s="255"/>
    </row>
    <row r="89" spans="1:152" s="93" customFormat="1">
      <c r="A89" s="95"/>
      <c r="B89" s="95"/>
      <c r="D89" s="97"/>
      <c r="E89" s="97"/>
      <c r="F89" s="97"/>
      <c r="G89" s="221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34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31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1"/>
      <c r="DF89" s="211"/>
      <c r="DG89" s="274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239"/>
      <c r="EQ89" s="240"/>
      <c r="ER89" s="98"/>
      <c r="ES89" s="98"/>
      <c r="ET89" s="268"/>
      <c r="EU89" s="254"/>
      <c r="EV89" s="255"/>
    </row>
    <row r="90" spans="1:152" s="93" customFormat="1">
      <c r="A90" s="95"/>
      <c r="B90" s="95"/>
      <c r="D90" s="97"/>
      <c r="E90" s="97"/>
      <c r="F90" s="97"/>
      <c r="G90" s="221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34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31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1"/>
      <c r="DF90" s="211"/>
      <c r="DG90" s="274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239"/>
      <c r="EQ90" s="240"/>
      <c r="ER90" s="98"/>
      <c r="ES90" s="98"/>
      <c r="ET90" s="268"/>
      <c r="EU90" s="254"/>
      <c r="EV90" s="255"/>
    </row>
    <row r="91" spans="1:152" s="93" customFormat="1">
      <c r="A91" s="95"/>
      <c r="B91" s="95"/>
      <c r="D91" s="97"/>
      <c r="E91" s="97"/>
      <c r="F91" s="97"/>
      <c r="G91" s="221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34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31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1"/>
      <c r="DF91" s="211"/>
      <c r="DG91" s="274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239"/>
      <c r="EQ91" s="240"/>
      <c r="ER91" s="98"/>
      <c r="ES91" s="98"/>
      <c r="ET91" s="268"/>
      <c r="EU91" s="254"/>
      <c r="EV91" s="255"/>
    </row>
    <row r="92" spans="1:152" s="93" customFormat="1">
      <c r="A92" s="95"/>
      <c r="B92" s="95"/>
      <c r="D92" s="97"/>
      <c r="E92" s="97"/>
      <c r="F92" s="97"/>
      <c r="G92" s="221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34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31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1"/>
      <c r="DF92" s="211"/>
      <c r="DG92" s="274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239"/>
      <c r="EQ92" s="240"/>
      <c r="ER92" s="98"/>
      <c r="ES92" s="98"/>
      <c r="ET92" s="268"/>
      <c r="EU92" s="254"/>
      <c r="EV92" s="255"/>
    </row>
    <row r="93" spans="1:152" s="93" customFormat="1">
      <c r="A93" s="95"/>
      <c r="B93" s="95"/>
      <c r="D93" s="97"/>
      <c r="E93" s="97"/>
      <c r="F93" s="97"/>
      <c r="G93" s="221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34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31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1"/>
      <c r="DF93" s="211"/>
      <c r="DG93" s="274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239"/>
      <c r="EQ93" s="240"/>
      <c r="ER93" s="98"/>
      <c r="ES93" s="98"/>
      <c r="ET93" s="268"/>
      <c r="EU93" s="254"/>
      <c r="EV93" s="255"/>
    </row>
    <row r="94" spans="1:152" s="93" customFormat="1">
      <c r="A94" s="95"/>
      <c r="B94" s="95"/>
      <c r="D94" s="97"/>
      <c r="E94" s="97"/>
      <c r="F94" s="97"/>
      <c r="G94" s="221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34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31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1"/>
      <c r="DF94" s="211"/>
      <c r="DG94" s="274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239"/>
      <c r="EQ94" s="240"/>
      <c r="ER94" s="98"/>
      <c r="ES94" s="98"/>
      <c r="ET94" s="268"/>
      <c r="EU94" s="254"/>
      <c r="EV94" s="255"/>
    </row>
    <row r="95" spans="1:152" s="93" customFormat="1">
      <c r="A95" s="95"/>
      <c r="B95" s="95"/>
      <c r="D95" s="97"/>
      <c r="E95" s="97"/>
      <c r="F95" s="97"/>
      <c r="G95" s="221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34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31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1"/>
      <c r="DF95" s="211"/>
      <c r="DG95" s="274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239"/>
      <c r="EQ95" s="240"/>
      <c r="ER95" s="98"/>
      <c r="ES95" s="98"/>
      <c r="ET95" s="268"/>
      <c r="EU95" s="254"/>
      <c r="EV95" s="255"/>
    </row>
    <row r="96" spans="1:152" s="93" customFormat="1">
      <c r="A96" s="95"/>
      <c r="B96" s="95"/>
      <c r="D96" s="97"/>
      <c r="E96" s="97"/>
      <c r="F96" s="97"/>
      <c r="G96" s="221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34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31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1"/>
      <c r="DF96" s="211"/>
      <c r="DG96" s="274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239"/>
      <c r="EQ96" s="240"/>
      <c r="ER96" s="98"/>
      <c r="ES96" s="98"/>
      <c r="ET96" s="268"/>
      <c r="EU96" s="254"/>
      <c r="EV96" s="255"/>
    </row>
    <row r="97" spans="1:152" s="93" customFormat="1">
      <c r="A97" s="95"/>
      <c r="B97" s="95"/>
      <c r="D97" s="97"/>
      <c r="E97" s="97"/>
      <c r="F97" s="97"/>
      <c r="G97" s="221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34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31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1"/>
      <c r="DF97" s="211"/>
      <c r="DG97" s="274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239"/>
      <c r="EQ97" s="240"/>
      <c r="ER97" s="98"/>
      <c r="ES97" s="98"/>
      <c r="ET97" s="268"/>
      <c r="EU97" s="254"/>
      <c r="EV97" s="255"/>
    </row>
    <row r="98" spans="1:152" s="93" customFormat="1">
      <c r="A98" s="95"/>
      <c r="B98" s="95"/>
      <c r="D98" s="97"/>
      <c r="E98" s="97"/>
      <c r="F98" s="97"/>
      <c r="G98" s="221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34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31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1"/>
      <c r="DF98" s="211"/>
      <c r="DG98" s="274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239"/>
      <c r="EQ98" s="240"/>
      <c r="ER98" s="98"/>
      <c r="ES98" s="98"/>
      <c r="ET98" s="268"/>
      <c r="EU98" s="254"/>
      <c r="EV98" s="255"/>
    </row>
    <row r="99" spans="1:152" s="93" customFormat="1">
      <c r="A99" s="95"/>
      <c r="B99" s="95"/>
      <c r="D99" s="97"/>
      <c r="E99" s="97"/>
      <c r="F99" s="97"/>
      <c r="G99" s="221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34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31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1"/>
      <c r="DF99" s="211"/>
      <c r="DG99" s="274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239"/>
      <c r="EQ99" s="240"/>
      <c r="ER99" s="98"/>
      <c r="ES99" s="98"/>
      <c r="ET99" s="268"/>
      <c r="EU99" s="254"/>
      <c r="EV99" s="255"/>
    </row>
    <row r="100" spans="1:152" s="93" customFormat="1">
      <c r="A100" s="95"/>
      <c r="B100" s="95"/>
      <c r="D100" s="97"/>
      <c r="E100" s="97"/>
      <c r="F100" s="97"/>
      <c r="G100" s="221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34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31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1"/>
      <c r="DF100" s="211"/>
      <c r="DG100" s="274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239"/>
      <c r="EQ100" s="240"/>
      <c r="ER100" s="98"/>
      <c r="ES100" s="98"/>
      <c r="ET100" s="268"/>
      <c r="EU100" s="254"/>
      <c r="EV100" s="255"/>
    </row>
    <row r="101" spans="1:152" s="93" customFormat="1">
      <c r="A101" s="95"/>
      <c r="B101" s="95"/>
      <c r="D101" s="97"/>
      <c r="E101" s="97"/>
      <c r="F101" s="97"/>
      <c r="G101" s="221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34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31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1"/>
      <c r="DF101" s="211"/>
      <c r="DG101" s="274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239"/>
      <c r="EQ101" s="240"/>
      <c r="ER101" s="98"/>
      <c r="ES101" s="98"/>
      <c r="ET101" s="268"/>
      <c r="EU101" s="254"/>
      <c r="EV101" s="255"/>
    </row>
    <row r="102" spans="1:152" s="93" customFormat="1">
      <c r="A102" s="95"/>
      <c r="B102" s="95"/>
      <c r="D102" s="97"/>
      <c r="E102" s="97"/>
      <c r="F102" s="97"/>
      <c r="G102" s="221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34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31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1"/>
      <c r="DF102" s="211"/>
      <c r="DG102" s="274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239"/>
      <c r="EQ102" s="240"/>
      <c r="ER102" s="98"/>
      <c r="ES102" s="98"/>
      <c r="ET102" s="268"/>
      <c r="EU102" s="254"/>
      <c r="EV102" s="255"/>
    </row>
    <row r="103" spans="1:152" s="93" customFormat="1">
      <c r="A103" s="95"/>
      <c r="B103" s="95"/>
      <c r="D103" s="97"/>
      <c r="E103" s="97"/>
      <c r="F103" s="97"/>
      <c r="G103" s="221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34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31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1"/>
      <c r="DF103" s="211"/>
      <c r="DG103" s="274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239"/>
      <c r="EQ103" s="240"/>
      <c r="ER103" s="98"/>
      <c r="ES103" s="98"/>
      <c r="ET103" s="268"/>
      <c r="EU103" s="254"/>
      <c r="EV103" s="255"/>
    </row>
    <row r="104" spans="1:152" s="93" customFormat="1">
      <c r="A104" s="95"/>
      <c r="B104" s="95"/>
      <c r="D104" s="97"/>
      <c r="E104" s="97"/>
      <c r="F104" s="97"/>
      <c r="G104" s="221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34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31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1"/>
      <c r="DF104" s="211"/>
      <c r="DG104" s="274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239"/>
      <c r="EQ104" s="240"/>
      <c r="ER104" s="98"/>
      <c r="ES104" s="98"/>
      <c r="ET104" s="268"/>
      <c r="EU104" s="254"/>
      <c r="EV104" s="255"/>
    </row>
    <row r="105" spans="1:152" s="93" customFormat="1">
      <c r="A105" s="95"/>
      <c r="B105" s="95"/>
      <c r="D105" s="97"/>
      <c r="E105" s="97"/>
      <c r="F105" s="97"/>
      <c r="G105" s="221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34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31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1"/>
      <c r="DF105" s="211"/>
      <c r="DG105" s="274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239"/>
      <c r="EQ105" s="240"/>
      <c r="ER105" s="98"/>
      <c r="ES105" s="98"/>
      <c r="ET105" s="268"/>
      <c r="EU105" s="254"/>
      <c r="EV105" s="255"/>
    </row>
    <row r="106" spans="1:152" s="93" customFormat="1">
      <c r="A106" s="95"/>
      <c r="B106" s="95"/>
      <c r="D106" s="97"/>
      <c r="E106" s="97"/>
      <c r="F106" s="97"/>
      <c r="G106" s="221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34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31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1"/>
      <c r="DF106" s="211"/>
      <c r="DG106" s="274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239"/>
      <c r="EQ106" s="240"/>
      <c r="ER106" s="98"/>
      <c r="ES106" s="98"/>
      <c r="ET106" s="268"/>
      <c r="EU106" s="254"/>
      <c r="EV106" s="255"/>
    </row>
    <row r="107" spans="1:152" s="93" customFormat="1">
      <c r="A107" s="95"/>
      <c r="B107" s="95"/>
      <c r="D107" s="97"/>
      <c r="E107" s="97"/>
      <c r="F107" s="97"/>
      <c r="G107" s="221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34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31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1"/>
      <c r="DF107" s="211"/>
      <c r="DG107" s="274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239"/>
      <c r="EQ107" s="240"/>
      <c r="ER107" s="98"/>
      <c r="ES107" s="98"/>
      <c r="ET107" s="268"/>
      <c r="EU107" s="254"/>
      <c r="EV107" s="255"/>
    </row>
    <row r="108" spans="1:152" s="93" customFormat="1">
      <c r="A108" s="95"/>
      <c r="B108" s="95"/>
      <c r="D108" s="97"/>
      <c r="E108" s="97"/>
      <c r="F108" s="97"/>
      <c r="G108" s="221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34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31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1"/>
      <c r="DF108" s="211"/>
      <c r="DG108" s="274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239"/>
      <c r="EQ108" s="240"/>
      <c r="ER108" s="98"/>
      <c r="ES108" s="98"/>
      <c r="ET108" s="268"/>
      <c r="EU108" s="254"/>
      <c r="EV108" s="255"/>
    </row>
    <row r="109" spans="1:152" s="93" customFormat="1">
      <c r="A109" s="95"/>
      <c r="B109" s="95"/>
      <c r="D109" s="97"/>
      <c r="E109" s="97"/>
      <c r="F109" s="97"/>
      <c r="G109" s="221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34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31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1"/>
      <c r="DF109" s="211"/>
      <c r="DG109" s="274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239"/>
      <c r="EQ109" s="240"/>
      <c r="ER109" s="98"/>
      <c r="ES109" s="98"/>
      <c r="ET109" s="268"/>
      <c r="EU109" s="254"/>
      <c r="EV109" s="255"/>
    </row>
    <row r="110" spans="1:152" s="93" customFormat="1">
      <c r="A110" s="95"/>
      <c r="B110" s="95"/>
      <c r="D110" s="97"/>
      <c r="E110" s="97"/>
      <c r="F110" s="97"/>
      <c r="G110" s="221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34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31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1"/>
      <c r="DF110" s="211"/>
      <c r="DG110" s="274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239"/>
      <c r="EQ110" s="240"/>
      <c r="ER110" s="98"/>
      <c r="ES110" s="98"/>
      <c r="ET110" s="268"/>
      <c r="EU110" s="254"/>
      <c r="EV110" s="255"/>
    </row>
    <row r="111" spans="1:152" s="93" customFormat="1">
      <c r="A111" s="95"/>
      <c r="B111" s="95"/>
      <c r="D111" s="97"/>
      <c r="E111" s="97"/>
      <c r="F111" s="97"/>
      <c r="G111" s="221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34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31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1"/>
      <c r="DF111" s="211"/>
      <c r="DG111" s="274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239"/>
      <c r="EQ111" s="240"/>
      <c r="ER111" s="98"/>
      <c r="ES111" s="98"/>
      <c r="ET111" s="268"/>
      <c r="EU111" s="254"/>
      <c r="EV111" s="255"/>
    </row>
    <row r="112" spans="1:152" s="93" customFormat="1">
      <c r="A112" s="95"/>
      <c r="B112" s="95"/>
      <c r="D112" s="97"/>
      <c r="E112" s="97"/>
      <c r="F112" s="97"/>
      <c r="G112" s="221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34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31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1"/>
      <c r="DF112" s="211"/>
      <c r="DG112" s="274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239"/>
      <c r="EQ112" s="240"/>
      <c r="ER112" s="98"/>
      <c r="ES112" s="98"/>
      <c r="ET112" s="268"/>
      <c r="EU112" s="254"/>
      <c r="EV112" s="255"/>
    </row>
    <row r="113" spans="1:152" s="93" customFormat="1">
      <c r="A113" s="95"/>
      <c r="B113" s="95"/>
      <c r="D113" s="97"/>
      <c r="E113" s="97"/>
      <c r="F113" s="97"/>
      <c r="G113" s="221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34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31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1"/>
      <c r="DF113" s="211"/>
      <c r="DG113" s="274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239"/>
      <c r="EQ113" s="240"/>
      <c r="ER113" s="98"/>
      <c r="ES113" s="98"/>
      <c r="ET113" s="268"/>
      <c r="EU113" s="254"/>
      <c r="EV113" s="255"/>
    </row>
    <row r="114" spans="1:152" s="93" customFormat="1">
      <c r="A114" s="95"/>
      <c r="B114" s="95"/>
      <c r="D114" s="97"/>
      <c r="E114" s="97"/>
      <c r="F114" s="97"/>
      <c r="G114" s="221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34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31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1"/>
      <c r="DF114" s="211"/>
      <c r="DG114" s="274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239"/>
      <c r="EQ114" s="240"/>
      <c r="ER114" s="98"/>
      <c r="ES114" s="98"/>
      <c r="ET114" s="268"/>
      <c r="EU114" s="254"/>
      <c r="EV114" s="255"/>
    </row>
    <row r="115" spans="1:152" s="93" customFormat="1">
      <c r="A115" s="95"/>
      <c r="B115" s="95"/>
      <c r="D115" s="97"/>
      <c r="E115" s="97"/>
      <c r="F115" s="97"/>
      <c r="G115" s="221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34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31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1"/>
      <c r="DF115" s="211"/>
      <c r="DG115" s="274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239"/>
      <c r="EQ115" s="240"/>
      <c r="ER115" s="98"/>
      <c r="ES115" s="98"/>
      <c r="ET115" s="268"/>
      <c r="EU115" s="254"/>
      <c r="EV115" s="255"/>
    </row>
    <row r="116" spans="1:152" s="93" customFormat="1">
      <c r="A116" s="95"/>
      <c r="B116" s="95"/>
      <c r="D116" s="97"/>
      <c r="E116" s="97"/>
      <c r="F116" s="97"/>
      <c r="G116" s="221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34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31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1"/>
      <c r="DF116" s="211"/>
      <c r="DG116" s="274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239"/>
      <c r="EQ116" s="240"/>
      <c r="ER116" s="98"/>
      <c r="ES116" s="98"/>
      <c r="ET116" s="268"/>
      <c r="EU116" s="254"/>
      <c r="EV116" s="255"/>
    </row>
    <row r="117" spans="1:152" s="93" customFormat="1">
      <c r="A117" s="95"/>
      <c r="B117" s="95"/>
      <c r="D117" s="97"/>
      <c r="E117" s="97"/>
      <c r="F117" s="97"/>
      <c r="G117" s="221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34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31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1"/>
      <c r="DF117" s="211"/>
      <c r="DG117" s="274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239"/>
      <c r="EQ117" s="240"/>
      <c r="ER117" s="98"/>
      <c r="ES117" s="98"/>
      <c r="ET117" s="268"/>
      <c r="EU117" s="254"/>
      <c r="EV117" s="255"/>
    </row>
    <row r="118" spans="1:152" s="93" customFormat="1">
      <c r="A118" s="95"/>
      <c r="B118" s="95"/>
      <c r="D118" s="97"/>
      <c r="E118" s="97"/>
      <c r="F118" s="97"/>
      <c r="G118" s="221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34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31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1"/>
      <c r="DF118" s="211"/>
      <c r="DG118" s="274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239"/>
      <c r="EQ118" s="240"/>
      <c r="ER118" s="98"/>
      <c r="ES118" s="98"/>
      <c r="ET118" s="268"/>
      <c r="EU118" s="254"/>
      <c r="EV118" s="255"/>
    </row>
    <row r="119" spans="1:152" s="93" customFormat="1">
      <c r="A119" s="95"/>
      <c r="B119" s="95"/>
      <c r="D119" s="97"/>
      <c r="E119" s="97"/>
      <c r="F119" s="97"/>
      <c r="G119" s="221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34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31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1"/>
      <c r="DF119" s="211"/>
      <c r="DG119" s="274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239"/>
      <c r="EQ119" s="240"/>
      <c r="ER119" s="98"/>
      <c r="ES119" s="98"/>
      <c r="ET119" s="268"/>
      <c r="EU119" s="254"/>
      <c r="EV119" s="255"/>
    </row>
    <row r="120" spans="1:152" s="93" customFormat="1">
      <c r="A120" s="95"/>
      <c r="B120" s="95"/>
      <c r="D120" s="97"/>
      <c r="E120" s="97"/>
      <c r="F120" s="97"/>
      <c r="G120" s="221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34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31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1"/>
      <c r="DF120" s="211"/>
      <c r="DG120" s="274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239"/>
      <c r="EQ120" s="240"/>
      <c r="ER120" s="98"/>
      <c r="ES120" s="98"/>
      <c r="ET120" s="268"/>
      <c r="EU120" s="254"/>
      <c r="EV120" s="255"/>
    </row>
    <row r="121" spans="1:152" s="93" customFormat="1">
      <c r="A121" s="95"/>
      <c r="B121" s="95"/>
      <c r="D121" s="97"/>
      <c r="E121" s="97"/>
      <c r="F121" s="97"/>
      <c r="G121" s="221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34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31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1"/>
      <c r="DF121" s="211"/>
      <c r="DG121" s="274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239"/>
      <c r="EQ121" s="240"/>
      <c r="ER121" s="98"/>
      <c r="ES121" s="98"/>
      <c r="ET121" s="268"/>
      <c r="EU121" s="254"/>
      <c r="EV121" s="255"/>
    </row>
    <row r="122" spans="1:152" s="93" customFormat="1">
      <c r="A122" s="95"/>
      <c r="B122" s="95"/>
      <c r="D122" s="97"/>
      <c r="E122" s="97"/>
      <c r="F122" s="97"/>
      <c r="G122" s="221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34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31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1"/>
      <c r="DF122" s="211"/>
      <c r="DG122" s="274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239"/>
      <c r="EQ122" s="240"/>
      <c r="ER122" s="98"/>
      <c r="ES122" s="98"/>
      <c r="ET122" s="268"/>
      <c r="EU122" s="254"/>
      <c r="EV122" s="255"/>
    </row>
    <row r="123" spans="1:152" s="93" customFormat="1">
      <c r="A123" s="95"/>
      <c r="B123" s="95"/>
      <c r="D123" s="97"/>
      <c r="E123" s="97"/>
      <c r="F123" s="97"/>
      <c r="G123" s="221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34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31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1"/>
      <c r="DF123" s="211"/>
      <c r="DG123" s="274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239"/>
      <c r="EQ123" s="240"/>
      <c r="ER123" s="98"/>
      <c r="ES123" s="98"/>
      <c r="ET123" s="268"/>
      <c r="EU123" s="254"/>
      <c r="EV123" s="255"/>
    </row>
    <row r="124" spans="1:152" s="93" customFormat="1">
      <c r="A124" s="95"/>
      <c r="B124" s="95"/>
      <c r="D124" s="97"/>
      <c r="E124" s="97"/>
      <c r="F124" s="97"/>
      <c r="G124" s="221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34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31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1"/>
      <c r="DF124" s="211"/>
      <c r="DG124" s="274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239"/>
      <c r="EQ124" s="240"/>
      <c r="ER124" s="98"/>
      <c r="ES124" s="98"/>
      <c r="ET124" s="268"/>
      <c r="EU124" s="254"/>
      <c r="EV124" s="255"/>
    </row>
    <row r="125" spans="1:152" s="93" customFormat="1">
      <c r="A125" s="95"/>
      <c r="B125" s="95"/>
      <c r="D125" s="97"/>
      <c r="E125" s="97"/>
      <c r="F125" s="97"/>
      <c r="G125" s="221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34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31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1"/>
      <c r="DF125" s="211"/>
      <c r="DG125" s="274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239"/>
      <c r="EQ125" s="240"/>
      <c r="ER125" s="98"/>
      <c r="ES125" s="98"/>
      <c r="ET125" s="268"/>
      <c r="EU125" s="254"/>
      <c r="EV125" s="255"/>
    </row>
    <row r="126" spans="1:152" s="93" customFormat="1">
      <c r="A126" s="95"/>
      <c r="B126" s="95"/>
      <c r="D126" s="97"/>
      <c r="E126" s="97"/>
      <c r="F126" s="97"/>
      <c r="G126" s="221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34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31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1"/>
      <c r="DF126" s="211"/>
      <c r="DG126" s="274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239"/>
      <c r="EQ126" s="240"/>
      <c r="ER126" s="98"/>
      <c r="ES126" s="98"/>
      <c r="ET126" s="268"/>
      <c r="EU126" s="254"/>
      <c r="EV126" s="255"/>
    </row>
    <row r="127" spans="1:152" s="93" customFormat="1">
      <c r="A127" s="95"/>
      <c r="B127" s="95"/>
      <c r="D127" s="97"/>
      <c r="E127" s="97"/>
      <c r="F127" s="97"/>
      <c r="G127" s="221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34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31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1"/>
      <c r="DF127" s="211"/>
      <c r="DG127" s="274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239"/>
      <c r="EQ127" s="240"/>
      <c r="ER127" s="98"/>
      <c r="ES127" s="98"/>
      <c r="ET127" s="268"/>
      <c r="EU127" s="254"/>
      <c r="EV127" s="255"/>
    </row>
    <row r="128" spans="1:152" s="93" customFormat="1">
      <c r="A128" s="95"/>
      <c r="B128" s="95"/>
      <c r="D128" s="97"/>
      <c r="E128" s="97"/>
      <c r="F128" s="97"/>
      <c r="G128" s="221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34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31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1"/>
      <c r="DF128" s="211"/>
      <c r="DG128" s="274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239"/>
      <c r="EQ128" s="240"/>
      <c r="ER128" s="98"/>
      <c r="ES128" s="98"/>
      <c r="ET128" s="268"/>
      <c r="EU128" s="254"/>
      <c r="EV128" s="255"/>
    </row>
    <row r="129" spans="1:152" s="93" customFormat="1">
      <c r="A129" s="95"/>
      <c r="B129" s="95"/>
      <c r="D129" s="97"/>
      <c r="E129" s="97"/>
      <c r="F129" s="97"/>
      <c r="G129" s="221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34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31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1"/>
      <c r="DF129" s="211"/>
      <c r="DG129" s="274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239"/>
      <c r="EQ129" s="240"/>
      <c r="ER129" s="98"/>
      <c r="ES129" s="98"/>
      <c r="ET129" s="268"/>
      <c r="EU129" s="254"/>
      <c r="EV129" s="255"/>
    </row>
    <row r="130" spans="1:152" s="93" customFormat="1">
      <c r="A130" s="95"/>
      <c r="B130" s="95"/>
      <c r="D130" s="97"/>
      <c r="E130" s="97"/>
      <c r="F130" s="97"/>
      <c r="G130" s="221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34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31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1"/>
      <c r="DF130" s="211"/>
      <c r="DG130" s="274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239"/>
      <c r="EQ130" s="240"/>
      <c r="ER130" s="98"/>
      <c r="ES130" s="98"/>
      <c r="ET130" s="268"/>
      <c r="EU130" s="254"/>
      <c r="EV130" s="255"/>
    </row>
    <row r="131" spans="1:152" s="93" customFormat="1">
      <c r="A131" s="95"/>
      <c r="B131" s="95"/>
      <c r="D131" s="97"/>
      <c r="E131" s="97"/>
      <c r="F131" s="97"/>
      <c r="G131" s="221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34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31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1"/>
      <c r="DF131" s="211"/>
      <c r="DG131" s="274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239"/>
      <c r="EQ131" s="240"/>
      <c r="ER131" s="98"/>
      <c r="ES131" s="98"/>
      <c r="ET131" s="268"/>
      <c r="EU131" s="254"/>
      <c r="EV131" s="255"/>
    </row>
    <row r="132" spans="1:152" s="93" customFormat="1">
      <c r="A132" s="95"/>
      <c r="B132" s="95"/>
      <c r="D132" s="97"/>
      <c r="E132" s="97"/>
      <c r="F132" s="97"/>
      <c r="G132" s="221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34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31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1"/>
      <c r="DF132" s="211"/>
      <c r="DG132" s="274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239"/>
      <c r="EQ132" s="240"/>
      <c r="ER132" s="98"/>
      <c r="ES132" s="98"/>
      <c r="ET132" s="268"/>
      <c r="EU132" s="254"/>
      <c r="EV132" s="255"/>
    </row>
    <row r="133" spans="1:152" s="93" customFormat="1">
      <c r="A133" s="95"/>
      <c r="B133" s="95"/>
      <c r="D133" s="97"/>
      <c r="E133" s="97"/>
      <c r="F133" s="97"/>
      <c r="G133" s="221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34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31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1"/>
      <c r="DF133" s="211"/>
      <c r="DG133" s="274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239"/>
      <c r="EQ133" s="240"/>
      <c r="ER133" s="98"/>
      <c r="ES133" s="98"/>
      <c r="ET133" s="268"/>
      <c r="EU133" s="254"/>
      <c r="EV133" s="255"/>
    </row>
    <row r="134" spans="1:152" s="93" customFormat="1">
      <c r="A134" s="95"/>
      <c r="B134" s="95"/>
      <c r="D134" s="97"/>
      <c r="E134" s="97"/>
      <c r="F134" s="97"/>
      <c r="G134" s="221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34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31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1"/>
      <c r="DF134" s="211"/>
      <c r="DG134" s="274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239"/>
      <c r="EQ134" s="240"/>
      <c r="ER134" s="98"/>
      <c r="ES134" s="98"/>
      <c r="ET134" s="268"/>
      <c r="EU134" s="254"/>
      <c r="EV134" s="255"/>
    </row>
    <row r="135" spans="1:152" s="93" customFormat="1">
      <c r="A135" s="95"/>
      <c r="B135" s="95"/>
      <c r="D135" s="97"/>
      <c r="E135" s="97"/>
      <c r="F135" s="97"/>
      <c r="G135" s="221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34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31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1"/>
      <c r="DF135" s="211"/>
      <c r="DG135" s="274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239"/>
      <c r="EQ135" s="240"/>
      <c r="ER135" s="98"/>
      <c r="ES135" s="98"/>
      <c r="ET135" s="268"/>
      <c r="EU135" s="254"/>
      <c r="EV135" s="255"/>
    </row>
    <row r="136" spans="1:152" s="93" customFormat="1">
      <c r="A136" s="95"/>
      <c r="B136" s="95"/>
      <c r="D136" s="97"/>
      <c r="E136" s="97"/>
      <c r="F136" s="97"/>
      <c r="G136" s="221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34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31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1"/>
      <c r="DF136" s="211"/>
      <c r="DG136" s="274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239"/>
      <c r="EQ136" s="240"/>
      <c r="ER136" s="98"/>
      <c r="ES136" s="98"/>
      <c r="ET136" s="268"/>
      <c r="EU136" s="254"/>
      <c r="EV136" s="255"/>
    </row>
    <row r="137" spans="1:152" s="93" customFormat="1">
      <c r="A137" s="95"/>
      <c r="B137" s="95"/>
      <c r="D137" s="97"/>
      <c r="E137" s="97"/>
      <c r="F137" s="97"/>
      <c r="G137" s="221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34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31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1"/>
      <c r="DF137" s="211"/>
      <c r="DG137" s="274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239"/>
      <c r="EQ137" s="240"/>
      <c r="ER137" s="98"/>
      <c r="ES137" s="98"/>
      <c r="ET137" s="268"/>
      <c r="EU137" s="254"/>
      <c r="EV137" s="255"/>
    </row>
    <row r="138" spans="1:152" s="93" customFormat="1">
      <c r="A138" s="95"/>
      <c r="B138" s="95"/>
      <c r="D138" s="97"/>
      <c r="E138" s="97"/>
      <c r="F138" s="97"/>
      <c r="G138" s="221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34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31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1"/>
      <c r="DF138" s="211"/>
      <c r="DG138" s="274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239"/>
      <c r="EQ138" s="240"/>
      <c r="ER138" s="98"/>
      <c r="ES138" s="98"/>
      <c r="ET138" s="268"/>
      <c r="EU138" s="254"/>
      <c r="EV138" s="255"/>
    </row>
    <row r="139" spans="1:152" s="93" customFormat="1">
      <c r="A139" s="95"/>
      <c r="B139" s="95"/>
      <c r="D139" s="97"/>
      <c r="E139" s="97"/>
      <c r="F139" s="97"/>
      <c r="G139" s="221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34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31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1"/>
      <c r="DF139" s="211"/>
      <c r="DG139" s="274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239"/>
      <c r="EQ139" s="240"/>
      <c r="ER139" s="98"/>
      <c r="ES139" s="98"/>
      <c r="ET139" s="268"/>
      <c r="EU139" s="254"/>
      <c r="EV139" s="255"/>
    </row>
    <row r="140" spans="1:152" s="93" customFormat="1">
      <c r="A140" s="95"/>
      <c r="B140" s="95"/>
      <c r="D140" s="97"/>
      <c r="E140" s="97"/>
      <c r="F140" s="97"/>
      <c r="G140" s="221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34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31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1"/>
      <c r="DF140" s="211"/>
      <c r="DG140" s="274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239"/>
      <c r="EQ140" s="240"/>
      <c r="ER140" s="98"/>
      <c r="ES140" s="98"/>
      <c r="ET140" s="268"/>
      <c r="EU140" s="254"/>
      <c r="EV140" s="255"/>
    </row>
    <row r="141" spans="1:152" s="93" customFormat="1">
      <c r="A141" s="95"/>
      <c r="B141" s="95"/>
      <c r="D141" s="97"/>
      <c r="E141" s="97"/>
      <c r="F141" s="97"/>
      <c r="G141" s="221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34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31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1"/>
      <c r="DF141" s="211"/>
      <c r="DG141" s="274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239"/>
      <c r="EQ141" s="240"/>
      <c r="ER141" s="98"/>
      <c r="ES141" s="98"/>
      <c r="ET141" s="268"/>
      <c r="EU141" s="254"/>
      <c r="EV141" s="255"/>
    </row>
    <row r="142" spans="1:152" s="93" customFormat="1">
      <c r="A142" s="95"/>
      <c r="B142" s="95"/>
      <c r="D142" s="97"/>
      <c r="E142" s="97"/>
      <c r="F142" s="97"/>
      <c r="G142" s="221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34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31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1"/>
      <c r="DF142" s="211"/>
      <c r="DG142" s="274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239"/>
      <c r="EQ142" s="240"/>
      <c r="ER142" s="98"/>
      <c r="ES142" s="98"/>
      <c r="ET142" s="268"/>
      <c r="EU142" s="254"/>
      <c r="EV142" s="255"/>
    </row>
    <row r="143" spans="1:152" s="93" customFormat="1">
      <c r="A143" s="95"/>
      <c r="B143" s="95"/>
      <c r="D143" s="97"/>
      <c r="E143" s="97"/>
      <c r="F143" s="97"/>
      <c r="G143" s="221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34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31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1"/>
      <c r="DF143" s="211"/>
      <c r="DG143" s="274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239"/>
      <c r="EQ143" s="240"/>
      <c r="ER143" s="98"/>
      <c r="ES143" s="98"/>
      <c r="ET143" s="268"/>
      <c r="EU143" s="254"/>
      <c r="EV143" s="255"/>
    </row>
    <row r="144" spans="1:152" s="93" customFormat="1">
      <c r="A144" s="95"/>
      <c r="B144" s="95"/>
      <c r="D144" s="97"/>
      <c r="E144" s="97"/>
      <c r="F144" s="97"/>
      <c r="G144" s="221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34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31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1"/>
      <c r="DF144" s="211"/>
      <c r="DG144" s="274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239"/>
      <c r="EQ144" s="240"/>
      <c r="ER144" s="98"/>
      <c r="ES144" s="98"/>
      <c r="ET144" s="268"/>
      <c r="EU144" s="254"/>
      <c r="EV144" s="255"/>
    </row>
    <row r="145" spans="1:152" s="93" customFormat="1">
      <c r="A145" s="95"/>
      <c r="B145" s="95"/>
      <c r="D145" s="97"/>
      <c r="E145" s="97"/>
      <c r="F145" s="97"/>
      <c r="G145" s="221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34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31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1"/>
      <c r="DF145" s="211"/>
      <c r="DG145" s="274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239"/>
      <c r="EQ145" s="240"/>
      <c r="ER145" s="98"/>
      <c r="ES145" s="98"/>
      <c r="ET145" s="268"/>
      <c r="EU145" s="254"/>
      <c r="EV145" s="255"/>
    </row>
    <row r="146" spans="1:152" s="93" customFormat="1">
      <c r="A146" s="95"/>
      <c r="B146" s="95"/>
      <c r="D146" s="97"/>
      <c r="E146" s="97"/>
      <c r="F146" s="97"/>
      <c r="G146" s="221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34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31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1"/>
      <c r="DF146" s="211"/>
      <c r="DG146" s="274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239"/>
      <c r="EQ146" s="240"/>
      <c r="ER146" s="98"/>
      <c r="ES146" s="98"/>
      <c r="ET146" s="268"/>
      <c r="EU146" s="254"/>
      <c r="EV146" s="255"/>
    </row>
    <row r="147" spans="1:152" s="93" customFormat="1">
      <c r="A147" s="95"/>
      <c r="B147" s="95"/>
      <c r="D147" s="97"/>
      <c r="E147" s="97"/>
      <c r="F147" s="97"/>
      <c r="G147" s="221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34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31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1"/>
      <c r="DF147" s="211"/>
      <c r="DG147" s="274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239"/>
      <c r="EQ147" s="240"/>
      <c r="ER147" s="98"/>
      <c r="ES147" s="98"/>
      <c r="ET147" s="268"/>
      <c r="EU147" s="254"/>
      <c r="EV147" s="255"/>
    </row>
    <row r="148" spans="1:152" s="93" customFormat="1">
      <c r="A148" s="95"/>
      <c r="B148" s="95"/>
      <c r="D148" s="97"/>
      <c r="E148" s="97"/>
      <c r="F148" s="97"/>
      <c r="G148" s="221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34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31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1"/>
      <c r="DF148" s="211"/>
      <c r="DG148" s="274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239"/>
      <c r="EQ148" s="240"/>
      <c r="ER148" s="98"/>
      <c r="ES148" s="98"/>
      <c r="ET148" s="268"/>
      <c r="EU148" s="254"/>
      <c r="EV148" s="255"/>
    </row>
    <row r="149" spans="1:152" s="93" customFormat="1">
      <c r="A149" s="95"/>
      <c r="B149" s="95"/>
      <c r="D149" s="97"/>
      <c r="E149" s="97"/>
      <c r="F149" s="97"/>
      <c r="G149" s="221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34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31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1"/>
      <c r="DF149" s="211"/>
      <c r="DG149" s="274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239"/>
      <c r="EQ149" s="240"/>
      <c r="ER149" s="98"/>
      <c r="ES149" s="98"/>
      <c r="ET149" s="268"/>
      <c r="EU149" s="254"/>
      <c r="EV149" s="255"/>
    </row>
    <row r="150" spans="1:152" s="93" customFormat="1">
      <c r="A150" s="95"/>
      <c r="B150" s="95"/>
      <c r="D150" s="97"/>
      <c r="E150" s="97"/>
      <c r="F150" s="97"/>
      <c r="G150" s="221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34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31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1"/>
      <c r="DF150" s="211"/>
      <c r="DG150" s="274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239"/>
      <c r="EQ150" s="240"/>
      <c r="ER150" s="98"/>
      <c r="ES150" s="98"/>
      <c r="ET150" s="268"/>
      <c r="EU150" s="254"/>
      <c r="EV150" s="255"/>
    </row>
    <row r="151" spans="1:152" s="93" customFormat="1">
      <c r="A151" s="95"/>
      <c r="B151" s="95"/>
      <c r="D151" s="97"/>
      <c r="E151" s="97"/>
      <c r="F151" s="97"/>
      <c r="G151" s="221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34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31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1"/>
      <c r="DF151" s="211"/>
      <c r="DG151" s="274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239"/>
      <c r="EQ151" s="240"/>
      <c r="ER151" s="98"/>
      <c r="ES151" s="98"/>
      <c r="ET151" s="268"/>
      <c r="EU151" s="254"/>
      <c r="EV151" s="255"/>
    </row>
    <row r="152" spans="1:152" s="93" customFormat="1">
      <c r="A152" s="95"/>
      <c r="B152" s="95"/>
      <c r="D152" s="97"/>
      <c r="E152" s="97"/>
      <c r="F152" s="97"/>
      <c r="G152" s="221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34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31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1"/>
      <c r="DF152" s="211"/>
      <c r="DG152" s="274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239"/>
      <c r="EQ152" s="240"/>
      <c r="ER152" s="98"/>
      <c r="ES152" s="98"/>
      <c r="ET152" s="268"/>
      <c r="EU152" s="254"/>
      <c r="EV152" s="255"/>
    </row>
    <row r="153" spans="1:152" s="93" customFormat="1">
      <c r="A153" s="95"/>
      <c r="B153" s="95"/>
      <c r="D153" s="97"/>
      <c r="E153" s="97"/>
      <c r="F153" s="97"/>
      <c r="G153" s="221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34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31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1"/>
      <c r="DF153" s="211"/>
      <c r="DG153" s="274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239"/>
      <c r="EQ153" s="240"/>
      <c r="ER153" s="98"/>
      <c r="ES153" s="98"/>
      <c r="ET153" s="268"/>
      <c r="EU153" s="254"/>
      <c r="EV153" s="255"/>
    </row>
    <row r="154" spans="1:152" s="93" customFormat="1">
      <c r="A154" s="95"/>
      <c r="B154" s="95"/>
      <c r="D154" s="97"/>
      <c r="E154" s="97"/>
      <c r="F154" s="97"/>
      <c r="G154" s="221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34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31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1"/>
      <c r="DF154" s="211"/>
      <c r="DG154" s="274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239"/>
      <c r="EQ154" s="240"/>
      <c r="ER154" s="98"/>
      <c r="ES154" s="98"/>
      <c r="ET154" s="268"/>
      <c r="EU154" s="254"/>
      <c r="EV154" s="255"/>
    </row>
    <row r="155" spans="1:152" s="93" customFormat="1">
      <c r="A155" s="95"/>
      <c r="B155" s="95"/>
      <c r="D155" s="97"/>
      <c r="E155" s="97"/>
      <c r="F155" s="97"/>
      <c r="G155" s="221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34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31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1"/>
      <c r="DF155" s="211"/>
      <c r="DG155" s="274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239"/>
      <c r="EQ155" s="240"/>
      <c r="ER155" s="98"/>
      <c r="ES155" s="98"/>
      <c r="ET155" s="268"/>
      <c r="EU155" s="254"/>
      <c r="EV155" s="255"/>
    </row>
    <row r="156" spans="1:152" s="93" customFormat="1">
      <c r="A156" s="95"/>
      <c r="B156" s="95"/>
      <c r="D156" s="97"/>
      <c r="E156" s="97"/>
      <c r="F156" s="97"/>
      <c r="G156" s="221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34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31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1"/>
      <c r="DF156" s="211"/>
      <c r="DG156" s="274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239"/>
      <c r="EQ156" s="240"/>
      <c r="ER156" s="98"/>
      <c r="ES156" s="98"/>
      <c r="ET156" s="268"/>
      <c r="EU156" s="254"/>
      <c r="EV156" s="255"/>
    </row>
    <row r="157" spans="1:152" s="93" customFormat="1">
      <c r="A157" s="95"/>
      <c r="B157" s="95"/>
      <c r="D157" s="97"/>
      <c r="E157" s="97"/>
      <c r="F157" s="97"/>
      <c r="G157" s="221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34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31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1"/>
      <c r="DF157" s="211"/>
      <c r="DG157" s="274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239"/>
      <c r="EQ157" s="240"/>
      <c r="ER157" s="98"/>
      <c r="ES157" s="98"/>
      <c r="ET157" s="268"/>
      <c r="EU157" s="254"/>
      <c r="EV157" s="255"/>
    </row>
    <row r="158" spans="1:152" s="93" customFormat="1">
      <c r="A158" s="95"/>
      <c r="B158" s="95"/>
      <c r="D158" s="97"/>
      <c r="E158" s="97"/>
      <c r="F158" s="97"/>
      <c r="G158" s="221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34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31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1"/>
      <c r="DF158" s="211"/>
      <c r="DG158" s="274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239"/>
      <c r="EQ158" s="240"/>
      <c r="ER158" s="98"/>
      <c r="ES158" s="98"/>
      <c r="ET158" s="268"/>
      <c r="EU158" s="254"/>
      <c r="EV158" s="255"/>
    </row>
    <row r="159" spans="1:152" s="93" customFormat="1">
      <c r="A159" s="95"/>
      <c r="B159" s="95"/>
      <c r="D159" s="97"/>
      <c r="E159" s="97"/>
      <c r="F159" s="97"/>
      <c r="G159" s="221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34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31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1"/>
      <c r="DF159" s="211"/>
      <c r="DG159" s="274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239"/>
      <c r="EQ159" s="240"/>
      <c r="ER159" s="98"/>
      <c r="ES159" s="98"/>
      <c r="ET159" s="268"/>
      <c r="EU159" s="254"/>
      <c r="EV159" s="255"/>
    </row>
    <row r="160" spans="1:152" s="93" customFormat="1">
      <c r="A160" s="95"/>
      <c r="B160" s="95"/>
      <c r="D160" s="97"/>
      <c r="E160" s="97"/>
      <c r="F160" s="97"/>
      <c r="G160" s="221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34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31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1"/>
      <c r="DF160" s="211"/>
      <c r="DG160" s="274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239"/>
      <c r="EQ160" s="240"/>
      <c r="ER160" s="98"/>
      <c r="ES160" s="98"/>
      <c r="ET160" s="268"/>
      <c r="EU160" s="254"/>
      <c r="EV160" s="255"/>
    </row>
    <row r="161" spans="1:152" s="93" customFormat="1">
      <c r="A161" s="95"/>
      <c r="B161" s="95"/>
      <c r="D161" s="97"/>
      <c r="E161" s="97"/>
      <c r="F161" s="97"/>
      <c r="G161" s="221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34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31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1"/>
      <c r="DF161" s="211"/>
      <c r="DG161" s="274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239"/>
      <c r="EQ161" s="240"/>
      <c r="ER161" s="98"/>
      <c r="ES161" s="98"/>
      <c r="ET161" s="268"/>
      <c r="EU161" s="254"/>
      <c r="EV161" s="255"/>
    </row>
    <row r="162" spans="1:152" s="93" customFormat="1">
      <c r="A162" s="95"/>
      <c r="B162" s="95"/>
      <c r="D162" s="97"/>
      <c r="E162" s="97"/>
      <c r="F162" s="97"/>
      <c r="G162" s="221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34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31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1"/>
      <c r="DF162" s="211"/>
      <c r="DG162" s="274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239"/>
      <c r="EQ162" s="240"/>
      <c r="ER162" s="98"/>
      <c r="ES162" s="98"/>
      <c r="ET162" s="268"/>
      <c r="EU162" s="254"/>
      <c r="EV162" s="255"/>
    </row>
    <row r="163" spans="1:152" s="93" customFormat="1">
      <c r="A163" s="95"/>
      <c r="B163" s="95"/>
      <c r="D163" s="97"/>
      <c r="E163" s="97"/>
      <c r="F163" s="97"/>
      <c r="G163" s="221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34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31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1"/>
      <c r="DF163" s="211"/>
      <c r="DG163" s="274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239"/>
      <c r="EQ163" s="240"/>
      <c r="ER163" s="98"/>
      <c r="ES163" s="98"/>
      <c r="ET163" s="268"/>
      <c r="EU163" s="254"/>
      <c r="EV163" s="255"/>
    </row>
    <row r="164" spans="1:152" s="93" customFormat="1">
      <c r="A164" s="95"/>
      <c r="B164" s="95"/>
      <c r="D164" s="97"/>
      <c r="E164" s="97"/>
      <c r="F164" s="97"/>
      <c r="G164" s="221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34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31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1"/>
      <c r="DF164" s="211"/>
      <c r="DG164" s="274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239"/>
      <c r="EQ164" s="240"/>
      <c r="ER164" s="98"/>
      <c r="ES164" s="98"/>
      <c r="ET164" s="268"/>
      <c r="EU164" s="254"/>
      <c r="EV164" s="255"/>
    </row>
    <row r="165" spans="1:152" s="93" customFormat="1">
      <c r="A165" s="95"/>
      <c r="B165" s="95"/>
      <c r="C165" s="94"/>
      <c r="D165" s="100"/>
      <c r="E165" s="100"/>
      <c r="F165" s="100"/>
      <c r="G165" s="222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34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31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1"/>
      <c r="DF165" s="211"/>
      <c r="DG165" s="274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239"/>
      <c r="EQ165" s="240"/>
      <c r="ER165" s="98"/>
      <c r="ES165" s="98"/>
      <c r="ET165" s="268"/>
      <c r="EU165" s="254"/>
      <c r="EV165" s="255"/>
    </row>
  </sheetData>
  <autoFilter ref="A6:EX8" xr:uid="{00000000-0001-0000-0900-000000000000}"/>
  <mergeCells count="74">
    <mergeCell ref="AO1:AS1"/>
    <mergeCell ref="J4:K4"/>
    <mergeCell ref="L4:M4"/>
    <mergeCell ref="N4:O4"/>
    <mergeCell ref="P4:Q4"/>
    <mergeCell ref="S4:U4"/>
    <mergeCell ref="W4:Y4"/>
    <mergeCell ref="Z4:AA4"/>
    <mergeCell ref="AB4:AD4"/>
    <mergeCell ref="AG4:AI4"/>
    <mergeCell ref="A5:A6"/>
    <mergeCell ref="B5:B6"/>
    <mergeCell ref="C5:C6"/>
    <mergeCell ref="D5:D6"/>
    <mergeCell ref="E5:E6"/>
    <mergeCell ref="G5:G6"/>
    <mergeCell ref="H5:H6"/>
    <mergeCell ref="I5:I6"/>
    <mergeCell ref="BG4:BI4"/>
    <mergeCell ref="AT4:AU4"/>
    <mergeCell ref="AV4:AW4"/>
    <mergeCell ref="AX4:AY4"/>
    <mergeCell ref="AO5:AO6"/>
    <mergeCell ref="AP5:AP6"/>
    <mergeCell ref="AQ5:AQ6"/>
    <mergeCell ref="AR5:AR6"/>
    <mergeCell ref="AS5:AS6"/>
    <mergeCell ref="BJ4:BK4"/>
    <mergeCell ref="BL4:BN4"/>
    <mergeCell ref="BQ4:BS4"/>
    <mergeCell ref="AZ4:BA4"/>
    <mergeCell ref="BC4:BE4"/>
    <mergeCell ref="EU5:EU6"/>
    <mergeCell ref="EV5:EV6"/>
    <mergeCell ref="A7:EL7"/>
    <mergeCell ref="EM5:EM6"/>
    <mergeCell ref="EN5:EN6"/>
    <mergeCell ref="EO5:EO6"/>
    <mergeCell ref="EP5:EP6"/>
    <mergeCell ref="EQ5:EQ6"/>
    <mergeCell ref="ER5:ER6"/>
    <mergeCell ref="DY5:EB5"/>
    <mergeCell ref="EC5:EC6"/>
    <mergeCell ref="ED5:ED6"/>
    <mergeCell ref="EE5:EF5"/>
    <mergeCell ref="DT5:DT6"/>
    <mergeCell ref="ET5:ET6"/>
    <mergeCell ref="F5:F6"/>
    <mergeCell ref="CF5:CP5"/>
    <mergeCell ref="CD5:CD6"/>
    <mergeCell ref="CE5:CE6"/>
    <mergeCell ref="DL5:DL6"/>
    <mergeCell ref="EG5:EG6"/>
    <mergeCell ref="BY5:BY6"/>
    <mergeCell ref="BZ5:BZ6"/>
    <mergeCell ref="CA5:CA6"/>
    <mergeCell ref="CB5:CB6"/>
    <mergeCell ref="CC5:CC6"/>
    <mergeCell ref="ES5:ES6"/>
    <mergeCell ref="DU5:DU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EI5:EI6"/>
    <mergeCell ref="EJ5:EJ6"/>
    <mergeCell ref="EK5:EK6"/>
    <mergeCell ref="EL5:EL6"/>
    <mergeCell ref="EH5:EH6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R8 EU8:EV8">
    <cfRule type="duplicateValues" dxfId="3" priority="20877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26">
        <v>2026</v>
      </c>
      <c r="J8" s="327"/>
      <c r="K8" s="327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28" t="s">
        <v>34</v>
      </c>
      <c r="D9" s="329"/>
      <c r="E9" s="329"/>
      <c r="F9" s="329"/>
      <c r="G9" s="329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30" t="s">
        <v>35</v>
      </c>
      <c r="K12" s="329"/>
      <c r="L12" s="329"/>
      <c r="M12" s="329"/>
      <c r="N12" s="329"/>
      <c r="O12" s="329"/>
      <c r="P12" s="331">
        <f>I8</f>
        <v>2026</v>
      </c>
      <c r="Q12" s="329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32" t="s">
        <v>36</v>
      </c>
      <c r="C21" s="333"/>
      <c r="D21" s="333"/>
      <c r="E21" s="333"/>
      <c r="F21" s="333"/>
      <c r="G21" s="333"/>
      <c r="H21" s="333"/>
      <c r="I21" s="333"/>
      <c r="J21" s="40"/>
      <c r="K21" s="334" t="s">
        <v>37</v>
      </c>
      <c r="L21" s="333"/>
      <c r="M21" s="333"/>
      <c r="N21" s="333"/>
      <c r="O21" s="333"/>
      <c r="P21" s="333"/>
      <c r="Q21" s="333"/>
      <c r="R21" s="333"/>
      <c r="S21" s="40"/>
      <c r="T21" s="335" t="s">
        <v>38</v>
      </c>
      <c r="U21" s="333"/>
      <c r="V21" s="333"/>
      <c r="W21" s="333"/>
      <c r="X21" s="333"/>
      <c r="Y21" s="333"/>
      <c r="Z21" s="333"/>
      <c r="AA21" s="333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36" t="s">
        <v>47</v>
      </c>
      <c r="C35" s="333"/>
      <c r="D35" s="333"/>
      <c r="E35" s="333"/>
      <c r="F35" s="333"/>
      <c r="G35" s="333"/>
      <c r="H35" s="333"/>
      <c r="I35" s="333"/>
      <c r="J35" s="40"/>
      <c r="K35" s="337" t="s">
        <v>48</v>
      </c>
      <c r="L35" s="333"/>
      <c r="M35" s="333"/>
      <c r="N35" s="333"/>
      <c r="O35" s="333"/>
      <c r="P35" s="333"/>
      <c r="Q35" s="333"/>
      <c r="R35" s="333"/>
      <c r="S35" s="40"/>
      <c r="T35" s="334" t="s">
        <v>49</v>
      </c>
      <c r="U35" s="333"/>
      <c r="V35" s="333"/>
      <c r="W35" s="333"/>
      <c r="X35" s="333"/>
      <c r="Y35" s="333"/>
      <c r="Z35" s="333"/>
      <c r="AA35" s="333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34" t="s">
        <v>50</v>
      </c>
      <c r="C49" s="333"/>
      <c r="D49" s="333"/>
      <c r="E49" s="333"/>
      <c r="F49" s="333"/>
      <c r="G49" s="333"/>
      <c r="H49" s="333"/>
      <c r="I49" s="333"/>
      <c r="J49" s="40"/>
      <c r="K49" s="336" t="s">
        <v>51</v>
      </c>
      <c r="L49" s="333"/>
      <c r="M49" s="333"/>
      <c r="N49" s="333"/>
      <c r="O49" s="333"/>
      <c r="P49" s="333"/>
      <c r="Q49" s="333"/>
      <c r="R49" s="333"/>
      <c r="S49" s="40"/>
      <c r="T49" s="332" t="s">
        <v>52</v>
      </c>
      <c r="U49" s="333"/>
      <c r="V49" s="333"/>
      <c r="W49" s="333"/>
      <c r="X49" s="333"/>
      <c r="Y49" s="333"/>
      <c r="Z49" s="333"/>
      <c r="AA49" s="333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35" t="s">
        <v>53</v>
      </c>
      <c r="C63" s="333"/>
      <c r="D63" s="333"/>
      <c r="E63" s="333"/>
      <c r="F63" s="333"/>
      <c r="G63" s="333"/>
      <c r="H63" s="333"/>
      <c r="I63" s="333"/>
      <c r="J63" s="40"/>
      <c r="K63" s="334" t="s">
        <v>54</v>
      </c>
      <c r="L63" s="333"/>
      <c r="M63" s="333"/>
      <c r="N63" s="333"/>
      <c r="O63" s="333"/>
      <c r="P63" s="333"/>
      <c r="Q63" s="333"/>
      <c r="R63" s="333"/>
      <c r="S63" s="40"/>
      <c r="T63" s="336" t="s">
        <v>55</v>
      </c>
      <c r="U63" s="333"/>
      <c r="V63" s="333"/>
      <c r="W63" s="333"/>
      <c r="X63" s="333"/>
      <c r="Y63" s="333"/>
      <c r="Z63" s="333"/>
      <c r="AA63" s="333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  <mergeCell ref="I8:K8"/>
    <mergeCell ref="C9:G9"/>
    <mergeCell ref="J12:O12"/>
    <mergeCell ref="P12:Q12"/>
    <mergeCell ref="B21:I21"/>
    <mergeCell ref="K21:R21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2026-04-29T00:19:51Z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