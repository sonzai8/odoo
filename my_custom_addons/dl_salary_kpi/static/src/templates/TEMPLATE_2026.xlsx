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F823649D-7A95-C24F-896C-7B74BD7D0E55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B8" i="83" l="1"/>
  <c r="BQ8" i="83"/>
  <c r="CB8" i="83"/>
  <c r="EE8" i="83"/>
  <c r="AZ4" i="83"/>
  <c r="EC8" i="83"/>
  <c r="AO8" i="83"/>
  <c r="CF8" i="83" s="1"/>
  <c r="AP8" i="83"/>
  <c r="CJ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R8" i="83"/>
  <c r="BS8" i="83"/>
  <c r="BT8" i="83"/>
  <c r="BU8" i="83"/>
  <c r="BV8" i="83"/>
  <c r="BW8" i="83"/>
  <c r="BX8" i="83"/>
  <c r="CS8" i="83"/>
  <c r="CY8" i="83"/>
  <c r="DL8" i="83"/>
  <c r="DW8" i="83" s="1"/>
  <c r="DX8" i="83" l="1"/>
  <c r="CO8" i="83"/>
  <c r="CG8" i="83"/>
  <c r="DD8" i="83" s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CQ8" i="83"/>
  <c r="DE8" i="83"/>
  <c r="CE8" i="83"/>
  <c r="CN8" i="83"/>
  <c r="DA8" i="83" s="1"/>
  <c r="CC8" i="83"/>
  <c r="CP8" i="83" s="1"/>
  <c r="BY8" i="83" l="1"/>
  <c r="DI8" i="83"/>
  <c r="DR8" i="83"/>
  <c r="DY8" i="83"/>
  <c r="EB8" i="83" s="1"/>
  <c r="EJ8" i="83"/>
  <c r="AS8" i="83"/>
  <c r="CH8" i="83" s="1"/>
  <c r="CU8" i="83" s="1"/>
  <c r="CM8" i="83"/>
  <c r="CT8" i="83"/>
  <c r="CX8" i="83"/>
  <c r="DC8" i="83"/>
  <c r="DF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K8" i="83"/>
  <c r="EL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<sst xmlns="http://schemas.openxmlformats.org/spreadsheetml/2006/main" count="237" uniqueCount="131">
  <si>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</si>
  <si>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</si>
  <si>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</si>
  <si>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</si>
  <si>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</si>
  <si>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</si>
  <si>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</si>
  <si>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</si>
  <si>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</si>
  <si>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</si>
  <si>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</si>
  <si>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</si>
  <si>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</si>
  <si>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</si>
  <si>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</si>
  <si>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</si>
  <si>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</si>
  <si>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</si>
  <si>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</si>
  <si>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</si>
  <si>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</si>
  <si>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</si>
  <si>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</si>
  <si>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</si>
  <si>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</si>
  <si>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</si>
  <si>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</si>
  <si>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</si>
  <si>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</si>
  <si>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</si>
  <si>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</si>
  <si>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</si>
  <si>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</si>
  <si>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</si>
  <si>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</si>
  <si>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</si>
  <si>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</si>
  <si>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</si>
  <si>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</si>
  <si>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</si>
  <si>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</si>
  <si>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</si>
  <si>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</si>
  <si>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</si>
  <si>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</si>
  <si>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</si>
  <si>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</si>
  <si>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</si>
  <si>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</si>
  <si>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</si>
  <si>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</si>
  <si>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</si>
  <si>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</si>
  <si>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</si>
  <si>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</si>
  <si>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</si>
  <si>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</si>
  <si>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</si>
  <si>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</si>
  <si>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</si>
  <si>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</si>
  <si>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</si>
  <si>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</si>
  <si>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</si>
  <si>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</si>
  <si>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</si>
  <si>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</si>
  <si>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</si>
  <si>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</si>
  <si>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</si>
  <si>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</si>
  <si>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</si>
  <si>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</si>
  <si>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</si>
  <si>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</si>
  <si>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</si>
  <si>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</si>
  <si>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</si>
  <si>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</si>
  <si>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</si>
  <si>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</si>
  <si>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</si>
  <si>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</si>
  <si>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</si>
  <si>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</si>
  <si>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</si>
  <si>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</si>
  <si>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</si>
  <si>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</si>
  <si>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</si>
  <si>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</si>
  <si>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</si>
  <si>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</si>
  <si>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</si>
  <si>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</si>
  <si>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</si>
  <si>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</si>
  <si>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</si>
  <si>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</si>
  <si>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</si>
  <si>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</si>
  <si>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</si>
  <si>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</si>
  <si>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</si>
  <si>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</si>
  <si>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</si>
  <si>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</si>
  <si>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</si>
  <si>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</si>
  <si>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</si>
  <si>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</si>
  <si>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</si>
  <si>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</si>
  <si>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</si>
  <si>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</si>
  <si>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</si>
  <si>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</si>
  <si>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</si>
  <si>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</si>
  <si>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</si>
  <si>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</si>
  <si>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</si>
  <si>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</si>
  <si>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</si>
  <si>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</si>
  <si>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</si>
  <si>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</si>
  <si>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</si>
  <si>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</si>
  <si>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Thưởng doanh thu/Thưởng năng suất</t>
  </si>
  <si>
    <t>LƯƠNG CHI TIỀN MẶT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</si>
</sst>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3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R165"/>
  <sheetViews>
    <sheetView tabSelected="1" zoomScale="75" zoomScaleNormal="60" zoomScaleSheetLayoutView="55" workbookViewId="0">
      <pane xSplit="9" ySplit="7" topLeftCell="DO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I5" sqref="I5:I6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0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25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0" customWidth="1"/>
    <col min="111" max="111" width="27.796875" style="255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6.3984375" style="95" customWidth="1"/>
    <col min="147" max="147" width="35.796875" style="95" customWidth="1"/>
    <col min="148" max="148" width="41.796875" style="242" customWidth="1"/>
    <col min="149" max="150" width="9.19921875" style="94" customWidth="1"/>
    <col min="151" max="16384" width="9.19921875" style="94"/>
  </cols>
  <sheetData>
    <row r="1" spans="1:148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60"/>
      <c r="AP1" s="260"/>
      <c r="AQ1" s="260"/>
      <c r="AR1" s="260"/>
      <c r="AS1" s="260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8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8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8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61" t="s">
        <v>68</v>
      </c>
      <c r="K4" s="261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61"/>
      <c r="T4" s="261"/>
      <c r="U4" s="261"/>
      <c r="V4" s="109"/>
      <c r="W4" s="261"/>
      <c r="X4" s="261"/>
      <c r="Y4" s="261"/>
      <c r="Z4" s="261"/>
      <c r="AA4" s="261"/>
      <c r="AB4" s="261"/>
      <c r="AC4" s="261"/>
      <c r="AD4" s="261"/>
      <c r="AE4" s="109"/>
      <c r="AF4" s="110"/>
      <c r="AG4" s="261"/>
      <c r="AH4" s="261"/>
      <c r="AI4" s="261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61" t="s">
        <v>68</v>
      </c>
      <c r="AU4" s="261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61"/>
      <c r="BD4" s="261"/>
      <c r="BE4" s="261"/>
      <c r="BF4" s="109"/>
      <c r="BG4" s="261"/>
      <c r="BH4" s="261"/>
      <c r="BI4" s="261"/>
      <c r="BJ4" s="261"/>
      <c r="BK4" s="261"/>
      <c r="BL4" s="261"/>
      <c r="BM4" s="261"/>
      <c r="BN4" s="261"/>
      <c r="BO4" s="109"/>
      <c r="BP4" s="110"/>
      <c r="BQ4" s="261"/>
      <c r="BR4" s="261"/>
      <c r="BS4" s="261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8" s="183" customFormat="1" ht="92.25" customHeight="1">
      <c r="A5" s="262" t="s">
        <v>0</v>
      </c>
      <c r="B5" s="263" t="s">
        <v>2</v>
      </c>
      <c r="C5" s="262" t="s">
        <v>1</v>
      </c>
      <c r="D5" s="264" t="s">
        <v>77</v>
      </c>
      <c r="E5" s="265" t="s">
        <v>120</v>
      </c>
      <c r="F5" s="262" t="s">
        <v>75</v>
      </c>
      <c r="G5" s="262" t="s">
        <v>70</v>
      </c>
      <c r="H5" s="262" t="s">
        <v>3</v>
      </c>
      <c r="I5" s="267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68" t="s">
        <v>82</v>
      </c>
      <c r="AP5" s="268" t="s">
        <v>83</v>
      </c>
      <c r="AQ5" s="268" t="s">
        <v>84</v>
      </c>
      <c r="AR5" s="269" t="s">
        <v>5</v>
      </c>
      <c r="AS5" s="269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70" t="s">
        <v>85</v>
      </c>
      <c r="BZ5" s="270" t="s">
        <v>86</v>
      </c>
      <c r="CA5" s="270" t="s">
        <v>87</v>
      </c>
      <c r="CB5" s="270" t="s">
        <v>88</v>
      </c>
      <c r="CC5" s="270" t="s">
        <v>89</v>
      </c>
      <c r="CD5" s="270" t="s">
        <v>90</v>
      </c>
      <c r="CE5" s="270" t="s">
        <v>91</v>
      </c>
      <c r="CF5" s="284" t="s">
        <v>19</v>
      </c>
      <c r="CG5" s="284"/>
      <c r="CH5" s="284"/>
      <c r="CI5" s="284"/>
      <c r="CJ5" s="284"/>
      <c r="CK5" s="284"/>
      <c r="CL5" s="284"/>
      <c r="CM5" s="284"/>
      <c r="CN5" s="284"/>
      <c r="CO5" s="284"/>
      <c r="CP5" s="284"/>
      <c r="CQ5" s="288" t="s">
        <v>59</v>
      </c>
      <c r="CR5" s="289"/>
      <c r="CS5" s="290"/>
      <c r="CT5" s="295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91" t="s">
        <v>117</v>
      </c>
      <c r="DH5" s="296" t="s">
        <v>112</v>
      </c>
      <c r="DI5" s="293" t="s">
        <v>81</v>
      </c>
      <c r="DJ5" s="294"/>
      <c r="DK5" s="281" t="s">
        <v>61</v>
      </c>
      <c r="DL5" s="285" t="s">
        <v>8</v>
      </c>
      <c r="DM5" s="282" t="s">
        <v>71</v>
      </c>
      <c r="DN5" s="282"/>
      <c r="DO5" s="282"/>
      <c r="DP5" s="282"/>
      <c r="DQ5" s="282"/>
      <c r="DR5" s="282"/>
      <c r="DS5" s="297" t="s">
        <v>12</v>
      </c>
      <c r="DT5" s="282" t="s">
        <v>125</v>
      </c>
      <c r="DU5" s="263" t="s">
        <v>13</v>
      </c>
      <c r="DV5" s="286" t="s">
        <v>64</v>
      </c>
      <c r="DW5" s="287"/>
      <c r="DX5" s="286"/>
      <c r="DY5" s="279" t="s">
        <v>63</v>
      </c>
      <c r="DZ5" s="279"/>
      <c r="EA5" s="279"/>
      <c r="EB5" s="279"/>
      <c r="EC5" s="280" t="s">
        <v>128</v>
      </c>
      <c r="ED5" s="282" t="s">
        <v>7</v>
      </c>
      <c r="EE5" s="283" t="s">
        <v>65</v>
      </c>
      <c r="EF5" s="283"/>
      <c r="EG5" s="283" t="s">
        <v>66</v>
      </c>
      <c r="EH5" s="283" t="s">
        <v>67</v>
      </c>
      <c r="EI5" s="283" t="s">
        <v>72</v>
      </c>
      <c r="EJ5" s="300" t="s">
        <v>78</v>
      </c>
      <c r="EK5" s="300" t="s">
        <v>80</v>
      </c>
      <c r="EL5" s="300" t="s">
        <v>79</v>
      </c>
      <c r="EM5" s="274" t="s">
        <v>124</v>
      </c>
      <c r="EN5" s="298" t="s">
        <v>118</v>
      </c>
      <c r="EO5" s="276" t="s">
        <v>130</v>
      </c>
      <c r="EP5" s="278" t="s">
        <v>122</v>
      </c>
      <c r="EQ5" s="278" t="s">
        <v>121</v>
      </c>
      <c r="ER5" s="272" t="s">
        <v>119</v>
      </c>
    </row>
    <row r="6" spans="1:148" s="205" customFormat="1" ht="148.5" customHeight="1">
      <c r="A6" s="262"/>
      <c r="B6" s="263"/>
      <c r="C6" s="262"/>
      <c r="D6" s="264"/>
      <c r="E6" s="266"/>
      <c r="F6" s="262"/>
      <c r="G6" s="262"/>
      <c r="H6" s="262"/>
      <c r="I6" s="267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68"/>
      <c r="AP6" s="268"/>
      <c r="AQ6" s="268"/>
      <c r="AR6" s="269"/>
      <c r="AS6" s="269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71"/>
      <c r="BZ6" s="271"/>
      <c r="CA6" s="271"/>
      <c r="CB6" s="271"/>
      <c r="CC6" s="271"/>
      <c r="CD6" s="271"/>
      <c r="CE6" s="271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95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129</v>
      </c>
      <c r="DG6" s="292"/>
      <c r="DH6" s="296"/>
      <c r="DI6" s="152" t="s">
        <v>14</v>
      </c>
      <c r="DJ6" s="152" t="s">
        <v>15</v>
      </c>
      <c r="DK6" s="281"/>
      <c r="DL6" s="285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97"/>
      <c r="DT6" s="282"/>
      <c r="DU6" s="263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1"/>
      <c r="ED6" s="282"/>
      <c r="EE6" s="182" t="s">
        <v>73</v>
      </c>
      <c r="EF6" s="182" t="s">
        <v>74</v>
      </c>
      <c r="EG6" s="283"/>
      <c r="EH6" s="283"/>
      <c r="EI6" s="283"/>
      <c r="EJ6" s="300"/>
      <c r="EK6" s="300"/>
      <c r="EL6" s="300"/>
      <c r="EM6" s="275"/>
      <c r="EN6" s="299"/>
      <c r="EO6" s="277"/>
      <c r="EP6" s="278"/>
      <c r="EQ6" s="278"/>
      <c r="ER6" s="272"/>
    </row>
    <row r="7" spans="1:148" s="106" customFormat="1" ht="87.75" customHeight="1">
      <c r="A7" s="273"/>
      <c r="B7" s="273"/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73"/>
      <c r="Q7" s="273"/>
      <c r="R7" s="273"/>
      <c r="S7" s="273"/>
      <c r="T7" s="273"/>
      <c r="U7" s="273"/>
      <c r="V7" s="273"/>
      <c r="W7" s="273"/>
      <c r="X7" s="273"/>
      <c r="Y7" s="273"/>
      <c r="Z7" s="273"/>
      <c r="AA7" s="273"/>
      <c r="AB7" s="273"/>
      <c r="AC7" s="273"/>
      <c r="AD7" s="273"/>
      <c r="AE7" s="273"/>
      <c r="AF7" s="273"/>
      <c r="AG7" s="273"/>
      <c r="AH7" s="273"/>
      <c r="AI7" s="273"/>
      <c r="AJ7" s="273"/>
      <c r="AK7" s="273"/>
      <c r="AL7" s="273"/>
      <c r="AM7" s="273"/>
      <c r="AN7" s="273"/>
      <c r="AO7" s="273"/>
      <c r="AP7" s="273"/>
      <c r="AQ7" s="273"/>
      <c r="AR7" s="273"/>
      <c r="AS7" s="273"/>
      <c r="AT7" s="273"/>
      <c r="AU7" s="273"/>
      <c r="AV7" s="273"/>
      <c r="AW7" s="273"/>
      <c r="AX7" s="273"/>
      <c r="AY7" s="273"/>
      <c r="AZ7" s="273"/>
      <c r="BA7" s="273"/>
      <c r="BB7" s="273"/>
      <c r="BC7" s="273"/>
      <c r="BD7" s="273"/>
      <c r="BE7" s="273"/>
      <c r="BF7" s="273"/>
      <c r="BG7" s="273"/>
      <c r="BH7" s="273"/>
      <c r="BI7" s="273"/>
      <c r="BJ7" s="273"/>
      <c r="BK7" s="273"/>
      <c r="BL7" s="273"/>
      <c r="BM7" s="273"/>
      <c r="BN7" s="273"/>
      <c r="BO7" s="273"/>
      <c r="BP7" s="273"/>
      <c r="BQ7" s="273"/>
      <c r="BR7" s="273"/>
      <c r="BS7" s="273"/>
      <c r="BT7" s="273"/>
      <c r="BU7" s="273"/>
      <c r="BV7" s="273"/>
      <c r="BW7" s="273"/>
      <c r="BX7" s="273"/>
      <c r="BY7" s="273"/>
      <c r="BZ7" s="273"/>
      <c r="CA7" s="273"/>
      <c r="CB7" s="273"/>
      <c r="CC7" s="273"/>
      <c r="CD7" s="273"/>
      <c r="CE7" s="273"/>
      <c r="CF7" s="273"/>
      <c r="CG7" s="273"/>
      <c r="CH7" s="273"/>
      <c r="CI7" s="273"/>
      <c r="CJ7" s="273"/>
      <c r="CK7" s="273"/>
      <c r="CL7" s="273"/>
      <c r="CM7" s="273"/>
      <c r="CN7" s="273"/>
      <c r="CO7" s="273"/>
      <c r="CP7" s="273"/>
      <c r="CQ7" s="273"/>
      <c r="CR7" s="273"/>
      <c r="CS7" s="273"/>
      <c r="CT7" s="273"/>
      <c r="CU7" s="273"/>
      <c r="CV7" s="273"/>
      <c r="CW7" s="273"/>
      <c r="CX7" s="273"/>
      <c r="CY7" s="273"/>
      <c r="CZ7" s="273"/>
      <c r="DA7" s="273"/>
      <c r="DB7" s="273"/>
      <c r="DC7" s="273"/>
      <c r="DD7" s="273"/>
      <c r="DE7" s="273"/>
      <c r="DF7" s="273"/>
      <c r="DG7" s="273"/>
      <c r="DH7" s="273"/>
      <c r="DI7" s="273"/>
      <c r="DJ7" s="273"/>
      <c r="DK7" s="273"/>
      <c r="DL7" s="273"/>
      <c r="DM7" s="273"/>
      <c r="DN7" s="273"/>
      <c r="DO7" s="273"/>
      <c r="DP7" s="273"/>
      <c r="DQ7" s="273"/>
      <c r="DR7" s="273"/>
      <c r="DS7" s="273"/>
      <c r="DT7" s="273"/>
      <c r="DU7" s="273"/>
      <c r="DV7" s="273"/>
      <c r="DW7" s="273"/>
      <c r="DX7" s="273"/>
      <c r="DY7" s="273"/>
      <c r="DZ7" s="273"/>
      <c r="EA7" s="273"/>
      <c r="EB7" s="273"/>
      <c r="EC7" s="273"/>
      <c r="ED7" s="273"/>
      <c r="EE7" s="273"/>
      <c r="EF7" s="273"/>
      <c r="EG7" s="273"/>
      <c r="EH7" s="273"/>
      <c r="EI7" s="273"/>
      <c r="EJ7" s="273"/>
      <c r="EK7" s="273"/>
      <c r="EL7" s="273"/>
      <c r="EM7" s="238"/>
      <c r="EN7" s="238"/>
      <c r="EO7" s="238"/>
      <c r="EP7" s="239"/>
      <c r="EQ7" s="239"/>
      <c r="ER7" s="239"/>
    </row>
    <row r="8" spans="1:148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 t="shared" ref="AP8" si="5">COUNTIF(J8:AN8,"Đ")</f>
        <v>0</v>
      </c>
      <c r="AQ8" s="167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:BQ8" si="31">+IF(AF8="N","0.5N",IF(AF8="Đ","0.5Đ",0))</f>
        <v>0</v>
      </c>
      <c r="BQ8" s="155">
        <f t="shared" si="31"/>
        <v>0</v>
      </c>
      <c r="BR8" s="155">
        <f t="shared" ref="BR8" si="32">+IF(AH8="N","0.5N",IF(AH8="Đ","0.5Đ",0))</f>
        <v>0</v>
      </c>
      <c r="BS8" s="155">
        <f t="shared" ref="BS8" si="33">+IF(AI8="N","0.5N",IF(AI8="Đ","0.5Đ",0))</f>
        <v>0</v>
      </c>
      <c r="BT8" s="155">
        <f t="shared" ref="BT8" si="34">+IF(AJ8="N","0.5N",IF(AJ8="Đ","0.5Đ",0))</f>
        <v>0</v>
      </c>
      <c r="BU8" s="155">
        <f t="shared" ref="BU8" si="35">+IF(AK8="N","0.5N",IF(AK8="Đ","0.5Đ",0))</f>
        <v>0</v>
      </c>
      <c r="BV8" s="155">
        <f t="shared" ref="BV8" si="36">+IF(AL8="N","0.5N",IF(AL8="Đ","0.5Đ",0))</f>
        <v>0</v>
      </c>
      <c r="BW8" s="155">
        <f t="shared" ref="BW8" si="37">+IF(AM8="N","0.5N",IF(AM8="Đ","0.5Đ",0))</f>
        <v>0</v>
      </c>
      <c r="BX8" s="155">
        <f t="shared" ref="BX8" si="38">+IF(AN8="N","0.5N",IF(AN8="Đ","0.5Đ",0))</f>
        <v>0</v>
      </c>
      <c r="BY8" s="167">
        <f>+BZ8+CA8+CB8*8+CC8+CD8+CE8</f>
        <v>0</v>
      </c>
      <c r="BZ8" s="167">
        <f t="shared" ref="BZ8" si="39">COUNTIF(AT8:BX8,"1Đ")+(COUNTIF(AT8:BX8,"2Đ")*2)+(COUNTIF(AT8:BX8,"0.5Đ")/2)</f>
        <v>0</v>
      </c>
      <c r="CA8" s="167">
        <f t="shared" ref="CA8" si="40">COUNTIF(AT8:BX8,"1N")+(COUNTIF(AT8:BX8,"2N")*2)+(COUNTIF(AT8:BX8,"0.5N")/2)</f>
        <v>0</v>
      </c>
      <c r="CB8" s="167">
        <f>COUNTIF(AT8:BX8,"1LN")+COUNTIF(AT8:BX8,"0.5LN")*0.5</f>
        <v>0</v>
      </c>
      <c r="CC8" s="167">
        <f t="shared" ref="CC8" si="41">COUNTIF(AT8:BX8,"1LĐ")</f>
        <v>0</v>
      </c>
      <c r="CD8" s="163">
        <f>COUNTIF(AT8:BX8,"CNN")*8+(COUNTIF(AT8:BX8,"CNN/2")*4)</f>
        <v>0</v>
      </c>
      <c r="CE8" s="170">
        <f t="shared" ref="CE8" si="42">COUNTIF(AT8:BX8,"CNĐ")+(COUNTIF(AT8:BX8,"CNĐ/2")/2)</f>
        <v>0</v>
      </c>
      <c r="CF8" s="171">
        <f t="shared" ref="CF8" si="43">+AO8</f>
        <v>0</v>
      </c>
      <c r="CG8" s="171">
        <f t="shared" ref="CG8" si="44">+AP8*8*0.3125</f>
        <v>0</v>
      </c>
      <c r="CH8" s="171">
        <f t="shared" ref="CH8" si="45">+AR8+AS8</f>
        <v>0</v>
      </c>
      <c r="CI8" s="171">
        <f t="shared" ref="CI8" si="46">+CA8</f>
        <v>0</v>
      </c>
      <c r="CJ8" s="171">
        <f t="shared" ref="CJ8" si="47">+AP8*8*0.6875</f>
        <v>0</v>
      </c>
      <c r="CK8" s="171">
        <f t="shared" ref="CK8" si="48">+BZ8</f>
        <v>0</v>
      </c>
      <c r="CL8" s="171"/>
      <c r="CM8" s="171">
        <f t="shared" ref="CM8" si="49">+CE8</f>
        <v>0</v>
      </c>
      <c r="CN8" s="171">
        <f t="shared" ref="CN8" si="50">+CD8</f>
        <v>0</v>
      </c>
      <c r="CO8" s="169">
        <f t="shared" ref="CO8" si="51">+CB8</f>
        <v>0</v>
      </c>
      <c r="CP8" s="159">
        <f t="shared" ref="CP8" si="52">+CC8</f>
        <v>0</v>
      </c>
      <c r="CQ8" s="159">
        <f>+IF(F8="x",500000,0)</f>
        <v>0</v>
      </c>
      <c r="CR8" s="156"/>
      <c r="CS8" s="159">
        <f t="shared" ref="CS8" si="53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4">+I8+CQ8+CR8+CS8</f>
        <v>0</v>
      </c>
      <c r="CU8" s="158">
        <f t="shared" ref="CU8" si="55">+I8/26*(CF8+(CG8/8)+CH8)</f>
        <v>0</v>
      </c>
      <c r="CV8" s="158">
        <f t="shared" ref="CV8" si="56">+(I8/26/8)*150%*CI8</f>
        <v>0</v>
      </c>
      <c r="CW8" s="158">
        <f t="shared" ref="CW8" si="57">+(I8/26/8)*130%*CJ8</f>
        <v>0</v>
      </c>
      <c r="CX8" s="158">
        <f t="shared" ref="CX8" si="58">+(I8/26/8)*200%*CK8</f>
        <v>0</v>
      </c>
      <c r="CY8" s="158">
        <f t="shared" ref="CY8" si="59">+(I8/26/8)*210%*CL8</f>
        <v>0</v>
      </c>
      <c r="CZ8" s="158">
        <f t="shared" ref="CZ8" si="60">+(I8/26/8)*270%*CM8</f>
        <v>0</v>
      </c>
      <c r="DA8" s="158">
        <f t="shared" ref="DA8" si="61">+(I8/26/8)*200%*CN8</f>
        <v>0</v>
      </c>
      <c r="DB8" s="158">
        <f>+(I8/26)*300%*CO8</f>
        <v>0</v>
      </c>
      <c r="DC8" s="158">
        <f t="shared" ref="DC8" si="62">+(I8/26/8)*390%*CP8</f>
        <v>0</v>
      </c>
      <c r="DD8" s="159">
        <f t="shared" ref="DD8" si="63">+CS8/26*(CF8+(CG8+CJ8)/8)</f>
        <v>0</v>
      </c>
      <c r="DE8" s="211">
        <f t="shared" ref="DE8" si="64">IF(OR(H8="CV",H8="KTT",H8="QL",H8="QĐ",H8="TL",H8="PGĐ"),2000000,IF(OR(H8="NV",H8="KT", H8="TK"),1500000,IF(OR(H8="CN",H8="LX"),1000000,0)))/26*(CF8+(CG8+CJ8)/8)</f>
        <v>0</v>
      </c>
      <c r="DF8" s="211">
        <f t="shared" ref="DF8" si="65">+DD8+DE8</f>
        <v>0</v>
      </c>
      <c r="DG8" s="254"/>
      <c r="DH8" s="158">
        <f t="shared" ref="DH8" si="66">+CU8+CV8+CW8+CX8+CY8+CZ8+DA8+DB8+DC8+DF8+DG8</f>
        <v>0</v>
      </c>
      <c r="DI8" s="164">
        <f t="shared" ref="DI8" si="67">+CQ8/26*AQ8</f>
        <v>0</v>
      </c>
      <c r="DJ8" s="164">
        <f t="shared" ref="DJ8" si="68">+CR8/26*AQ8</f>
        <v>0</v>
      </c>
      <c r="DK8" s="164">
        <f t="shared" ref="DK8" si="69">+DH8+DI8+DJ8</f>
        <v>0</v>
      </c>
      <c r="DL8" s="172">
        <f t="shared" ref="DL8" si="70">I8</f>
        <v>0</v>
      </c>
      <c r="DM8" s="159">
        <f t="shared" ref="DM8" si="71">DL8*8%</f>
        <v>0</v>
      </c>
      <c r="DN8" s="159">
        <f t="shared" ref="DN8" si="72">DL8*1.5%</f>
        <v>0</v>
      </c>
      <c r="DO8" s="159">
        <f t="shared" ref="DO8" si="73">DL8*1%</f>
        <v>0</v>
      </c>
      <c r="DP8" s="159">
        <f t="shared" ref="DP8" si="74">EI8</f>
        <v>0</v>
      </c>
      <c r="DQ8" s="159">
        <f t="shared" ref="DQ8" si="75">+SUM(DM8:DP8)</f>
        <v>0</v>
      </c>
      <c r="DR8" s="159">
        <f t="shared" ref="DR8" si="76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77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78">+IF(EH8&lt;0,0,EH8)</f>
        <v>0</v>
      </c>
      <c r="EJ8" s="165" t="b">
        <f>+IF(AQ8&gt;0,I8/26)</f>
        <v>0</v>
      </c>
      <c r="EK8" s="165" t="b">
        <f>+IF(AQ8&gt;0,ED8*6%)</f>
        <v>0</v>
      </c>
      <c r="EL8" s="165">
        <f>+EJ8+EK8</f>
        <v>0</v>
      </c>
      <c r="EM8" s="165"/>
      <c r="EN8" s="165"/>
      <c r="EO8" s="165"/>
      <c r="EP8" s="150"/>
      <c r="EQ8" s="150"/>
      <c r="ER8" s="240"/>
    </row>
    <row r="9" spans="1:148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8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8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8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8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8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8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8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4">
    <mergeCell ref="EN5:EN6"/>
    <mergeCell ref="EI5:EI6"/>
    <mergeCell ref="EJ5:EJ6"/>
    <mergeCell ref="EK5:EK6"/>
    <mergeCell ref="EL5:EL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ER5:ER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EQ5:EQ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07">
        <v>2026</v>
      </c>
      <c r="J8" s="308"/>
      <c r="K8" s="308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09" t="s">
        <v>34</v>
      </c>
      <c r="D9" s="310"/>
      <c r="E9" s="310"/>
      <c r="F9" s="310"/>
      <c r="G9" s="310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11" t="s">
        <v>35</v>
      </c>
      <c r="K12" s="310"/>
      <c r="L12" s="310"/>
      <c r="M12" s="310"/>
      <c r="N12" s="310"/>
      <c r="O12" s="310"/>
      <c r="P12" s="312">
        <f>I8</f>
        <v>2026</v>
      </c>
      <c r="Q12" s="310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06" t="s">
        <v>36</v>
      </c>
      <c r="C21" s="302"/>
      <c r="D21" s="302"/>
      <c r="E21" s="302"/>
      <c r="F21" s="302"/>
      <c r="G21" s="302"/>
      <c r="H21" s="302"/>
      <c r="I21" s="302"/>
      <c r="J21" s="40"/>
      <c r="K21" s="303" t="s">
        <v>37</v>
      </c>
      <c r="L21" s="302"/>
      <c r="M21" s="302"/>
      <c r="N21" s="302"/>
      <c r="O21" s="302"/>
      <c r="P21" s="302"/>
      <c r="Q21" s="302"/>
      <c r="R21" s="302"/>
      <c r="S21" s="40"/>
      <c r="T21" s="301" t="s">
        <v>38</v>
      </c>
      <c r="U21" s="302"/>
      <c r="V21" s="302"/>
      <c r="W21" s="302"/>
      <c r="X21" s="302"/>
      <c r="Y21" s="302"/>
      <c r="Z21" s="302"/>
      <c r="AA21" s="302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04" t="s">
        <v>47</v>
      </c>
      <c r="C35" s="302"/>
      <c r="D35" s="302"/>
      <c r="E35" s="302"/>
      <c r="F35" s="302"/>
      <c r="G35" s="302"/>
      <c r="H35" s="302"/>
      <c r="I35" s="302"/>
      <c r="J35" s="40"/>
      <c r="K35" s="305" t="s">
        <v>48</v>
      </c>
      <c r="L35" s="302"/>
      <c r="M35" s="302"/>
      <c r="N35" s="302"/>
      <c r="O35" s="302"/>
      <c r="P35" s="302"/>
      <c r="Q35" s="302"/>
      <c r="R35" s="302"/>
      <c r="S35" s="40"/>
      <c r="T35" s="303" t="s">
        <v>49</v>
      </c>
      <c r="U35" s="302"/>
      <c r="V35" s="302"/>
      <c r="W35" s="302"/>
      <c r="X35" s="302"/>
      <c r="Y35" s="302"/>
      <c r="Z35" s="302"/>
      <c r="AA35" s="302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3" t="s">
        <v>50</v>
      </c>
      <c r="C49" s="302"/>
      <c r="D49" s="302"/>
      <c r="E49" s="302"/>
      <c r="F49" s="302"/>
      <c r="G49" s="302"/>
      <c r="H49" s="302"/>
      <c r="I49" s="302"/>
      <c r="J49" s="40"/>
      <c r="K49" s="304" t="s">
        <v>51</v>
      </c>
      <c r="L49" s="302"/>
      <c r="M49" s="302"/>
      <c r="N49" s="302"/>
      <c r="O49" s="302"/>
      <c r="P49" s="302"/>
      <c r="Q49" s="302"/>
      <c r="R49" s="302"/>
      <c r="S49" s="40"/>
      <c r="T49" s="306" t="s">
        <v>52</v>
      </c>
      <c r="U49" s="302"/>
      <c r="V49" s="302"/>
      <c r="W49" s="302"/>
      <c r="X49" s="302"/>
      <c r="Y49" s="302"/>
      <c r="Z49" s="302"/>
      <c r="AA49" s="302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01" t="s">
        <v>53</v>
      </c>
      <c r="C63" s="302"/>
      <c r="D63" s="302"/>
      <c r="E63" s="302"/>
      <c r="F63" s="302"/>
      <c r="G63" s="302"/>
      <c r="H63" s="302"/>
      <c r="I63" s="302"/>
      <c r="J63" s="40"/>
      <c r="K63" s="303" t="s">
        <v>54</v>
      </c>
      <c r="L63" s="302"/>
      <c r="M63" s="302"/>
      <c r="N63" s="302"/>
      <c r="O63" s="302"/>
      <c r="P63" s="302"/>
      <c r="Q63" s="302"/>
      <c r="R63" s="302"/>
      <c r="S63" s="40"/>
      <c r="T63" s="304" t="s">
        <v>55</v>
      </c>
      <c r="U63" s="302"/>
      <c r="V63" s="302"/>
      <c r="W63" s="302"/>
      <c r="X63" s="302"/>
      <c r="Y63" s="302"/>
      <c r="Z63" s="302"/>
      <c r="AA63" s="302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2026-05-13T02:27:55Z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